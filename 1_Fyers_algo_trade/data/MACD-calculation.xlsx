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  <externalReference r:id="rId3"/>
  </externalReferences>
  <definedNames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D27" i="1" l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E249" i="1" s="1"/>
  <c r="E231" i="1" l="1"/>
  <c r="E199" i="1"/>
  <c r="E167" i="1"/>
  <c r="E135" i="1"/>
  <c r="E103" i="1"/>
  <c r="E71" i="1"/>
  <c r="E39" i="1"/>
  <c r="E246" i="1"/>
  <c r="E238" i="1"/>
  <c r="E230" i="1"/>
  <c r="E222" i="1"/>
  <c r="E214" i="1"/>
  <c r="E206" i="1"/>
  <c r="E198" i="1"/>
  <c r="E190" i="1"/>
  <c r="E182" i="1"/>
  <c r="E174" i="1"/>
  <c r="E166" i="1"/>
  <c r="E158" i="1"/>
  <c r="E150" i="1"/>
  <c r="E142" i="1"/>
  <c r="E134" i="1"/>
  <c r="E126" i="1"/>
  <c r="E118" i="1"/>
  <c r="E110" i="1"/>
  <c r="E102" i="1"/>
  <c r="E94" i="1"/>
  <c r="E86" i="1"/>
  <c r="E78" i="1"/>
  <c r="E70" i="1"/>
  <c r="E62" i="1"/>
  <c r="E54" i="1"/>
  <c r="E46" i="1"/>
  <c r="E38" i="1"/>
  <c r="E30" i="1"/>
  <c r="E223" i="1"/>
  <c r="E191" i="1"/>
  <c r="E159" i="1"/>
  <c r="E127" i="1"/>
  <c r="E95" i="1"/>
  <c r="E63" i="1"/>
  <c r="E31" i="1"/>
  <c r="E245" i="1"/>
  <c r="E237" i="1"/>
  <c r="E229" i="1"/>
  <c r="E221" i="1"/>
  <c r="E213" i="1"/>
  <c r="E205" i="1"/>
  <c r="E197" i="1"/>
  <c r="E189" i="1"/>
  <c r="E181" i="1"/>
  <c r="E173" i="1"/>
  <c r="E165" i="1"/>
  <c r="E157" i="1"/>
  <c r="E149" i="1"/>
  <c r="E141" i="1"/>
  <c r="E133" i="1"/>
  <c r="E125" i="1"/>
  <c r="E117" i="1"/>
  <c r="E109" i="1"/>
  <c r="E101" i="1"/>
  <c r="E93" i="1"/>
  <c r="E85" i="1"/>
  <c r="E77" i="1"/>
  <c r="E69" i="1"/>
  <c r="E61" i="1"/>
  <c r="E53" i="1"/>
  <c r="E45" i="1"/>
  <c r="E37" i="1"/>
  <c r="E29" i="1"/>
  <c r="E239" i="1"/>
  <c r="E215" i="1"/>
  <c r="E183" i="1"/>
  <c r="E151" i="1"/>
  <c r="E119" i="1"/>
  <c r="E87" i="1"/>
  <c r="E55" i="1"/>
  <c r="E236" i="1"/>
  <c r="E220" i="1"/>
  <c r="E204" i="1"/>
  <c r="E180" i="1"/>
  <c r="E164" i="1"/>
  <c r="E148" i="1"/>
  <c r="E132" i="1"/>
  <c r="E108" i="1"/>
  <c r="E92" i="1"/>
  <c r="E76" i="1"/>
  <c r="E60" i="1"/>
  <c r="E36" i="1"/>
  <c r="E203" i="1"/>
  <c r="E179" i="1"/>
  <c r="E171" i="1"/>
  <c r="E163" i="1"/>
  <c r="E155" i="1"/>
  <c r="E147" i="1"/>
  <c r="E139" i="1"/>
  <c r="E131" i="1"/>
  <c r="E123" i="1"/>
  <c r="E115" i="1"/>
  <c r="E107" i="1"/>
  <c r="E99" i="1"/>
  <c r="E91" i="1"/>
  <c r="E83" i="1"/>
  <c r="E75" i="1"/>
  <c r="E67" i="1"/>
  <c r="E59" i="1"/>
  <c r="E51" i="1"/>
  <c r="E43" i="1"/>
  <c r="E35" i="1"/>
  <c r="E27" i="1"/>
  <c r="E247" i="1"/>
  <c r="E207" i="1"/>
  <c r="E175" i="1"/>
  <c r="E143" i="1"/>
  <c r="E111" i="1"/>
  <c r="E79" i="1"/>
  <c r="E47" i="1"/>
  <c r="E244" i="1"/>
  <c r="E228" i="1"/>
  <c r="E212" i="1"/>
  <c r="E196" i="1"/>
  <c r="E188" i="1"/>
  <c r="E172" i="1"/>
  <c r="E156" i="1"/>
  <c r="E140" i="1"/>
  <c r="E124" i="1"/>
  <c r="E116" i="1"/>
  <c r="E100" i="1"/>
  <c r="E84" i="1"/>
  <c r="E68" i="1"/>
  <c r="E52" i="1"/>
  <c r="E44" i="1"/>
  <c r="E28" i="1"/>
  <c r="E235" i="1"/>
  <c r="E219" i="1"/>
  <c r="E195" i="1"/>
  <c r="E226" i="1"/>
  <c r="E202" i="1"/>
  <c r="E178" i="1"/>
  <c r="E154" i="1"/>
  <c r="E130" i="1"/>
  <c r="E106" i="1"/>
  <c r="E82" i="1"/>
  <c r="E66" i="1"/>
  <c r="E50" i="1"/>
  <c r="E42" i="1"/>
  <c r="E234" i="1"/>
  <c r="E218" i="1"/>
  <c r="E210" i="1"/>
  <c r="E194" i="1"/>
  <c r="E170" i="1"/>
  <c r="E162" i="1"/>
  <c r="E146" i="1"/>
  <c r="E138" i="1"/>
  <c r="E122" i="1"/>
  <c r="E114" i="1"/>
  <c r="E98" i="1"/>
  <c r="E90" i="1"/>
  <c r="E74" i="1"/>
  <c r="E58" i="1"/>
  <c r="E34" i="1"/>
  <c r="E241" i="1"/>
  <c r="E233" i="1"/>
  <c r="E225" i="1"/>
  <c r="E217" i="1"/>
  <c r="E209" i="1"/>
  <c r="E201" i="1"/>
  <c r="E193" i="1"/>
  <c r="E185" i="1"/>
  <c r="E177" i="1"/>
  <c r="E169" i="1"/>
  <c r="E161" i="1"/>
  <c r="E153" i="1"/>
  <c r="E145" i="1"/>
  <c r="E137" i="1"/>
  <c r="E129" i="1"/>
  <c r="E121" i="1"/>
  <c r="E113" i="1"/>
  <c r="E105" i="1"/>
  <c r="E97" i="1"/>
  <c r="E89" i="1"/>
  <c r="E81" i="1"/>
  <c r="E73" i="1"/>
  <c r="E65" i="1"/>
  <c r="E57" i="1"/>
  <c r="E49" i="1"/>
  <c r="E41" i="1"/>
  <c r="E33" i="1"/>
  <c r="E243" i="1"/>
  <c r="E227" i="1"/>
  <c r="E211" i="1"/>
  <c r="E187" i="1"/>
  <c r="E242" i="1"/>
  <c r="E186" i="1"/>
  <c r="E248" i="1"/>
  <c r="E240" i="1"/>
  <c r="E232" i="1"/>
  <c r="E224" i="1"/>
  <c r="E216" i="1"/>
  <c r="E208" i="1"/>
  <c r="E200" i="1"/>
  <c r="E192" i="1"/>
  <c r="E184" i="1"/>
  <c r="E176" i="1"/>
  <c r="E168" i="1"/>
  <c r="E160" i="1"/>
  <c r="E152" i="1"/>
  <c r="E144" i="1"/>
  <c r="E136" i="1"/>
  <c r="E128" i="1"/>
  <c r="E120" i="1"/>
  <c r="E112" i="1"/>
  <c r="E104" i="1"/>
  <c r="E96" i="1"/>
  <c r="E88" i="1"/>
  <c r="E80" i="1"/>
  <c r="E72" i="1"/>
  <c r="E64" i="1"/>
  <c r="E56" i="1"/>
  <c r="E48" i="1"/>
  <c r="E40" i="1"/>
  <c r="E32" i="1"/>
  <c r="F35" i="1" l="1"/>
  <c r="F36" i="1" s="1"/>
  <c r="G36" i="1" s="1"/>
  <c r="G35" i="1"/>
  <c r="F37" i="1"/>
  <c r="G37" i="1" s="1"/>
  <c r="F38" i="1"/>
  <c r="F39" i="1" s="1"/>
  <c r="G38" i="1" l="1"/>
  <c r="F40" i="1"/>
  <c r="G39" i="1"/>
  <c r="F41" i="1" l="1"/>
  <c r="G40" i="1"/>
  <c r="F42" i="1" l="1"/>
  <c r="G41" i="1"/>
  <c r="F43" i="1" l="1"/>
  <c r="G42" i="1"/>
  <c r="F44" i="1" l="1"/>
  <c r="G43" i="1"/>
  <c r="F45" i="1" l="1"/>
  <c r="G44" i="1"/>
  <c r="F46" i="1" l="1"/>
  <c r="G45" i="1"/>
  <c r="F47" i="1" l="1"/>
  <c r="G46" i="1"/>
  <c r="F48" i="1" l="1"/>
  <c r="G47" i="1"/>
  <c r="F49" i="1" l="1"/>
  <c r="G48" i="1"/>
  <c r="F50" i="1" l="1"/>
  <c r="G49" i="1"/>
  <c r="F51" i="1" l="1"/>
  <c r="G50" i="1"/>
  <c r="F52" i="1" l="1"/>
  <c r="G51" i="1"/>
  <c r="F53" i="1" l="1"/>
  <c r="G52" i="1"/>
  <c r="F54" i="1" l="1"/>
  <c r="G53" i="1"/>
  <c r="F55" i="1" l="1"/>
  <c r="G54" i="1"/>
  <c r="F56" i="1" l="1"/>
  <c r="G55" i="1"/>
  <c r="F57" i="1" l="1"/>
  <c r="G56" i="1"/>
  <c r="F58" i="1" l="1"/>
  <c r="G57" i="1"/>
  <c r="F59" i="1" l="1"/>
  <c r="G58" i="1"/>
  <c r="F60" i="1" l="1"/>
  <c r="G59" i="1"/>
  <c r="F61" i="1" l="1"/>
  <c r="G60" i="1"/>
  <c r="F62" i="1" l="1"/>
  <c r="G61" i="1"/>
  <c r="F63" i="1" l="1"/>
  <c r="G62" i="1"/>
  <c r="F64" i="1" l="1"/>
  <c r="G63" i="1"/>
  <c r="F65" i="1" l="1"/>
  <c r="G64" i="1"/>
  <c r="F66" i="1" l="1"/>
  <c r="G65" i="1"/>
  <c r="F67" i="1" l="1"/>
  <c r="G66" i="1"/>
  <c r="F68" i="1" l="1"/>
  <c r="G67" i="1"/>
  <c r="F69" i="1" l="1"/>
  <c r="G68" i="1"/>
  <c r="F70" i="1" l="1"/>
  <c r="G69" i="1"/>
  <c r="F71" i="1" l="1"/>
  <c r="G70" i="1"/>
  <c r="F72" i="1" l="1"/>
  <c r="G71" i="1"/>
  <c r="F73" i="1" l="1"/>
  <c r="G72" i="1"/>
  <c r="F74" i="1" l="1"/>
  <c r="G73" i="1"/>
  <c r="F75" i="1" l="1"/>
  <c r="G74" i="1"/>
  <c r="F76" i="1" l="1"/>
  <c r="G75" i="1"/>
  <c r="F77" i="1" l="1"/>
  <c r="G76" i="1"/>
  <c r="F78" i="1" l="1"/>
  <c r="G77" i="1"/>
  <c r="F79" i="1" l="1"/>
  <c r="G78" i="1"/>
  <c r="F80" i="1" l="1"/>
  <c r="G79" i="1"/>
  <c r="F81" i="1" l="1"/>
  <c r="G80" i="1"/>
  <c r="F82" i="1" l="1"/>
  <c r="G81" i="1"/>
  <c r="F83" i="1" l="1"/>
  <c r="G82" i="1"/>
  <c r="F84" i="1" l="1"/>
  <c r="G83" i="1"/>
  <c r="F85" i="1" l="1"/>
  <c r="G84" i="1"/>
  <c r="F86" i="1" l="1"/>
  <c r="G85" i="1"/>
  <c r="F87" i="1" l="1"/>
  <c r="G86" i="1"/>
  <c r="F88" i="1" l="1"/>
  <c r="G87" i="1"/>
  <c r="F89" i="1" l="1"/>
  <c r="G88" i="1"/>
  <c r="F90" i="1" l="1"/>
  <c r="G89" i="1"/>
  <c r="F91" i="1" l="1"/>
  <c r="G90" i="1"/>
  <c r="F92" i="1" l="1"/>
  <c r="G91" i="1"/>
  <c r="F93" i="1" l="1"/>
  <c r="G92" i="1"/>
  <c r="F94" i="1" l="1"/>
  <c r="G93" i="1"/>
  <c r="F95" i="1" l="1"/>
  <c r="G94" i="1"/>
  <c r="F96" i="1" l="1"/>
  <c r="G95" i="1"/>
  <c r="F97" i="1" l="1"/>
  <c r="G96" i="1"/>
  <c r="F98" i="1" l="1"/>
  <c r="G97" i="1"/>
  <c r="F99" i="1" l="1"/>
  <c r="G98" i="1"/>
  <c r="F100" i="1" l="1"/>
  <c r="G99" i="1"/>
  <c r="F101" i="1" l="1"/>
  <c r="G100" i="1"/>
  <c r="F102" i="1" l="1"/>
  <c r="G101" i="1"/>
  <c r="F103" i="1" l="1"/>
  <c r="G102" i="1"/>
  <c r="F104" i="1" l="1"/>
  <c r="G103" i="1"/>
  <c r="F105" i="1" l="1"/>
  <c r="G104" i="1"/>
  <c r="F106" i="1" l="1"/>
  <c r="G105" i="1"/>
  <c r="F107" i="1" l="1"/>
  <c r="G106" i="1"/>
  <c r="F108" i="1" l="1"/>
  <c r="G107" i="1"/>
  <c r="F109" i="1" l="1"/>
  <c r="G108" i="1"/>
  <c r="F110" i="1" l="1"/>
  <c r="G109" i="1"/>
  <c r="F111" i="1" l="1"/>
  <c r="G110" i="1"/>
  <c r="F112" i="1" l="1"/>
  <c r="G111" i="1"/>
  <c r="F113" i="1" l="1"/>
  <c r="G112" i="1"/>
  <c r="F114" i="1" l="1"/>
  <c r="G113" i="1"/>
  <c r="F115" i="1" l="1"/>
  <c r="G114" i="1"/>
  <c r="F116" i="1" l="1"/>
  <c r="G115" i="1"/>
  <c r="F117" i="1" l="1"/>
  <c r="G116" i="1"/>
  <c r="F118" i="1" l="1"/>
  <c r="G117" i="1"/>
  <c r="F119" i="1" l="1"/>
  <c r="G118" i="1"/>
  <c r="F120" i="1" l="1"/>
  <c r="G119" i="1"/>
  <c r="F121" i="1" l="1"/>
  <c r="G120" i="1"/>
  <c r="F122" i="1" l="1"/>
  <c r="G121" i="1"/>
  <c r="F123" i="1" l="1"/>
  <c r="G122" i="1"/>
  <c r="F124" i="1" l="1"/>
  <c r="G123" i="1"/>
  <c r="F125" i="1" l="1"/>
  <c r="G124" i="1"/>
  <c r="F126" i="1" l="1"/>
  <c r="G125" i="1"/>
  <c r="F127" i="1" l="1"/>
  <c r="G126" i="1"/>
  <c r="F128" i="1" l="1"/>
  <c r="G127" i="1"/>
  <c r="F129" i="1" l="1"/>
  <c r="G128" i="1"/>
  <c r="F130" i="1" l="1"/>
  <c r="G129" i="1"/>
  <c r="F131" i="1" l="1"/>
  <c r="G130" i="1"/>
  <c r="F132" i="1" l="1"/>
  <c r="G131" i="1"/>
  <c r="F133" i="1" l="1"/>
  <c r="G132" i="1"/>
  <c r="F134" i="1" l="1"/>
  <c r="G133" i="1"/>
  <c r="F135" i="1" l="1"/>
  <c r="G134" i="1"/>
  <c r="F136" i="1" l="1"/>
  <c r="G135" i="1"/>
  <c r="F137" i="1" l="1"/>
  <c r="G136" i="1"/>
  <c r="F138" i="1" l="1"/>
  <c r="G137" i="1"/>
  <c r="F139" i="1" l="1"/>
  <c r="G138" i="1"/>
  <c r="F140" i="1" l="1"/>
  <c r="G139" i="1"/>
  <c r="F141" i="1" l="1"/>
  <c r="G140" i="1"/>
  <c r="F142" i="1" l="1"/>
  <c r="G141" i="1"/>
  <c r="F143" i="1" l="1"/>
  <c r="G142" i="1"/>
  <c r="F144" i="1" l="1"/>
  <c r="G143" i="1"/>
  <c r="F145" i="1" l="1"/>
  <c r="G144" i="1"/>
  <c r="F146" i="1" l="1"/>
  <c r="G145" i="1"/>
  <c r="F147" i="1" l="1"/>
  <c r="G146" i="1"/>
  <c r="F148" i="1" l="1"/>
  <c r="G147" i="1"/>
  <c r="F149" i="1" l="1"/>
  <c r="G148" i="1"/>
  <c r="F150" i="1" l="1"/>
  <c r="G149" i="1"/>
  <c r="F151" i="1" l="1"/>
  <c r="G150" i="1"/>
  <c r="F152" i="1" l="1"/>
  <c r="G151" i="1"/>
  <c r="F153" i="1" l="1"/>
  <c r="G152" i="1"/>
  <c r="F154" i="1" l="1"/>
  <c r="G153" i="1"/>
  <c r="F155" i="1" l="1"/>
  <c r="G154" i="1"/>
  <c r="F156" i="1" l="1"/>
  <c r="G155" i="1"/>
  <c r="F157" i="1" l="1"/>
  <c r="G156" i="1"/>
  <c r="F158" i="1" l="1"/>
  <c r="G157" i="1"/>
  <c r="F159" i="1" l="1"/>
  <c r="G158" i="1"/>
  <c r="F160" i="1" l="1"/>
  <c r="G159" i="1"/>
  <c r="F161" i="1" l="1"/>
  <c r="G160" i="1"/>
  <c r="F162" i="1" l="1"/>
  <c r="G161" i="1"/>
  <c r="F163" i="1" l="1"/>
  <c r="G162" i="1"/>
  <c r="F164" i="1" l="1"/>
  <c r="G163" i="1"/>
  <c r="F165" i="1" l="1"/>
  <c r="G164" i="1"/>
  <c r="F166" i="1" l="1"/>
  <c r="G165" i="1"/>
  <c r="F167" i="1" l="1"/>
  <c r="G166" i="1"/>
  <c r="F168" i="1" l="1"/>
  <c r="G167" i="1"/>
  <c r="F169" i="1" l="1"/>
  <c r="G168" i="1"/>
  <c r="F170" i="1" l="1"/>
  <c r="G169" i="1"/>
  <c r="F171" i="1" l="1"/>
  <c r="G170" i="1"/>
  <c r="F172" i="1" l="1"/>
  <c r="G171" i="1"/>
  <c r="F173" i="1" l="1"/>
  <c r="G172" i="1"/>
  <c r="F174" i="1" l="1"/>
  <c r="G173" i="1"/>
  <c r="F175" i="1" l="1"/>
  <c r="G174" i="1"/>
  <c r="F176" i="1" l="1"/>
  <c r="G175" i="1"/>
  <c r="F177" i="1" l="1"/>
  <c r="G176" i="1"/>
  <c r="F178" i="1" l="1"/>
  <c r="G177" i="1"/>
  <c r="F179" i="1" l="1"/>
  <c r="G178" i="1"/>
  <c r="F180" i="1" l="1"/>
  <c r="G179" i="1"/>
  <c r="F181" i="1" l="1"/>
  <c r="G180" i="1"/>
  <c r="F182" i="1" l="1"/>
  <c r="G181" i="1"/>
  <c r="F183" i="1" l="1"/>
  <c r="G182" i="1"/>
  <c r="F184" i="1" l="1"/>
  <c r="G183" i="1"/>
  <c r="F185" i="1" l="1"/>
  <c r="G184" i="1"/>
  <c r="F186" i="1" l="1"/>
  <c r="G185" i="1"/>
  <c r="F187" i="1" l="1"/>
  <c r="G186" i="1"/>
  <c r="F188" i="1" l="1"/>
  <c r="G187" i="1"/>
  <c r="F189" i="1" l="1"/>
  <c r="G188" i="1"/>
  <c r="F190" i="1" l="1"/>
  <c r="G189" i="1"/>
  <c r="F191" i="1" l="1"/>
  <c r="G190" i="1"/>
  <c r="F192" i="1" l="1"/>
  <c r="G191" i="1"/>
  <c r="F193" i="1" l="1"/>
  <c r="G192" i="1"/>
  <c r="F194" i="1" l="1"/>
  <c r="G193" i="1"/>
  <c r="F195" i="1" l="1"/>
  <c r="G194" i="1"/>
  <c r="F196" i="1" l="1"/>
  <c r="G195" i="1"/>
  <c r="F197" i="1" l="1"/>
  <c r="G196" i="1"/>
  <c r="F198" i="1" l="1"/>
  <c r="G197" i="1"/>
  <c r="F199" i="1" l="1"/>
  <c r="G198" i="1"/>
  <c r="F200" i="1" l="1"/>
  <c r="G199" i="1"/>
  <c r="F201" i="1" l="1"/>
  <c r="G200" i="1"/>
  <c r="F202" i="1" l="1"/>
  <c r="G201" i="1"/>
  <c r="F203" i="1" l="1"/>
  <c r="G202" i="1"/>
  <c r="F204" i="1" l="1"/>
  <c r="G203" i="1"/>
  <c r="F205" i="1" l="1"/>
  <c r="G204" i="1"/>
  <c r="F206" i="1" l="1"/>
  <c r="G205" i="1"/>
  <c r="F207" i="1" l="1"/>
  <c r="G206" i="1"/>
  <c r="F208" i="1" l="1"/>
  <c r="G207" i="1"/>
  <c r="F209" i="1" l="1"/>
  <c r="G208" i="1"/>
  <c r="F210" i="1" l="1"/>
  <c r="G209" i="1"/>
  <c r="F211" i="1" l="1"/>
  <c r="G210" i="1"/>
  <c r="F212" i="1" l="1"/>
  <c r="G211" i="1"/>
  <c r="F213" i="1" l="1"/>
  <c r="G212" i="1"/>
  <c r="F214" i="1" l="1"/>
  <c r="G213" i="1"/>
  <c r="F215" i="1" l="1"/>
  <c r="G214" i="1"/>
  <c r="F216" i="1" l="1"/>
  <c r="G215" i="1"/>
  <c r="F217" i="1" l="1"/>
  <c r="G216" i="1"/>
  <c r="F218" i="1" l="1"/>
  <c r="G217" i="1"/>
  <c r="F219" i="1" l="1"/>
  <c r="G218" i="1"/>
  <c r="F220" i="1" l="1"/>
  <c r="G219" i="1"/>
  <c r="F221" i="1" l="1"/>
  <c r="G220" i="1"/>
  <c r="F222" i="1" l="1"/>
  <c r="G221" i="1"/>
  <c r="F223" i="1" l="1"/>
  <c r="G222" i="1"/>
  <c r="F224" i="1" l="1"/>
  <c r="G223" i="1"/>
  <c r="F225" i="1" l="1"/>
  <c r="G224" i="1"/>
  <c r="F226" i="1" l="1"/>
  <c r="G225" i="1"/>
  <c r="F227" i="1" l="1"/>
  <c r="G226" i="1"/>
  <c r="F228" i="1" l="1"/>
  <c r="G227" i="1"/>
  <c r="F229" i="1" l="1"/>
  <c r="G228" i="1"/>
  <c r="F230" i="1" l="1"/>
  <c r="G229" i="1"/>
  <c r="F231" i="1" l="1"/>
  <c r="G230" i="1"/>
  <c r="F232" i="1" l="1"/>
  <c r="G231" i="1"/>
  <c r="F233" i="1" l="1"/>
  <c r="G232" i="1"/>
  <c r="F234" i="1" l="1"/>
  <c r="G233" i="1"/>
  <c r="F235" i="1" l="1"/>
  <c r="G234" i="1"/>
  <c r="F236" i="1" l="1"/>
  <c r="G235" i="1"/>
  <c r="F237" i="1" l="1"/>
  <c r="G236" i="1"/>
  <c r="F238" i="1" l="1"/>
  <c r="G237" i="1"/>
  <c r="F239" i="1" l="1"/>
  <c r="G238" i="1"/>
  <c r="F240" i="1" l="1"/>
  <c r="G239" i="1"/>
  <c r="F241" i="1" l="1"/>
  <c r="G240" i="1"/>
  <c r="F242" i="1" l="1"/>
  <c r="G241" i="1"/>
  <c r="F243" i="1" l="1"/>
  <c r="G242" i="1"/>
  <c r="F244" i="1" l="1"/>
  <c r="G243" i="1"/>
  <c r="F245" i="1" l="1"/>
  <c r="G244" i="1"/>
  <c r="F246" i="1" l="1"/>
  <c r="G245" i="1"/>
  <c r="F247" i="1" l="1"/>
  <c r="G246" i="1"/>
  <c r="F248" i="1" l="1"/>
  <c r="G247" i="1"/>
  <c r="F249" i="1" l="1"/>
  <c r="G249" i="1" s="1"/>
  <c r="G248" i="1"/>
</calcChain>
</file>

<file path=xl/sharedStrings.xml><?xml version="1.0" encoding="utf-8"?>
<sst xmlns="http://schemas.openxmlformats.org/spreadsheetml/2006/main" count="7" uniqueCount="7">
  <si>
    <t>Date</t>
  </si>
  <si>
    <t>Close</t>
  </si>
  <si>
    <t>12 EMA</t>
  </si>
  <si>
    <t>26 EMA</t>
  </si>
  <si>
    <t>MACD</t>
  </si>
  <si>
    <t>Signal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</si>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</sst>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2" formatCode="0.00"/>
    </dxf>
    <dxf>
      <numFmt numFmtId="0" formatCode="General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MACD &amp; Signal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7431778530734792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Sheet1!$G$1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bg1">
                  <a:lumMod val="65000"/>
                </a:schemeClr>
              </a:solidFill>
            </a:ln>
          </c:spPr>
          <c:invertIfNegative val="0"/>
          <c:cat>
            <c:numRef>
              <c:f>Sheet1!$A$27:$A$249</c:f>
              <c:numCache>
                <c:formatCode>d\-mmm\-yy</c:formatCode>
                <c:ptCount val="223"/>
                <c:pt idx="0">
                  <c:v>44854</c:v>
                </c:pt>
                <c:pt idx="1">
                  <c:v>44855</c:v>
                </c:pt>
                <c:pt idx="2">
                  <c:v>44858</c:v>
                </c:pt>
                <c:pt idx="3">
                  <c:v>44859</c:v>
                </c:pt>
                <c:pt idx="4">
                  <c:v>44861</c:v>
                </c:pt>
                <c:pt idx="5">
                  <c:v>44862</c:v>
                </c:pt>
                <c:pt idx="6">
                  <c:v>44865</c:v>
                </c:pt>
                <c:pt idx="7">
                  <c:v>44866</c:v>
                </c:pt>
                <c:pt idx="8">
                  <c:v>44867</c:v>
                </c:pt>
                <c:pt idx="9">
                  <c:v>44868</c:v>
                </c:pt>
                <c:pt idx="10">
                  <c:v>44869</c:v>
                </c:pt>
                <c:pt idx="11">
                  <c:v>44872</c:v>
                </c:pt>
                <c:pt idx="12">
                  <c:v>44874</c:v>
                </c:pt>
                <c:pt idx="13">
                  <c:v>44875</c:v>
                </c:pt>
                <c:pt idx="14">
                  <c:v>44876</c:v>
                </c:pt>
                <c:pt idx="15">
                  <c:v>44880</c:v>
                </c:pt>
                <c:pt idx="16">
                  <c:v>44881</c:v>
                </c:pt>
                <c:pt idx="17">
                  <c:v>44882</c:v>
                </c:pt>
                <c:pt idx="18">
                  <c:v>44883</c:v>
                </c:pt>
                <c:pt idx="19">
                  <c:v>44886</c:v>
                </c:pt>
                <c:pt idx="20">
                  <c:v>44887</c:v>
                </c:pt>
                <c:pt idx="21">
                  <c:v>44888</c:v>
                </c:pt>
                <c:pt idx="22">
                  <c:v>44889</c:v>
                </c:pt>
                <c:pt idx="23">
                  <c:v>44890</c:v>
                </c:pt>
                <c:pt idx="24">
                  <c:v>44893</c:v>
                </c:pt>
                <c:pt idx="25">
                  <c:v>44894</c:v>
                </c:pt>
                <c:pt idx="26">
                  <c:v>44895</c:v>
                </c:pt>
                <c:pt idx="27">
                  <c:v>44896</c:v>
                </c:pt>
                <c:pt idx="28">
                  <c:v>44897</c:v>
                </c:pt>
                <c:pt idx="29">
                  <c:v>44900</c:v>
                </c:pt>
                <c:pt idx="30">
                  <c:v>44901</c:v>
                </c:pt>
                <c:pt idx="31">
                  <c:v>44902</c:v>
                </c:pt>
                <c:pt idx="32">
                  <c:v>44903</c:v>
                </c:pt>
                <c:pt idx="33">
                  <c:v>44904</c:v>
                </c:pt>
                <c:pt idx="34">
                  <c:v>44907</c:v>
                </c:pt>
                <c:pt idx="35">
                  <c:v>44908</c:v>
                </c:pt>
                <c:pt idx="36">
                  <c:v>44909</c:v>
                </c:pt>
                <c:pt idx="37">
                  <c:v>44910</c:v>
                </c:pt>
                <c:pt idx="38">
                  <c:v>44911</c:v>
                </c:pt>
                <c:pt idx="39">
                  <c:v>44914</c:v>
                </c:pt>
                <c:pt idx="40">
                  <c:v>44915</c:v>
                </c:pt>
                <c:pt idx="41">
                  <c:v>44916</c:v>
                </c:pt>
                <c:pt idx="42">
                  <c:v>44917</c:v>
                </c:pt>
                <c:pt idx="43">
                  <c:v>44918</c:v>
                </c:pt>
                <c:pt idx="44">
                  <c:v>44921</c:v>
                </c:pt>
                <c:pt idx="45">
                  <c:v>44922</c:v>
                </c:pt>
                <c:pt idx="46">
                  <c:v>44923</c:v>
                </c:pt>
                <c:pt idx="47">
                  <c:v>44924</c:v>
                </c:pt>
                <c:pt idx="48">
                  <c:v>44925</c:v>
                </c:pt>
                <c:pt idx="49">
                  <c:v>44928</c:v>
                </c:pt>
                <c:pt idx="50">
                  <c:v>44929</c:v>
                </c:pt>
                <c:pt idx="51">
                  <c:v>44930</c:v>
                </c:pt>
                <c:pt idx="52">
                  <c:v>44931</c:v>
                </c:pt>
                <c:pt idx="53">
                  <c:v>44932</c:v>
                </c:pt>
                <c:pt idx="54">
                  <c:v>44935</c:v>
                </c:pt>
                <c:pt idx="55">
                  <c:v>44936</c:v>
                </c:pt>
                <c:pt idx="56">
                  <c:v>44937</c:v>
                </c:pt>
                <c:pt idx="57">
                  <c:v>44938</c:v>
                </c:pt>
                <c:pt idx="58">
                  <c:v>44939</c:v>
                </c:pt>
                <c:pt idx="59">
                  <c:v>44942</c:v>
                </c:pt>
                <c:pt idx="60">
                  <c:v>44943</c:v>
                </c:pt>
                <c:pt idx="61">
                  <c:v>44944</c:v>
                </c:pt>
                <c:pt idx="62">
                  <c:v>44945</c:v>
                </c:pt>
                <c:pt idx="63">
                  <c:v>44946</c:v>
                </c:pt>
                <c:pt idx="64">
                  <c:v>44949</c:v>
                </c:pt>
                <c:pt idx="65">
                  <c:v>44950</c:v>
                </c:pt>
                <c:pt idx="66">
                  <c:v>44951</c:v>
                </c:pt>
                <c:pt idx="67">
                  <c:v>44953</c:v>
                </c:pt>
                <c:pt idx="68">
                  <c:v>44956</c:v>
                </c:pt>
                <c:pt idx="69">
                  <c:v>44957</c:v>
                </c:pt>
                <c:pt idx="70">
                  <c:v>44958</c:v>
                </c:pt>
                <c:pt idx="71">
                  <c:v>44959</c:v>
                </c:pt>
                <c:pt idx="72">
                  <c:v>44960</c:v>
                </c:pt>
                <c:pt idx="73">
                  <c:v>44963</c:v>
                </c:pt>
                <c:pt idx="74">
                  <c:v>44964</c:v>
                </c:pt>
                <c:pt idx="75">
                  <c:v>44965</c:v>
                </c:pt>
                <c:pt idx="76">
                  <c:v>44966</c:v>
                </c:pt>
                <c:pt idx="77">
                  <c:v>44967</c:v>
                </c:pt>
                <c:pt idx="78">
                  <c:v>44970</c:v>
                </c:pt>
                <c:pt idx="79">
                  <c:v>44971</c:v>
                </c:pt>
                <c:pt idx="80">
                  <c:v>44972</c:v>
                </c:pt>
                <c:pt idx="81">
                  <c:v>44973</c:v>
                </c:pt>
                <c:pt idx="82">
                  <c:v>44974</c:v>
                </c:pt>
                <c:pt idx="83">
                  <c:v>44977</c:v>
                </c:pt>
                <c:pt idx="84">
                  <c:v>44978</c:v>
                </c:pt>
                <c:pt idx="85">
                  <c:v>44979</c:v>
                </c:pt>
                <c:pt idx="86">
                  <c:v>44980</c:v>
                </c:pt>
                <c:pt idx="87">
                  <c:v>44981</c:v>
                </c:pt>
                <c:pt idx="88">
                  <c:v>44984</c:v>
                </c:pt>
                <c:pt idx="89">
                  <c:v>44985</c:v>
                </c:pt>
                <c:pt idx="90">
                  <c:v>44986</c:v>
                </c:pt>
                <c:pt idx="91">
                  <c:v>44987</c:v>
                </c:pt>
                <c:pt idx="92">
                  <c:v>44988</c:v>
                </c:pt>
                <c:pt idx="93">
                  <c:v>44991</c:v>
                </c:pt>
                <c:pt idx="94">
                  <c:v>44993</c:v>
                </c:pt>
                <c:pt idx="95">
                  <c:v>44994</c:v>
                </c:pt>
                <c:pt idx="96">
                  <c:v>44995</c:v>
                </c:pt>
                <c:pt idx="97">
                  <c:v>44998</c:v>
                </c:pt>
                <c:pt idx="98">
                  <c:v>44999</c:v>
                </c:pt>
                <c:pt idx="99">
                  <c:v>45000</c:v>
                </c:pt>
                <c:pt idx="100">
                  <c:v>45001</c:v>
                </c:pt>
                <c:pt idx="101">
                  <c:v>45002</c:v>
                </c:pt>
                <c:pt idx="102">
                  <c:v>45005</c:v>
                </c:pt>
                <c:pt idx="103">
                  <c:v>45006</c:v>
                </c:pt>
                <c:pt idx="104">
                  <c:v>45007</c:v>
                </c:pt>
                <c:pt idx="105">
                  <c:v>45008</c:v>
                </c:pt>
                <c:pt idx="106">
                  <c:v>45009</c:v>
                </c:pt>
                <c:pt idx="107">
                  <c:v>45012</c:v>
                </c:pt>
                <c:pt idx="108">
                  <c:v>45013</c:v>
                </c:pt>
                <c:pt idx="109">
                  <c:v>45014</c:v>
                </c:pt>
                <c:pt idx="110">
                  <c:v>45016</c:v>
                </c:pt>
                <c:pt idx="111">
                  <c:v>45019</c:v>
                </c:pt>
                <c:pt idx="112">
                  <c:v>45021</c:v>
                </c:pt>
                <c:pt idx="113">
                  <c:v>45022</c:v>
                </c:pt>
                <c:pt idx="114">
                  <c:v>45026</c:v>
                </c:pt>
                <c:pt idx="115">
                  <c:v>45027</c:v>
                </c:pt>
                <c:pt idx="116">
                  <c:v>45028</c:v>
                </c:pt>
                <c:pt idx="117">
                  <c:v>45029</c:v>
                </c:pt>
                <c:pt idx="118">
                  <c:v>45033</c:v>
                </c:pt>
                <c:pt idx="119">
                  <c:v>45034</c:v>
                </c:pt>
                <c:pt idx="120">
                  <c:v>45035</c:v>
                </c:pt>
                <c:pt idx="121">
                  <c:v>45036</c:v>
                </c:pt>
                <c:pt idx="122">
                  <c:v>45037</c:v>
                </c:pt>
                <c:pt idx="123">
                  <c:v>45040</c:v>
                </c:pt>
                <c:pt idx="124">
                  <c:v>45041</c:v>
                </c:pt>
                <c:pt idx="125">
                  <c:v>45042</c:v>
                </c:pt>
                <c:pt idx="126">
                  <c:v>45043</c:v>
                </c:pt>
                <c:pt idx="127">
                  <c:v>45044</c:v>
                </c:pt>
                <c:pt idx="128">
                  <c:v>45048</c:v>
                </c:pt>
                <c:pt idx="129">
                  <c:v>45049</c:v>
                </c:pt>
                <c:pt idx="130">
                  <c:v>45050</c:v>
                </c:pt>
                <c:pt idx="131">
                  <c:v>45051</c:v>
                </c:pt>
                <c:pt idx="132">
                  <c:v>45054</c:v>
                </c:pt>
                <c:pt idx="133">
                  <c:v>45055</c:v>
                </c:pt>
                <c:pt idx="134">
                  <c:v>45056</c:v>
                </c:pt>
                <c:pt idx="135">
                  <c:v>45057</c:v>
                </c:pt>
                <c:pt idx="136">
                  <c:v>45058</c:v>
                </c:pt>
                <c:pt idx="137">
                  <c:v>45061</c:v>
                </c:pt>
                <c:pt idx="138">
                  <c:v>45062</c:v>
                </c:pt>
                <c:pt idx="139">
                  <c:v>45063</c:v>
                </c:pt>
                <c:pt idx="140">
                  <c:v>45064</c:v>
                </c:pt>
                <c:pt idx="141">
                  <c:v>45065</c:v>
                </c:pt>
                <c:pt idx="142">
                  <c:v>45068</c:v>
                </c:pt>
                <c:pt idx="143">
                  <c:v>45069</c:v>
                </c:pt>
                <c:pt idx="144">
                  <c:v>45070</c:v>
                </c:pt>
                <c:pt idx="145">
                  <c:v>45071</c:v>
                </c:pt>
                <c:pt idx="146">
                  <c:v>45072</c:v>
                </c:pt>
                <c:pt idx="147">
                  <c:v>45075</c:v>
                </c:pt>
                <c:pt idx="148">
                  <c:v>45076</c:v>
                </c:pt>
                <c:pt idx="149">
                  <c:v>45077</c:v>
                </c:pt>
                <c:pt idx="150">
                  <c:v>45078</c:v>
                </c:pt>
                <c:pt idx="151">
                  <c:v>45079</c:v>
                </c:pt>
                <c:pt idx="152">
                  <c:v>45082</c:v>
                </c:pt>
                <c:pt idx="153">
                  <c:v>45083</c:v>
                </c:pt>
                <c:pt idx="154">
                  <c:v>45084</c:v>
                </c:pt>
                <c:pt idx="155">
                  <c:v>45085</c:v>
                </c:pt>
                <c:pt idx="156">
                  <c:v>45086</c:v>
                </c:pt>
                <c:pt idx="157">
                  <c:v>45089</c:v>
                </c:pt>
                <c:pt idx="158">
                  <c:v>45090</c:v>
                </c:pt>
                <c:pt idx="159">
                  <c:v>45091</c:v>
                </c:pt>
                <c:pt idx="160">
                  <c:v>45092</c:v>
                </c:pt>
                <c:pt idx="161">
                  <c:v>45093</c:v>
                </c:pt>
                <c:pt idx="162">
                  <c:v>45096</c:v>
                </c:pt>
                <c:pt idx="163">
                  <c:v>45097</c:v>
                </c:pt>
                <c:pt idx="164">
                  <c:v>45098</c:v>
                </c:pt>
                <c:pt idx="165">
                  <c:v>45099</c:v>
                </c:pt>
                <c:pt idx="166">
                  <c:v>45100</c:v>
                </c:pt>
                <c:pt idx="167">
                  <c:v>45103</c:v>
                </c:pt>
                <c:pt idx="168">
                  <c:v>45104</c:v>
                </c:pt>
                <c:pt idx="169">
                  <c:v>45105</c:v>
                </c:pt>
                <c:pt idx="170">
                  <c:v>45107</c:v>
                </c:pt>
                <c:pt idx="171">
                  <c:v>45110</c:v>
                </c:pt>
                <c:pt idx="172">
                  <c:v>45111</c:v>
                </c:pt>
                <c:pt idx="173">
                  <c:v>45112</c:v>
                </c:pt>
                <c:pt idx="174">
                  <c:v>45113</c:v>
                </c:pt>
                <c:pt idx="175">
                  <c:v>45114</c:v>
                </c:pt>
                <c:pt idx="176">
                  <c:v>45117</c:v>
                </c:pt>
                <c:pt idx="177">
                  <c:v>45118</c:v>
                </c:pt>
                <c:pt idx="178">
                  <c:v>45119</c:v>
                </c:pt>
                <c:pt idx="179">
                  <c:v>45120</c:v>
                </c:pt>
                <c:pt idx="180">
                  <c:v>45121</c:v>
                </c:pt>
                <c:pt idx="181">
                  <c:v>45124</c:v>
                </c:pt>
                <c:pt idx="182">
                  <c:v>45125</c:v>
                </c:pt>
                <c:pt idx="183">
                  <c:v>45126</c:v>
                </c:pt>
                <c:pt idx="184">
                  <c:v>45127</c:v>
                </c:pt>
                <c:pt idx="185">
                  <c:v>45128</c:v>
                </c:pt>
                <c:pt idx="186">
                  <c:v>45131</c:v>
                </c:pt>
                <c:pt idx="187">
                  <c:v>45132</c:v>
                </c:pt>
                <c:pt idx="188">
                  <c:v>45133</c:v>
                </c:pt>
                <c:pt idx="189">
                  <c:v>45134</c:v>
                </c:pt>
                <c:pt idx="190">
                  <c:v>45135</c:v>
                </c:pt>
                <c:pt idx="191">
                  <c:v>45138</c:v>
                </c:pt>
                <c:pt idx="192">
                  <c:v>45139</c:v>
                </c:pt>
                <c:pt idx="193">
                  <c:v>45140</c:v>
                </c:pt>
                <c:pt idx="194">
                  <c:v>45141</c:v>
                </c:pt>
                <c:pt idx="195">
                  <c:v>45142</c:v>
                </c:pt>
                <c:pt idx="196">
                  <c:v>45145</c:v>
                </c:pt>
                <c:pt idx="197">
                  <c:v>45146</c:v>
                </c:pt>
                <c:pt idx="198">
                  <c:v>45147</c:v>
                </c:pt>
                <c:pt idx="199">
                  <c:v>45148</c:v>
                </c:pt>
                <c:pt idx="200">
                  <c:v>45149</c:v>
                </c:pt>
                <c:pt idx="201">
                  <c:v>45152</c:v>
                </c:pt>
                <c:pt idx="202">
                  <c:v>45154</c:v>
                </c:pt>
                <c:pt idx="203">
                  <c:v>45155</c:v>
                </c:pt>
                <c:pt idx="204">
                  <c:v>45156</c:v>
                </c:pt>
                <c:pt idx="205">
                  <c:v>45159</c:v>
                </c:pt>
                <c:pt idx="206">
                  <c:v>45160</c:v>
                </c:pt>
                <c:pt idx="207">
                  <c:v>45161</c:v>
                </c:pt>
                <c:pt idx="208">
                  <c:v>45162</c:v>
                </c:pt>
                <c:pt idx="209">
                  <c:v>45163</c:v>
                </c:pt>
                <c:pt idx="210">
                  <c:v>45166</c:v>
                </c:pt>
                <c:pt idx="211">
                  <c:v>45167</c:v>
                </c:pt>
                <c:pt idx="212">
                  <c:v>45168</c:v>
                </c:pt>
                <c:pt idx="213">
                  <c:v>45169</c:v>
                </c:pt>
                <c:pt idx="214">
                  <c:v>45170</c:v>
                </c:pt>
                <c:pt idx="215">
                  <c:v>45173</c:v>
                </c:pt>
                <c:pt idx="216">
                  <c:v>45174</c:v>
                </c:pt>
                <c:pt idx="217">
                  <c:v>45175</c:v>
                </c:pt>
                <c:pt idx="218">
                  <c:v>45176</c:v>
                </c:pt>
                <c:pt idx="219">
                  <c:v>45177</c:v>
                </c:pt>
                <c:pt idx="220">
                  <c:v>45180</c:v>
                </c:pt>
                <c:pt idx="221">
                  <c:v>45181</c:v>
                </c:pt>
                <c:pt idx="222">
                  <c:v>45182</c:v>
                </c:pt>
              </c:numCache>
            </c:numRef>
          </c:cat>
          <c:val>
            <c:numRef>
              <c:f>Sheet1!$G$27:$G$249</c:f>
              <c:numCache>
                <c:formatCode>0.00</c:formatCode>
                <c:ptCount val="223"/>
                <c:pt idx="8">
                  <c:v>90.602871311919841</c:v>
                </c:pt>
                <c:pt idx="9">
                  <c:v>80.505238292314203</c:v>
                </c:pt>
                <c:pt idx="10">
                  <c:v>73.067808379545141</c:v>
                </c:pt>
                <c:pt idx="11">
                  <c:v>68.874022760779553</c:v>
                </c:pt>
                <c:pt idx="12">
                  <c:v>58.387325979217707</c:v>
                </c:pt>
                <c:pt idx="13">
                  <c:v>39.0761417451792</c:v>
                </c:pt>
                <c:pt idx="14">
                  <c:v>43.894295508193096</c:v>
                </c:pt>
                <c:pt idx="15">
                  <c:v>46.393260934187964</c:v>
                </c:pt>
                <c:pt idx="16">
                  <c:v>44.173716369496617</c:v>
                </c:pt>
                <c:pt idx="17">
                  <c:v>34.41750071917815</c:v>
                </c:pt>
                <c:pt idx="18">
                  <c:v>22.253059224275944</c:v>
                </c:pt>
                <c:pt idx="19">
                  <c:v>2.0536706932495576</c:v>
                </c:pt>
                <c:pt idx="20">
                  <c:v>-7.3251552609474402</c:v>
                </c:pt>
                <c:pt idx="21">
                  <c:v>-13.319154181902036</c:v>
                </c:pt>
                <c:pt idx="22">
                  <c:v>-4.479173470930732</c:v>
                </c:pt>
                <c:pt idx="23">
                  <c:v>1.1947765070463845</c:v>
                </c:pt>
                <c:pt idx="24">
                  <c:v>5.9466659093530723</c:v>
                </c:pt>
                <c:pt idx="25">
                  <c:v>10.196203675258459</c:v>
                </c:pt>
                <c:pt idx="26">
                  <c:v>19.309371589760872</c:v>
                </c:pt>
                <c:pt idx="27">
                  <c:v>25.451339634730232</c:v>
                </c:pt>
                <c:pt idx="28">
                  <c:v>18.466933733738585</c:v>
                </c:pt>
                <c:pt idx="29">
                  <c:v>11.32348866886926</c:v>
                </c:pt>
                <c:pt idx="30">
                  <c:v>0.39255637381540964</c:v>
                </c:pt>
                <c:pt idx="31">
                  <c:v>-13.868609771691553</c:v>
                </c:pt>
                <c:pt idx="32">
                  <c:v>-21.071402989009755</c:v>
                </c:pt>
                <c:pt idx="33">
                  <c:v>-33.737470959058697</c:v>
                </c:pt>
                <c:pt idx="34">
                  <c:v>-41.856401658983799</c:v>
                </c:pt>
                <c:pt idx="35">
                  <c:v>-39.565179522337985</c:v>
                </c:pt>
                <c:pt idx="36">
                  <c:v>-34.515532085558164</c:v>
                </c:pt>
                <c:pt idx="37">
                  <c:v>-46.921518612137021</c:v>
                </c:pt>
                <c:pt idx="38">
                  <c:v>-63.161214839455113</c:v>
                </c:pt>
                <c:pt idx="39">
                  <c:v>-61.832354803833709</c:v>
                </c:pt>
                <c:pt idx="40">
                  <c:v>-61.328972725382755</c:v>
                </c:pt>
                <c:pt idx="41">
                  <c:v>-70.869249343909544</c:v>
                </c:pt>
                <c:pt idx="42">
                  <c:v>-78.739122612236827</c:v>
                </c:pt>
                <c:pt idx="43">
                  <c:v>-100.84784003079008</c:v>
                </c:pt>
                <c:pt idx="44">
                  <c:v>-96.774298305535666</c:v>
                </c:pt>
                <c:pt idx="45">
                  <c:v>-82.033168880746032</c:v>
                </c:pt>
                <c:pt idx="46">
                  <c:v>-69.328338465677064</c:v>
                </c:pt>
                <c:pt idx="47">
                  <c:v>-53.410892640367138</c:v>
                </c:pt>
                <c:pt idx="48">
                  <c:v>-46.033210059554584</c:v>
                </c:pt>
                <c:pt idx="49">
                  <c:v>-32.939945442357129</c:v>
                </c:pt>
                <c:pt idx="50">
                  <c:v>-20.516356222877747</c:v>
                </c:pt>
                <c:pt idx="51">
                  <c:v>-23.45683977877821</c:v>
                </c:pt>
                <c:pt idx="52">
                  <c:v>-26.961726871232713</c:v>
                </c:pt>
                <c:pt idx="53">
                  <c:v>-35.801854630478921</c:v>
                </c:pt>
                <c:pt idx="54">
                  <c:v>-23.544469888925661</c:v>
                </c:pt>
                <c:pt idx="55">
                  <c:v>-26.017477036715476</c:v>
                </c:pt>
                <c:pt idx="56">
                  <c:v>-26.774612111871633</c:v>
                </c:pt>
                <c:pt idx="57">
                  <c:v>-27.5712832808982</c:v>
                </c:pt>
                <c:pt idx="58">
                  <c:v>-19.615311043987163</c:v>
                </c:pt>
                <c:pt idx="59">
                  <c:v>-16.766108297157089</c:v>
                </c:pt>
                <c:pt idx="60">
                  <c:v>-3.1762267233220882</c:v>
                </c:pt>
                <c:pt idx="61">
                  <c:v>13.479399871484574</c:v>
                </c:pt>
                <c:pt idx="62">
                  <c:v>20.33245340466938</c:v>
                </c:pt>
                <c:pt idx="63">
                  <c:v>19.18719291708527</c:v>
                </c:pt>
                <c:pt idx="64">
                  <c:v>23.964251386962545</c:v>
                </c:pt>
                <c:pt idx="65">
                  <c:v>26.331283912927361</c:v>
                </c:pt>
                <c:pt idx="66">
                  <c:v>12.574486999375779</c:v>
                </c:pt>
                <c:pt idx="67">
                  <c:v>-14.504751518403779</c:v>
                </c:pt>
                <c:pt idx="68">
                  <c:v>-27.281412722754283</c:v>
                </c:pt>
                <c:pt idx="69">
                  <c:v>-32.365416647072152</c:v>
                </c:pt>
                <c:pt idx="70">
                  <c:v>-36.055965850219039</c:v>
                </c:pt>
                <c:pt idx="71">
                  <c:v>-36.047965433202762</c:v>
                </c:pt>
                <c:pt idx="72">
                  <c:v>-17.714346551486045</c:v>
                </c:pt>
                <c:pt idx="73">
                  <c:v>-10.072952877602503</c:v>
                </c:pt>
                <c:pt idx="74">
                  <c:v>-6.5529062892482557</c:v>
                </c:pt>
                <c:pt idx="75">
                  <c:v>6.5503229458038419</c:v>
                </c:pt>
                <c:pt idx="76">
                  <c:v>16.76090404977387</c:v>
                </c:pt>
                <c:pt idx="77">
                  <c:v>20.83887545462656</c:v>
                </c:pt>
                <c:pt idx="78">
                  <c:v>17.707046551733072</c:v>
                </c:pt>
                <c:pt idx="79">
                  <c:v>25.786681884926978</c:v>
                </c:pt>
                <c:pt idx="80">
                  <c:v>35.75562632439393</c:v>
                </c:pt>
                <c:pt idx="81">
                  <c:v>42.092704452277957</c:v>
                </c:pt>
                <c:pt idx="82">
                  <c:v>38.600019076846522</c:v>
                </c:pt>
                <c:pt idx="83">
                  <c:v>28.533993031663833</c:v>
                </c:pt>
                <c:pt idx="84">
                  <c:v>20.024470512011433</c:v>
                </c:pt>
                <c:pt idx="85">
                  <c:v>-3.3506177809509907</c:v>
                </c:pt>
                <c:pt idx="86">
                  <c:v>-20.173576020673956</c:v>
                </c:pt>
                <c:pt idx="87">
                  <c:v>-32.115081542047918</c:v>
                </c:pt>
                <c:pt idx="88">
                  <c:v>-42.062355254695348</c:v>
                </c:pt>
                <c:pt idx="89">
                  <c:v>-51.141108401994614</c:v>
                </c:pt>
                <c:pt idx="90">
                  <c:v>-44.041182150413789</c:v>
                </c:pt>
                <c:pt idx="91">
                  <c:v>-44.683068518640923</c:v>
                </c:pt>
                <c:pt idx="92">
                  <c:v>-24.422281417833744</c:v>
                </c:pt>
                <c:pt idx="93">
                  <c:v>-1.9806182325074957</c:v>
                </c:pt>
                <c:pt idx="94">
                  <c:v>15.923981222251939</c:v>
                </c:pt>
                <c:pt idx="95">
                  <c:v>16.751834706438757</c:v>
                </c:pt>
                <c:pt idx="96">
                  <c:v>6.035306180942996</c:v>
                </c:pt>
                <c:pt idx="97">
                  <c:v>-16.595661553118262</c:v>
                </c:pt>
                <c:pt idx="98">
                  <c:v>-36.050704188418337</c:v>
                </c:pt>
                <c:pt idx="99">
                  <c:v>-49.869972266549951</c:v>
                </c:pt>
                <c:pt idx="100">
                  <c:v>-53.919779053998582</c:v>
                </c:pt>
                <c:pt idx="101">
                  <c:v>-45.065501077679983</c:v>
                </c:pt>
                <c:pt idx="102">
                  <c:v>-42.913809044022486</c:v>
                </c:pt>
                <c:pt idx="103">
                  <c:v>-30.252228103154323</c:v>
                </c:pt>
                <c:pt idx="104">
                  <c:v>-16.365221940756641</c:v>
                </c:pt>
                <c:pt idx="105">
                  <c:v>-10.020652208841682</c:v>
                </c:pt>
                <c:pt idx="106">
                  <c:v>-12.341323434209841</c:v>
                </c:pt>
                <c:pt idx="107">
                  <c:v>-8.9348710165782279</c:v>
                </c:pt>
                <c:pt idx="108">
                  <c:v>-6.8609645425709687</c:v>
                </c:pt>
                <c:pt idx="109">
                  <c:v>4.6869270736441706</c:v>
                </c:pt>
                <c:pt idx="110">
                  <c:v>31.132727475867398</c:v>
                </c:pt>
                <c:pt idx="111">
                  <c:v>50.094855580482943</c:v>
                </c:pt>
                <c:pt idx="112">
                  <c:v>70.960952496886932</c:v>
                </c:pt>
                <c:pt idx="113">
                  <c:v>84.304565633614814</c:v>
                </c:pt>
                <c:pt idx="114">
                  <c:v>90.943926446265294</c:v>
                </c:pt>
                <c:pt idx="115">
                  <c:v>97.506891556900499</c:v>
                </c:pt>
                <c:pt idx="116">
                  <c:v>102.93557995607085</c:v>
                </c:pt>
                <c:pt idx="117">
                  <c:v>102.37971790785528</c:v>
                </c:pt>
                <c:pt idx="118">
                  <c:v>89.141585172850796</c:v>
                </c:pt>
                <c:pt idx="119">
                  <c:v>73.196469027850341</c:v>
                </c:pt>
                <c:pt idx="120">
                  <c:v>56.561941520019388</c:v>
                </c:pt>
                <c:pt idx="121">
                  <c:v>43.244209605079547</c:v>
                </c:pt>
                <c:pt idx="122">
                  <c:v>32.215668373868937</c:v>
                </c:pt>
                <c:pt idx="123">
                  <c:v>30.768821086746485</c:v>
                </c:pt>
                <c:pt idx="124">
                  <c:v>29.366360127007013</c:v>
                </c:pt>
                <c:pt idx="125">
                  <c:v>29.178933884030045</c:v>
                </c:pt>
                <c:pt idx="126">
                  <c:v>33.340376967120505</c:v>
                </c:pt>
                <c:pt idx="127">
                  <c:v>43.028624601307172</c:v>
                </c:pt>
                <c:pt idx="128">
                  <c:v>51.280092591869249</c:v>
                </c:pt>
                <c:pt idx="129">
                  <c:v>49.118390762787129</c:v>
                </c:pt>
                <c:pt idx="130">
                  <c:v>54.710487340322061</c:v>
                </c:pt>
                <c:pt idx="131">
                  <c:v>42.23299042086856</c:v>
                </c:pt>
                <c:pt idx="132">
                  <c:v>43.37876695339321</c:v>
                </c:pt>
                <c:pt idx="133">
                  <c:v>40.533360744245215</c:v>
                </c:pt>
                <c:pt idx="134">
                  <c:v>38.280856479498368</c:v>
                </c:pt>
                <c:pt idx="135">
                  <c:v>32.139063955654763</c:v>
                </c:pt>
                <c:pt idx="136">
                  <c:v>26.099306515210571</c:v>
                </c:pt>
                <c:pt idx="137">
                  <c:v>24.608551382570226</c:v>
                </c:pt>
                <c:pt idx="138">
                  <c:v>13.457293574863513</c:v>
                </c:pt>
                <c:pt idx="139">
                  <c:v>-2.7100704428524125</c:v>
                </c:pt>
                <c:pt idx="140">
                  <c:v>-17.78859061989084</c:v>
                </c:pt>
                <c:pt idx="141">
                  <c:v>-23.360497438797807</c:v>
                </c:pt>
                <c:pt idx="142">
                  <c:v>-20.23215804059123</c:v>
                </c:pt>
                <c:pt idx="143">
                  <c:v>-16.708039584633468</c:v>
                </c:pt>
                <c:pt idx="144">
                  <c:v>-19.221772852940319</c:v>
                </c:pt>
                <c:pt idx="145">
                  <c:v>-19.067863012752042</c:v>
                </c:pt>
                <c:pt idx="146">
                  <c:v>-8.1157086334808355</c:v>
                </c:pt>
                <c:pt idx="147">
                  <c:v>4.0137298623927506</c:v>
                </c:pt>
                <c:pt idx="148">
                  <c:v>12.14536167290396</c:v>
                </c:pt>
                <c:pt idx="149">
                  <c:v>8.7242419579698378</c:v>
                </c:pt>
                <c:pt idx="150">
                  <c:v>1.5911104868857819</c:v>
                </c:pt>
                <c:pt idx="151">
                  <c:v>-1.5632912282866585</c:v>
                </c:pt>
                <c:pt idx="152">
                  <c:v>-1.1998235108603126</c:v>
                </c:pt>
                <c:pt idx="153">
                  <c:v>-2.1321867678503281</c:v>
                </c:pt>
                <c:pt idx="154">
                  <c:v>3.9786933340528208</c:v>
                </c:pt>
                <c:pt idx="155">
                  <c:v>0.18270845138317782</c:v>
                </c:pt>
                <c:pt idx="156">
                  <c:v>-8.3031064641278363</c:v>
                </c:pt>
                <c:pt idx="157">
                  <c:v>-12.292571315846487</c:v>
                </c:pt>
                <c:pt idx="158">
                  <c:v>-8.341417294745753</c:v>
                </c:pt>
                <c:pt idx="159">
                  <c:v>-4.3812944649025951</c:v>
                </c:pt>
                <c:pt idx="160">
                  <c:v>-7.4767502292896495</c:v>
                </c:pt>
                <c:pt idx="161">
                  <c:v>-1.6879025876440892</c:v>
                </c:pt>
                <c:pt idx="162">
                  <c:v>-3.9329515990130801</c:v>
                </c:pt>
                <c:pt idx="163">
                  <c:v>-2.6756701276922001</c:v>
                </c:pt>
                <c:pt idx="164">
                  <c:v>-0.62955884662113704</c:v>
                </c:pt>
                <c:pt idx="165">
                  <c:v>-6.2199211904816991</c:v>
                </c:pt>
                <c:pt idx="166">
                  <c:v>-17.575370695035218</c:v>
                </c:pt>
                <c:pt idx="167">
                  <c:v>-23.520103982819137</c:v>
                </c:pt>
                <c:pt idx="168">
                  <c:v>-19.294590138491372</c:v>
                </c:pt>
                <c:pt idx="169">
                  <c:v>-7.0532911476121853</c:v>
                </c:pt>
                <c:pt idx="170">
                  <c:v>13.559163010579425</c:v>
                </c:pt>
                <c:pt idx="171">
                  <c:v>32.98146802316063</c:v>
                </c:pt>
                <c:pt idx="172">
                  <c:v>46.285515489629631</c:v>
                </c:pt>
                <c:pt idx="173">
                  <c:v>51.317427497637908</c:v>
                </c:pt>
                <c:pt idx="174">
                  <c:v>56.482698697085084</c:v>
                </c:pt>
                <c:pt idx="175">
                  <c:v>44.465040760028472</c:v>
                </c:pt>
                <c:pt idx="176">
                  <c:v>34.305925453751911</c:v>
                </c:pt>
                <c:pt idx="177">
                  <c:v>29.556845361277283</c:v>
                </c:pt>
                <c:pt idx="178">
                  <c:v>19.535130922503214</c:v>
                </c:pt>
                <c:pt idx="179">
                  <c:v>12.085245215207948</c:v>
                </c:pt>
                <c:pt idx="180">
                  <c:v>14.351405153971712</c:v>
                </c:pt>
                <c:pt idx="181">
                  <c:v>22.313381546118961</c:v>
                </c:pt>
                <c:pt idx="182">
                  <c:v>26.411450670150373</c:v>
                </c:pt>
                <c:pt idx="183">
                  <c:v>30.754667283063867</c:v>
                </c:pt>
                <c:pt idx="184">
                  <c:v>38.916839816341849</c:v>
                </c:pt>
                <c:pt idx="185">
                  <c:v>24.695801113199479</c:v>
                </c:pt>
                <c:pt idx="186">
                  <c:v>7.4411555702669148</c:v>
                </c:pt>
                <c:pt idx="187">
                  <c:v>-5.664489833688549</c:v>
                </c:pt>
                <c:pt idx="188">
                  <c:v>-9.7612021952689361</c:v>
                </c:pt>
                <c:pt idx="189">
                  <c:v>-21.765282823138705</c:v>
                </c:pt>
                <c:pt idx="190">
                  <c:v>-31.374530712467305</c:v>
                </c:pt>
                <c:pt idx="191">
                  <c:v>-31.147274361877521</c:v>
                </c:pt>
                <c:pt idx="192">
                  <c:v>-32.864270901823801</c:v>
                </c:pt>
                <c:pt idx="193">
                  <c:v>-47.552924088100355</c:v>
                </c:pt>
                <c:pt idx="194">
                  <c:v>-65.53049722963172</c:v>
                </c:pt>
                <c:pt idx="195">
                  <c:v>-66.592830047997296</c:v>
                </c:pt>
                <c:pt idx="196">
                  <c:v>-60.35871255584064</c:v>
                </c:pt>
                <c:pt idx="197">
                  <c:v>-56.553090002416894</c:v>
                </c:pt>
                <c:pt idx="198">
                  <c:v>-48.714675054413988</c:v>
                </c:pt>
                <c:pt idx="199">
                  <c:v>-48.294495913230378</c:v>
                </c:pt>
                <c:pt idx="200">
                  <c:v>-54.053654598160449</c:v>
                </c:pt>
                <c:pt idx="201">
                  <c:v>-55.535670486122456</c:v>
                </c:pt>
                <c:pt idx="202">
                  <c:v>-52.588201918074688</c:v>
                </c:pt>
                <c:pt idx="203">
                  <c:v>-55.208130158559115</c:v>
                </c:pt>
                <c:pt idx="204">
                  <c:v>-58.204964707095215</c:v>
                </c:pt>
                <c:pt idx="205">
                  <c:v>-52.30633959839389</c:v>
                </c:pt>
                <c:pt idx="206">
                  <c:v>-46.165915360725428</c:v>
                </c:pt>
                <c:pt idx="207">
                  <c:v>-37.23795626638767</c:v>
                </c:pt>
                <c:pt idx="208">
                  <c:v>-33.637251912385842</c:v>
                </c:pt>
                <c:pt idx="209">
                  <c:v>-37.546459813243366</c:v>
                </c:pt>
                <c:pt idx="210">
                  <c:v>-35.588015585449014</c:v>
                </c:pt>
                <c:pt idx="211">
                  <c:v>-30.206327748027036</c:v>
                </c:pt>
                <c:pt idx="212">
                  <c:v>-24.921689482947521</c:v>
                </c:pt>
                <c:pt idx="213">
                  <c:v>-26.200956911331488</c:v>
                </c:pt>
                <c:pt idx="214">
                  <c:v>-13.908144471770299</c:v>
                </c:pt>
                <c:pt idx="215">
                  <c:v>0.66272021177869789</c:v>
                </c:pt>
                <c:pt idx="216">
                  <c:v>12.871127366347975</c:v>
                </c:pt>
                <c:pt idx="217">
                  <c:v>22.294485375868305</c:v>
                </c:pt>
                <c:pt idx="218">
                  <c:v>34.523267352381069</c:v>
                </c:pt>
                <c:pt idx="219">
                  <c:v>46.316508219171773</c:v>
                </c:pt>
                <c:pt idx="220">
                  <c:v>62.441749420254226</c:v>
                </c:pt>
                <c:pt idx="221">
                  <c:v>68.836113800568882</c:v>
                </c:pt>
                <c:pt idx="222">
                  <c:v>73.741480755783741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58507992"/>
        <c:axId val="358498976"/>
      </c:barChart>
      <c:lineChart>
        <c:grouping val="standard"/>
        <c:varyColors val="0"/>
        <c:ser>
          <c:idx val="0"/>
          <c:order val="1"/>
          <c:tx>
            <c:strRef>
              <c:f>Sheet1!$E$1</c:f>
              <c:strCache>
                <c:ptCount val="1"/>
                <c:pt idx="0">
                  <c:v>MACD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Sheet1!$A$27:$A$249</c:f>
              <c:numCache>
                <c:formatCode>d\-mmm\-yy</c:formatCode>
                <c:ptCount val="223"/>
                <c:pt idx="0">
                  <c:v>44854</c:v>
                </c:pt>
                <c:pt idx="1">
                  <c:v>44855</c:v>
                </c:pt>
                <c:pt idx="2">
                  <c:v>44858</c:v>
                </c:pt>
                <c:pt idx="3">
                  <c:v>44859</c:v>
                </c:pt>
                <c:pt idx="4">
                  <c:v>44861</c:v>
                </c:pt>
                <c:pt idx="5">
                  <c:v>44862</c:v>
                </c:pt>
                <c:pt idx="6">
                  <c:v>44865</c:v>
                </c:pt>
                <c:pt idx="7">
                  <c:v>44866</c:v>
                </c:pt>
                <c:pt idx="8">
                  <c:v>44867</c:v>
                </c:pt>
                <c:pt idx="9">
                  <c:v>44868</c:v>
                </c:pt>
                <c:pt idx="10">
                  <c:v>44869</c:v>
                </c:pt>
                <c:pt idx="11">
                  <c:v>44872</c:v>
                </c:pt>
                <c:pt idx="12">
                  <c:v>44874</c:v>
                </c:pt>
                <c:pt idx="13">
                  <c:v>44875</c:v>
                </c:pt>
                <c:pt idx="14">
                  <c:v>44876</c:v>
                </c:pt>
                <c:pt idx="15">
                  <c:v>44880</c:v>
                </c:pt>
                <c:pt idx="16">
                  <c:v>44881</c:v>
                </c:pt>
                <c:pt idx="17">
                  <c:v>44882</c:v>
                </c:pt>
                <c:pt idx="18">
                  <c:v>44883</c:v>
                </c:pt>
                <c:pt idx="19">
                  <c:v>44886</c:v>
                </c:pt>
                <c:pt idx="20">
                  <c:v>44887</c:v>
                </c:pt>
                <c:pt idx="21">
                  <c:v>44888</c:v>
                </c:pt>
                <c:pt idx="22">
                  <c:v>44889</c:v>
                </c:pt>
                <c:pt idx="23">
                  <c:v>44890</c:v>
                </c:pt>
                <c:pt idx="24">
                  <c:v>44893</c:v>
                </c:pt>
                <c:pt idx="25">
                  <c:v>44894</c:v>
                </c:pt>
                <c:pt idx="26">
                  <c:v>44895</c:v>
                </c:pt>
                <c:pt idx="27">
                  <c:v>44896</c:v>
                </c:pt>
                <c:pt idx="28">
                  <c:v>44897</c:v>
                </c:pt>
                <c:pt idx="29">
                  <c:v>44900</c:v>
                </c:pt>
                <c:pt idx="30">
                  <c:v>44901</c:v>
                </c:pt>
                <c:pt idx="31">
                  <c:v>44902</c:v>
                </c:pt>
                <c:pt idx="32">
                  <c:v>44903</c:v>
                </c:pt>
                <c:pt idx="33">
                  <c:v>44904</c:v>
                </c:pt>
                <c:pt idx="34">
                  <c:v>44907</c:v>
                </c:pt>
                <c:pt idx="35">
                  <c:v>44908</c:v>
                </c:pt>
                <c:pt idx="36">
                  <c:v>44909</c:v>
                </c:pt>
                <c:pt idx="37">
                  <c:v>44910</c:v>
                </c:pt>
                <c:pt idx="38">
                  <c:v>44911</c:v>
                </c:pt>
                <c:pt idx="39">
                  <c:v>44914</c:v>
                </c:pt>
                <c:pt idx="40">
                  <c:v>44915</c:v>
                </c:pt>
                <c:pt idx="41">
                  <c:v>44916</c:v>
                </c:pt>
                <c:pt idx="42">
                  <c:v>44917</c:v>
                </c:pt>
                <c:pt idx="43">
                  <c:v>44918</c:v>
                </c:pt>
                <c:pt idx="44">
                  <c:v>44921</c:v>
                </c:pt>
                <c:pt idx="45">
                  <c:v>44922</c:v>
                </c:pt>
                <c:pt idx="46">
                  <c:v>44923</c:v>
                </c:pt>
                <c:pt idx="47">
                  <c:v>44924</c:v>
                </c:pt>
                <c:pt idx="48">
                  <c:v>44925</c:v>
                </c:pt>
                <c:pt idx="49">
                  <c:v>44928</c:v>
                </c:pt>
                <c:pt idx="50">
                  <c:v>44929</c:v>
                </c:pt>
                <c:pt idx="51">
                  <c:v>44930</c:v>
                </c:pt>
                <c:pt idx="52">
                  <c:v>44931</c:v>
                </c:pt>
                <c:pt idx="53">
                  <c:v>44932</c:v>
                </c:pt>
                <c:pt idx="54">
                  <c:v>44935</c:v>
                </c:pt>
                <c:pt idx="55">
                  <c:v>44936</c:v>
                </c:pt>
                <c:pt idx="56">
                  <c:v>44937</c:v>
                </c:pt>
                <c:pt idx="57">
                  <c:v>44938</c:v>
                </c:pt>
                <c:pt idx="58">
                  <c:v>44939</c:v>
                </c:pt>
                <c:pt idx="59">
                  <c:v>44942</c:v>
                </c:pt>
                <c:pt idx="60">
                  <c:v>44943</c:v>
                </c:pt>
                <c:pt idx="61">
                  <c:v>44944</c:v>
                </c:pt>
                <c:pt idx="62">
                  <c:v>44945</c:v>
                </c:pt>
                <c:pt idx="63">
                  <c:v>44946</c:v>
                </c:pt>
                <c:pt idx="64">
                  <c:v>44949</c:v>
                </c:pt>
                <c:pt idx="65">
                  <c:v>44950</c:v>
                </c:pt>
                <c:pt idx="66">
                  <c:v>44951</c:v>
                </c:pt>
                <c:pt idx="67">
                  <c:v>44953</c:v>
                </c:pt>
                <c:pt idx="68">
                  <c:v>44956</c:v>
                </c:pt>
                <c:pt idx="69">
                  <c:v>44957</c:v>
                </c:pt>
                <c:pt idx="70">
                  <c:v>44958</c:v>
                </c:pt>
                <c:pt idx="71">
                  <c:v>44959</c:v>
                </c:pt>
                <c:pt idx="72">
                  <c:v>44960</c:v>
                </c:pt>
                <c:pt idx="73">
                  <c:v>44963</c:v>
                </c:pt>
                <c:pt idx="74">
                  <c:v>44964</c:v>
                </c:pt>
                <c:pt idx="75">
                  <c:v>44965</c:v>
                </c:pt>
                <c:pt idx="76">
                  <c:v>44966</c:v>
                </c:pt>
                <c:pt idx="77">
                  <c:v>44967</c:v>
                </c:pt>
                <c:pt idx="78">
                  <c:v>44970</c:v>
                </c:pt>
                <c:pt idx="79">
                  <c:v>44971</c:v>
                </c:pt>
                <c:pt idx="80">
                  <c:v>44972</c:v>
                </c:pt>
                <c:pt idx="81">
                  <c:v>44973</c:v>
                </c:pt>
                <c:pt idx="82">
                  <c:v>44974</c:v>
                </c:pt>
                <c:pt idx="83">
                  <c:v>44977</c:v>
                </c:pt>
                <c:pt idx="84">
                  <c:v>44978</c:v>
                </c:pt>
                <c:pt idx="85">
                  <c:v>44979</c:v>
                </c:pt>
                <c:pt idx="86">
                  <c:v>44980</c:v>
                </c:pt>
                <c:pt idx="87">
                  <c:v>44981</c:v>
                </c:pt>
                <c:pt idx="88">
                  <c:v>44984</c:v>
                </c:pt>
                <c:pt idx="89">
                  <c:v>44985</c:v>
                </c:pt>
                <c:pt idx="90">
                  <c:v>44986</c:v>
                </c:pt>
                <c:pt idx="91">
                  <c:v>44987</c:v>
                </c:pt>
                <c:pt idx="92">
                  <c:v>44988</c:v>
                </c:pt>
                <c:pt idx="93">
                  <c:v>44991</c:v>
                </c:pt>
                <c:pt idx="94">
                  <c:v>44993</c:v>
                </c:pt>
                <c:pt idx="95">
                  <c:v>44994</c:v>
                </c:pt>
                <c:pt idx="96">
                  <c:v>44995</c:v>
                </c:pt>
                <c:pt idx="97">
                  <c:v>44998</c:v>
                </c:pt>
                <c:pt idx="98">
                  <c:v>44999</c:v>
                </c:pt>
                <c:pt idx="99">
                  <c:v>45000</c:v>
                </c:pt>
                <c:pt idx="100">
                  <c:v>45001</c:v>
                </c:pt>
                <c:pt idx="101">
                  <c:v>45002</c:v>
                </c:pt>
                <c:pt idx="102">
                  <c:v>45005</c:v>
                </c:pt>
                <c:pt idx="103">
                  <c:v>45006</c:v>
                </c:pt>
                <c:pt idx="104">
                  <c:v>45007</c:v>
                </c:pt>
                <c:pt idx="105">
                  <c:v>45008</c:v>
                </c:pt>
                <c:pt idx="106">
                  <c:v>45009</c:v>
                </c:pt>
                <c:pt idx="107">
                  <c:v>45012</c:v>
                </c:pt>
                <c:pt idx="108">
                  <c:v>45013</c:v>
                </c:pt>
                <c:pt idx="109">
                  <c:v>45014</c:v>
                </c:pt>
                <c:pt idx="110">
                  <c:v>45016</c:v>
                </c:pt>
                <c:pt idx="111">
                  <c:v>45019</c:v>
                </c:pt>
                <c:pt idx="112">
                  <c:v>45021</c:v>
                </c:pt>
                <c:pt idx="113">
                  <c:v>45022</c:v>
                </c:pt>
                <c:pt idx="114">
                  <c:v>45026</c:v>
                </c:pt>
                <c:pt idx="115">
                  <c:v>45027</c:v>
                </c:pt>
                <c:pt idx="116">
                  <c:v>45028</c:v>
                </c:pt>
                <c:pt idx="117">
                  <c:v>45029</c:v>
                </c:pt>
                <c:pt idx="118">
                  <c:v>45033</c:v>
                </c:pt>
                <c:pt idx="119">
                  <c:v>45034</c:v>
                </c:pt>
                <c:pt idx="120">
                  <c:v>45035</c:v>
                </c:pt>
                <c:pt idx="121">
                  <c:v>45036</c:v>
                </c:pt>
                <c:pt idx="122">
                  <c:v>45037</c:v>
                </c:pt>
                <c:pt idx="123">
                  <c:v>45040</c:v>
                </c:pt>
                <c:pt idx="124">
                  <c:v>45041</c:v>
                </c:pt>
                <c:pt idx="125">
                  <c:v>45042</c:v>
                </c:pt>
                <c:pt idx="126">
                  <c:v>45043</c:v>
                </c:pt>
                <c:pt idx="127">
                  <c:v>45044</c:v>
                </c:pt>
                <c:pt idx="128">
                  <c:v>45048</c:v>
                </c:pt>
                <c:pt idx="129">
                  <c:v>45049</c:v>
                </c:pt>
                <c:pt idx="130">
                  <c:v>45050</c:v>
                </c:pt>
                <c:pt idx="131">
                  <c:v>45051</c:v>
                </c:pt>
                <c:pt idx="132">
                  <c:v>45054</c:v>
                </c:pt>
                <c:pt idx="133">
                  <c:v>45055</c:v>
                </c:pt>
                <c:pt idx="134">
                  <c:v>45056</c:v>
                </c:pt>
                <c:pt idx="135">
                  <c:v>45057</c:v>
                </c:pt>
                <c:pt idx="136">
                  <c:v>45058</c:v>
                </c:pt>
                <c:pt idx="137">
                  <c:v>45061</c:v>
                </c:pt>
                <c:pt idx="138">
                  <c:v>45062</c:v>
                </c:pt>
                <c:pt idx="139">
                  <c:v>45063</c:v>
                </c:pt>
                <c:pt idx="140">
                  <c:v>45064</c:v>
                </c:pt>
                <c:pt idx="141">
                  <c:v>45065</c:v>
                </c:pt>
                <c:pt idx="142">
                  <c:v>45068</c:v>
                </c:pt>
                <c:pt idx="143">
                  <c:v>45069</c:v>
                </c:pt>
                <c:pt idx="144">
                  <c:v>45070</c:v>
                </c:pt>
                <c:pt idx="145">
                  <c:v>45071</c:v>
                </c:pt>
                <c:pt idx="146">
                  <c:v>45072</c:v>
                </c:pt>
                <c:pt idx="147">
                  <c:v>45075</c:v>
                </c:pt>
                <c:pt idx="148">
                  <c:v>45076</c:v>
                </c:pt>
                <c:pt idx="149">
                  <c:v>45077</c:v>
                </c:pt>
                <c:pt idx="150">
                  <c:v>45078</c:v>
                </c:pt>
                <c:pt idx="151">
                  <c:v>45079</c:v>
                </c:pt>
                <c:pt idx="152">
                  <c:v>45082</c:v>
                </c:pt>
                <c:pt idx="153">
                  <c:v>45083</c:v>
                </c:pt>
                <c:pt idx="154">
                  <c:v>45084</c:v>
                </c:pt>
                <c:pt idx="155">
                  <c:v>45085</c:v>
                </c:pt>
                <c:pt idx="156">
                  <c:v>45086</c:v>
                </c:pt>
                <c:pt idx="157">
                  <c:v>45089</c:v>
                </c:pt>
                <c:pt idx="158">
                  <c:v>45090</c:v>
                </c:pt>
                <c:pt idx="159">
                  <c:v>45091</c:v>
                </c:pt>
                <c:pt idx="160">
                  <c:v>45092</c:v>
                </c:pt>
                <c:pt idx="161">
                  <c:v>45093</c:v>
                </c:pt>
                <c:pt idx="162">
                  <c:v>45096</c:v>
                </c:pt>
                <c:pt idx="163">
                  <c:v>45097</c:v>
                </c:pt>
                <c:pt idx="164">
                  <c:v>45098</c:v>
                </c:pt>
                <c:pt idx="165">
                  <c:v>45099</c:v>
                </c:pt>
                <c:pt idx="166">
                  <c:v>45100</c:v>
                </c:pt>
                <c:pt idx="167">
                  <c:v>45103</c:v>
                </c:pt>
                <c:pt idx="168">
                  <c:v>45104</c:v>
                </c:pt>
                <c:pt idx="169">
                  <c:v>45105</c:v>
                </c:pt>
                <c:pt idx="170">
                  <c:v>45107</c:v>
                </c:pt>
                <c:pt idx="171">
                  <c:v>45110</c:v>
                </c:pt>
                <c:pt idx="172">
                  <c:v>45111</c:v>
                </c:pt>
                <c:pt idx="173">
                  <c:v>45112</c:v>
                </c:pt>
                <c:pt idx="174">
                  <c:v>45113</c:v>
                </c:pt>
                <c:pt idx="175">
                  <c:v>45114</c:v>
                </c:pt>
                <c:pt idx="176">
                  <c:v>45117</c:v>
                </c:pt>
                <c:pt idx="177">
                  <c:v>45118</c:v>
                </c:pt>
                <c:pt idx="178">
                  <c:v>45119</c:v>
                </c:pt>
                <c:pt idx="179">
                  <c:v>45120</c:v>
                </c:pt>
                <c:pt idx="180">
                  <c:v>45121</c:v>
                </c:pt>
                <c:pt idx="181">
                  <c:v>45124</c:v>
                </c:pt>
                <c:pt idx="182">
                  <c:v>45125</c:v>
                </c:pt>
                <c:pt idx="183">
                  <c:v>45126</c:v>
                </c:pt>
                <c:pt idx="184">
                  <c:v>45127</c:v>
                </c:pt>
                <c:pt idx="185">
                  <c:v>45128</c:v>
                </c:pt>
                <c:pt idx="186">
                  <c:v>45131</c:v>
                </c:pt>
                <c:pt idx="187">
                  <c:v>45132</c:v>
                </c:pt>
                <c:pt idx="188">
                  <c:v>45133</c:v>
                </c:pt>
                <c:pt idx="189">
                  <c:v>45134</c:v>
                </c:pt>
                <c:pt idx="190">
                  <c:v>45135</c:v>
                </c:pt>
                <c:pt idx="191">
                  <c:v>45138</c:v>
                </c:pt>
                <c:pt idx="192">
                  <c:v>45139</c:v>
                </c:pt>
                <c:pt idx="193">
                  <c:v>45140</c:v>
                </c:pt>
                <c:pt idx="194">
                  <c:v>45141</c:v>
                </c:pt>
                <c:pt idx="195">
                  <c:v>45142</c:v>
                </c:pt>
                <c:pt idx="196">
                  <c:v>45145</c:v>
                </c:pt>
                <c:pt idx="197">
                  <c:v>45146</c:v>
                </c:pt>
                <c:pt idx="198">
                  <c:v>45147</c:v>
                </c:pt>
                <c:pt idx="199">
                  <c:v>45148</c:v>
                </c:pt>
                <c:pt idx="200">
                  <c:v>45149</c:v>
                </c:pt>
                <c:pt idx="201">
                  <c:v>45152</c:v>
                </c:pt>
                <c:pt idx="202">
                  <c:v>45154</c:v>
                </c:pt>
                <c:pt idx="203">
                  <c:v>45155</c:v>
                </c:pt>
                <c:pt idx="204">
                  <c:v>45156</c:v>
                </c:pt>
                <c:pt idx="205">
                  <c:v>45159</c:v>
                </c:pt>
                <c:pt idx="206">
                  <c:v>45160</c:v>
                </c:pt>
                <c:pt idx="207">
                  <c:v>45161</c:v>
                </c:pt>
                <c:pt idx="208">
                  <c:v>45162</c:v>
                </c:pt>
                <c:pt idx="209">
                  <c:v>45163</c:v>
                </c:pt>
                <c:pt idx="210">
                  <c:v>45166</c:v>
                </c:pt>
                <c:pt idx="211">
                  <c:v>45167</c:v>
                </c:pt>
                <c:pt idx="212">
                  <c:v>45168</c:v>
                </c:pt>
                <c:pt idx="213">
                  <c:v>45169</c:v>
                </c:pt>
                <c:pt idx="214">
                  <c:v>45170</c:v>
                </c:pt>
                <c:pt idx="215">
                  <c:v>45173</c:v>
                </c:pt>
                <c:pt idx="216">
                  <c:v>45174</c:v>
                </c:pt>
                <c:pt idx="217">
                  <c:v>45175</c:v>
                </c:pt>
                <c:pt idx="218">
                  <c:v>45176</c:v>
                </c:pt>
                <c:pt idx="219">
                  <c:v>45177</c:v>
                </c:pt>
                <c:pt idx="220">
                  <c:v>45180</c:v>
                </c:pt>
                <c:pt idx="221">
                  <c:v>45181</c:v>
                </c:pt>
                <c:pt idx="222">
                  <c:v>45182</c:v>
                </c:pt>
              </c:numCache>
            </c:numRef>
          </c:cat>
          <c:val>
            <c:numRef>
              <c:f>Sheet1!$E$27:$E$249</c:f>
              <c:numCache>
                <c:formatCode>0.00</c:formatCode>
                <c:ptCount val="223"/>
                <c:pt idx="0">
                  <c:v>7.1716130304848775</c:v>
                </c:pt>
                <c:pt idx="1">
                  <c:v>25.802059590336285</c:v>
                </c:pt>
                <c:pt idx="2">
                  <c:v>52.425320460984949</c:v>
                </c:pt>
                <c:pt idx="3">
                  <c:v>66.75151834584176</c:v>
                </c:pt>
                <c:pt idx="4">
                  <c:v>83.644676023770444</c:v>
                </c:pt>
                <c:pt idx="5">
                  <c:v>99.903478466319939</c:v>
                </c:pt>
                <c:pt idx="6">
                  <c:v>129.48398204990008</c:v>
                </c:pt>
                <c:pt idx="7">
                  <c:v>161.8096303612474</c:v>
                </c:pt>
                <c:pt idx="8">
                  <c:v>180.30226501702055</c:v>
                </c:pt>
                <c:pt idx="9">
                  <c:v>190.33094157049345</c:v>
                </c:pt>
                <c:pt idx="10">
                  <c:v>201.16046375261067</c:v>
                </c:pt>
                <c:pt idx="11">
                  <c:v>214.18518382404</c:v>
                </c:pt>
                <c:pt idx="12">
                  <c:v>218.29531853728258</c:v>
                </c:pt>
                <c:pt idx="13">
                  <c:v>208.75316973953886</c:v>
                </c:pt>
                <c:pt idx="14">
                  <c:v>224.54489737960103</c:v>
                </c:pt>
                <c:pt idx="15">
                  <c:v>238.64217803914289</c:v>
                </c:pt>
                <c:pt idx="16">
                  <c:v>247.46606256682571</c:v>
                </c:pt>
                <c:pt idx="17">
                  <c:v>246.31422209630182</c:v>
                </c:pt>
                <c:pt idx="18">
                  <c:v>239.7130454074686</c:v>
                </c:pt>
                <c:pt idx="19">
                  <c:v>220.02707454975462</c:v>
                </c:pt>
                <c:pt idx="20">
                  <c:v>208.81695978032076</c:v>
                </c:pt>
                <c:pt idx="21">
                  <c:v>199.49317231389068</c:v>
                </c:pt>
                <c:pt idx="22">
                  <c:v>207.21335965712933</c:v>
                </c:pt>
                <c:pt idx="23">
                  <c:v>213.18600376186805</c:v>
                </c:pt>
                <c:pt idx="24">
                  <c:v>219.42455964151304</c:v>
                </c:pt>
                <c:pt idx="25">
                  <c:v>226.22314832623306</c:v>
                </c:pt>
                <c:pt idx="26">
                  <c:v>240.16365913817572</c:v>
                </c:pt>
                <c:pt idx="27">
                  <c:v>252.66846209182768</c:v>
                </c:pt>
                <c:pt idx="28">
                  <c:v>250.30078962427069</c:v>
                </c:pt>
                <c:pt idx="29">
                  <c:v>245.9882167266187</c:v>
                </c:pt>
                <c:pt idx="30">
                  <c:v>235.1554235250187</c:v>
                </c:pt>
                <c:pt idx="31">
                  <c:v>217.42710493658888</c:v>
                </c:pt>
                <c:pt idx="32">
                  <c:v>204.95646097201825</c:v>
                </c:pt>
                <c:pt idx="33">
                  <c:v>183.85602526220464</c:v>
                </c:pt>
                <c:pt idx="34">
                  <c:v>165.27299414753361</c:v>
                </c:pt>
                <c:pt idx="35">
                  <c:v>157.67292140359496</c:v>
                </c:pt>
                <c:pt idx="36">
                  <c:v>154.09368581898525</c:v>
                </c:pt>
                <c:pt idx="37">
                  <c:v>129.95731963937214</c:v>
                </c:pt>
                <c:pt idx="38">
                  <c:v>97.927319702190289</c:v>
                </c:pt>
                <c:pt idx="39">
                  <c:v>83.798091036853293</c:v>
                </c:pt>
                <c:pt idx="40">
                  <c:v>68.969229933958559</c:v>
                </c:pt>
                <c:pt idx="41">
                  <c:v>41.711640979454387</c:v>
                </c:pt>
                <c:pt idx="42">
                  <c:v>14.156987058067898</c:v>
                </c:pt>
                <c:pt idx="43">
                  <c:v>-33.16369036818287</c:v>
                </c:pt>
                <c:pt idx="44">
                  <c:v>-53.283723219312378</c:v>
                </c:pt>
                <c:pt idx="45">
                  <c:v>-59.050886014709249</c:v>
                </c:pt>
                <c:pt idx="46">
                  <c:v>-63.678140216059546</c:v>
                </c:pt>
                <c:pt idx="47">
                  <c:v>-61.113417550841405</c:v>
                </c:pt>
                <c:pt idx="48">
                  <c:v>-65.244037484917499</c:v>
                </c:pt>
                <c:pt idx="49">
                  <c:v>-60.385759228309325</c:v>
                </c:pt>
                <c:pt idx="50">
                  <c:v>-53.091259064549376</c:v>
                </c:pt>
                <c:pt idx="51">
                  <c:v>-61.895952565144398</c:v>
                </c:pt>
                <c:pt idx="52">
                  <c:v>-72.141271375407086</c:v>
                </c:pt>
                <c:pt idx="53">
                  <c:v>-89.931862792273023</c:v>
                </c:pt>
                <c:pt idx="54">
                  <c:v>-83.560595522951189</c:v>
                </c:pt>
                <c:pt idx="55">
                  <c:v>-92.537971929919877</c:v>
                </c:pt>
                <c:pt idx="56">
                  <c:v>-99.988760033043945</c:v>
                </c:pt>
                <c:pt idx="57">
                  <c:v>-107.67825202229506</c:v>
                </c:pt>
                <c:pt idx="58">
                  <c:v>-104.62610754638081</c:v>
                </c:pt>
                <c:pt idx="59">
                  <c:v>-105.96843187384002</c:v>
                </c:pt>
                <c:pt idx="60">
                  <c:v>-93.172606980835553</c:v>
                </c:pt>
                <c:pt idx="61">
                  <c:v>-73.147130418157758</c:v>
                </c:pt>
                <c:pt idx="62">
                  <c:v>-61.210963533805625</c:v>
                </c:pt>
                <c:pt idx="63">
                  <c:v>-57.559425792118418</c:v>
                </c:pt>
                <c:pt idx="64">
                  <c:v>-46.79130447550051</c:v>
                </c:pt>
                <c:pt idx="65">
                  <c:v>-37.841450971303857</c:v>
                </c:pt>
                <c:pt idx="66">
                  <c:v>-48.454626135011495</c:v>
                </c:pt>
                <c:pt idx="67">
                  <c:v>-79.160052532392001</c:v>
                </c:pt>
                <c:pt idx="68">
                  <c:v>-98.757066917431075</c:v>
                </c:pt>
                <c:pt idx="69">
                  <c:v>-111.93242500351698</c:v>
                </c:pt>
                <c:pt idx="70">
                  <c:v>-124.63696566921863</c:v>
                </c:pt>
                <c:pt idx="71">
                  <c:v>-133.64095661050305</c:v>
                </c:pt>
                <c:pt idx="72">
                  <c:v>-119.73592436665785</c:v>
                </c:pt>
                <c:pt idx="73">
                  <c:v>-114.61276891217494</c:v>
                </c:pt>
                <c:pt idx="74">
                  <c:v>-112.73094889613276</c:v>
                </c:pt>
                <c:pt idx="75">
                  <c:v>-97.990138924629719</c:v>
                </c:pt>
                <c:pt idx="76">
                  <c:v>-83.58933180821623</c:v>
                </c:pt>
                <c:pt idx="77">
                  <c:v>-74.301641539706907</c:v>
                </c:pt>
                <c:pt idx="78">
                  <c:v>-73.006708804667142</c:v>
                </c:pt>
                <c:pt idx="79">
                  <c:v>-58.480403000241495</c:v>
                </c:pt>
                <c:pt idx="80">
                  <c:v>-39.572551979676064</c:v>
                </c:pt>
                <c:pt idx="81">
                  <c:v>-22.712297738722555</c:v>
                </c:pt>
                <c:pt idx="82">
                  <c:v>-16.554978344942356</c:v>
                </c:pt>
                <c:pt idx="83">
                  <c:v>-19.487506132209091</c:v>
                </c:pt>
                <c:pt idx="84">
                  <c:v>-22.990911023858644</c:v>
                </c:pt>
                <c:pt idx="85">
                  <c:v>-47.203653762058821</c:v>
                </c:pt>
                <c:pt idx="86">
                  <c:v>-69.07000600695028</c:v>
                </c:pt>
                <c:pt idx="87">
                  <c:v>-89.040281913836225</c:v>
                </c:pt>
                <c:pt idx="88">
                  <c:v>-109.50314444015748</c:v>
                </c:pt>
                <c:pt idx="89">
                  <c:v>-131.36717468795541</c:v>
                </c:pt>
                <c:pt idx="90">
                  <c:v>-135.27754397397803</c:v>
                </c:pt>
                <c:pt idx="91">
                  <c:v>-147.09019747186539</c:v>
                </c:pt>
                <c:pt idx="92">
                  <c:v>-132.93498072551665</c:v>
                </c:pt>
                <c:pt idx="93">
                  <c:v>-110.98847209831729</c:v>
                </c:pt>
                <c:pt idx="94">
                  <c:v>-89.102877337994869</c:v>
                </c:pt>
                <c:pt idx="95">
                  <c:v>-84.087065177198383</c:v>
                </c:pt>
                <c:pt idx="96">
                  <c:v>-93.294767157458409</c:v>
                </c:pt>
                <c:pt idx="97">
                  <c:v>-120.07465027979924</c:v>
                </c:pt>
                <c:pt idx="98">
                  <c:v>-148.54236896220391</c:v>
                </c:pt>
                <c:pt idx="99">
                  <c:v>-174.82913010697303</c:v>
                </c:pt>
                <c:pt idx="100">
                  <c:v>-192.3588816579213</c:v>
                </c:pt>
                <c:pt idx="101">
                  <c:v>-194.7709789510227</c:v>
                </c:pt>
                <c:pt idx="102">
                  <c:v>-203.34773917837083</c:v>
                </c:pt>
                <c:pt idx="103">
                  <c:v>-198.24921526329126</c:v>
                </c:pt>
                <c:pt idx="104">
                  <c:v>-188.45351458608275</c:v>
                </c:pt>
                <c:pt idx="105">
                  <c:v>-184.61410790637819</c:v>
                </c:pt>
                <c:pt idx="106">
                  <c:v>-190.02010999029881</c:v>
                </c:pt>
                <c:pt idx="107">
                  <c:v>-188.84737532681174</c:v>
                </c:pt>
                <c:pt idx="108">
                  <c:v>-188.48870998844723</c:v>
                </c:pt>
                <c:pt idx="109">
                  <c:v>-175.76908660382105</c:v>
                </c:pt>
                <c:pt idx="110">
                  <c:v>-141.54010433263102</c:v>
                </c:pt>
                <c:pt idx="111">
                  <c:v>-110.05426233289472</c:v>
                </c:pt>
                <c:pt idx="112">
                  <c:v>-71.447927292269014</c:v>
                </c:pt>
                <c:pt idx="113">
                  <c:v>-37.028172747137432</c:v>
                </c:pt>
                <c:pt idx="114">
                  <c:v>-7.6528303229206358</c:v>
                </c:pt>
                <c:pt idx="115">
                  <c:v>23.28685767693969</c:v>
                </c:pt>
                <c:pt idx="116">
                  <c:v>54.449441065127758</c:v>
                </c:pt>
                <c:pt idx="117">
                  <c:v>79.488508493875997</c:v>
                </c:pt>
                <c:pt idx="118">
                  <c:v>88.535772052084212</c:v>
                </c:pt>
                <c:pt idx="119">
                  <c:v>90.889773164046346</c:v>
                </c:pt>
                <c:pt idx="120">
                  <c:v>88.395731036220241</c:v>
                </c:pt>
                <c:pt idx="121">
                  <c:v>85.88905152255029</c:v>
                </c:pt>
                <c:pt idx="122">
                  <c:v>82.914427384806913</c:v>
                </c:pt>
                <c:pt idx="123">
                  <c:v>89.159785369371093</c:v>
                </c:pt>
                <c:pt idx="124">
                  <c:v>95.098914441383386</c:v>
                </c:pt>
                <c:pt idx="125">
                  <c:v>102.20622166941394</c:v>
                </c:pt>
                <c:pt idx="126">
                  <c:v>114.70275899428452</c:v>
                </c:pt>
                <c:pt idx="127">
                  <c:v>135.148162778798</c:v>
                </c:pt>
                <c:pt idx="128">
                  <c:v>156.21965391732738</c:v>
                </c:pt>
                <c:pt idx="129">
                  <c:v>166.33754977894205</c:v>
                </c:pt>
                <c:pt idx="130">
                  <c:v>185.60726819155752</c:v>
                </c:pt>
                <c:pt idx="131">
                  <c:v>183.68801887732116</c:v>
                </c:pt>
                <c:pt idx="132">
                  <c:v>195.67848714819411</c:v>
                </c:pt>
                <c:pt idx="133">
                  <c:v>202.96642112510744</c:v>
                </c:pt>
                <c:pt idx="134">
                  <c:v>210.2841309802352</c:v>
                </c:pt>
                <c:pt idx="135">
                  <c:v>212.1771044453053</c:v>
                </c:pt>
                <c:pt idx="136">
                  <c:v>212.66217363366377</c:v>
                </c:pt>
                <c:pt idx="137">
                  <c:v>217.32355634666601</c:v>
                </c:pt>
                <c:pt idx="138">
                  <c:v>209.53662193267519</c:v>
                </c:pt>
                <c:pt idx="139">
                  <c:v>192.6917403042462</c:v>
                </c:pt>
                <c:pt idx="140">
                  <c:v>173.1660724722351</c:v>
                </c:pt>
                <c:pt idx="141">
                  <c:v>161.75404129362869</c:v>
                </c:pt>
                <c:pt idx="142">
                  <c:v>159.82434118168749</c:v>
                </c:pt>
                <c:pt idx="143">
                  <c:v>159.17144974148687</c:v>
                </c:pt>
                <c:pt idx="144">
                  <c:v>151.85227325994492</c:v>
                </c:pt>
                <c:pt idx="145">
                  <c:v>147.23921734694522</c:v>
                </c:pt>
                <c:pt idx="146">
                  <c:v>156.16244456784625</c:v>
                </c:pt>
                <c:pt idx="147">
                  <c:v>169.29531552931803</c:v>
                </c:pt>
                <c:pt idx="148">
                  <c:v>180.46328775805523</c:v>
                </c:pt>
                <c:pt idx="149">
                  <c:v>179.22322853261358</c:v>
                </c:pt>
                <c:pt idx="150">
                  <c:v>172.48787468325099</c:v>
                </c:pt>
                <c:pt idx="151">
                  <c:v>168.9426501610069</c:v>
                </c:pt>
                <c:pt idx="152">
                  <c:v>169.00616200071818</c:v>
                </c:pt>
                <c:pt idx="153">
                  <c:v>167.54075205176559</c:v>
                </c:pt>
                <c:pt idx="154">
                  <c:v>174.64630548718196</c:v>
                </c:pt>
                <c:pt idx="155">
                  <c:v>170.89599771735811</c:v>
                </c:pt>
                <c:pt idx="156">
                  <c:v>160.33440618581517</c:v>
                </c:pt>
                <c:pt idx="157">
                  <c:v>153.27179850513494</c:v>
                </c:pt>
                <c:pt idx="158">
                  <c:v>155.13759820254927</c:v>
                </c:pt>
                <c:pt idx="159">
                  <c:v>158.00239741616679</c:v>
                </c:pt>
                <c:pt idx="160">
                  <c:v>153.03775409445734</c:v>
                </c:pt>
                <c:pt idx="161">
                  <c:v>158.40462608919188</c:v>
                </c:pt>
                <c:pt idx="162">
                  <c:v>155.17633917806961</c:v>
                </c:pt>
                <c:pt idx="163">
                  <c:v>155.76470311746743</c:v>
                </c:pt>
                <c:pt idx="164">
                  <c:v>157.65342468688323</c:v>
                </c:pt>
                <c:pt idx="165">
                  <c:v>150.50808204540226</c:v>
                </c:pt>
                <c:pt idx="166">
                  <c:v>134.75878986708994</c:v>
                </c:pt>
                <c:pt idx="167">
                  <c:v>122.93403058360127</c:v>
                </c:pt>
                <c:pt idx="168">
                  <c:v>122.3358968933062</c:v>
                </c:pt>
                <c:pt idx="169">
                  <c:v>132.81387309728234</c:v>
                </c:pt>
                <c:pt idx="170">
                  <c:v>156.81611800811879</c:v>
                </c:pt>
                <c:pt idx="171">
                  <c:v>184.48379002649017</c:v>
                </c:pt>
                <c:pt idx="172">
                  <c:v>209.35921636536659</c:v>
                </c:pt>
                <c:pt idx="173">
                  <c:v>227.22048524778438</c:v>
                </c:pt>
                <c:pt idx="174">
                  <c:v>246.50643112150283</c:v>
                </c:pt>
                <c:pt idx="175">
                  <c:v>245.60503337445334</c:v>
                </c:pt>
                <c:pt idx="176">
                  <c:v>244.02239943161476</c:v>
                </c:pt>
                <c:pt idx="177">
                  <c:v>246.66253067945945</c:v>
                </c:pt>
                <c:pt idx="178">
                  <c:v>241.52459897131121</c:v>
                </c:pt>
                <c:pt idx="179">
                  <c:v>237.09602456781795</c:v>
                </c:pt>
                <c:pt idx="180">
                  <c:v>242.95003579507465</c:v>
                </c:pt>
                <c:pt idx="181">
                  <c:v>256.49035757375168</c:v>
                </c:pt>
                <c:pt idx="182">
                  <c:v>267.1912893653207</c:v>
                </c:pt>
                <c:pt idx="183">
                  <c:v>279.22317279900017</c:v>
                </c:pt>
                <c:pt idx="184">
                  <c:v>297.11455528636361</c:v>
                </c:pt>
                <c:pt idx="185">
                  <c:v>289.0674668615211</c:v>
                </c:pt>
                <c:pt idx="186">
                  <c:v>273.67311021115529</c:v>
                </c:pt>
                <c:pt idx="187">
                  <c:v>259.15134234877769</c:v>
                </c:pt>
                <c:pt idx="188">
                  <c:v>252.61432943838008</c:v>
                </c:pt>
                <c:pt idx="189">
                  <c:v>235.16892810472564</c:v>
                </c:pt>
                <c:pt idx="190">
                  <c:v>217.71604753728025</c:v>
                </c:pt>
                <c:pt idx="191">
                  <c:v>210.15648529740065</c:v>
                </c:pt>
                <c:pt idx="192">
                  <c:v>200.22342103199844</c:v>
                </c:pt>
                <c:pt idx="193">
                  <c:v>173.64653682369681</c:v>
                </c:pt>
                <c:pt idx="194">
                  <c:v>139.28633937475752</c:v>
                </c:pt>
                <c:pt idx="195">
                  <c:v>121.57579904439262</c:v>
                </c:pt>
                <c:pt idx="196">
                  <c:v>112.72023839758913</c:v>
                </c:pt>
                <c:pt idx="197">
                  <c:v>102.38758845040866</c:v>
                </c:pt>
                <c:pt idx="198">
                  <c:v>98.047334634808067</c:v>
                </c:pt>
                <c:pt idx="199">
                  <c:v>86.393889797684096</c:v>
                </c:pt>
                <c:pt idx="200">
                  <c:v>67.121317463213927</c:v>
                </c:pt>
                <c:pt idx="201">
                  <c:v>51.755383953721321</c:v>
                </c:pt>
                <c:pt idx="202">
                  <c:v>41.555802042250434</c:v>
                </c:pt>
                <c:pt idx="203">
                  <c:v>25.133841262126225</c:v>
                </c:pt>
                <c:pt idx="204">
                  <c:v>7.585765536816325</c:v>
                </c:pt>
                <c:pt idx="205">
                  <c:v>0.40780574591917684</c:v>
                </c:pt>
                <c:pt idx="206">
                  <c:v>-4.9932488565937092</c:v>
                </c:pt>
                <c:pt idx="207">
                  <c:v>-5.3747788288528682</c:v>
                </c:pt>
                <c:pt idx="208">
                  <c:v>-10.1833874529475</c:v>
                </c:pt>
                <c:pt idx="209">
                  <c:v>-23.479210307115864</c:v>
                </c:pt>
                <c:pt idx="210">
                  <c:v>-30.417769975683768</c:v>
                </c:pt>
                <c:pt idx="211">
                  <c:v>-32.587664075268549</c:v>
                </c:pt>
                <c:pt idx="212">
                  <c:v>-33.533448180925916</c:v>
                </c:pt>
                <c:pt idx="213">
                  <c:v>-41.362954837142752</c:v>
                </c:pt>
                <c:pt idx="214">
                  <c:v>-32.547178515524138</c:v>
                </c:pt>
                <c:pt idx="215">
                  <c:v>-17.810633779030468</c:v>
                </c:pt>
                <c:pt idx="216">
                  <c:v>-2.3844447828741977</c:v>
                </c:pt>
                <c:pt idx="217">
                  <c:v>12.612534570613207</c:v>
                </c:pt>
                <c:pt idx="218">
                  <c:v>33.472133385221241</c:v>
                </c:pt>
                <c:pt idx="219">
                  <c:v>56.844501306804887</c:v>
                </c:pt>
                <c:pt idx="220">
                  <c:v>88.580179862950899</c:v>
                </c:pt>
                <c:pt idx="221">
                  <c:v>112.18357269340777</c:v>
                </c:pt>
                <c:pt idx="222">
                  <c:v>135.52430983756858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Sheet1!$F$1</c:f>
              <c:strCache>
                <c:ptCount val="1"/>
                <c:pt idx="0">
                  <c:v>Signal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Sheet1!$A$27:$A$249</c:f>
              <c:numCache>
                <c:formatCode>d\-mmm\-yy</c:formatCode>
                <c:ptCount val="223"/>
                <c:pt idx="0">
                  <c:v>44854</c:v>
                </c:pt>
                <c:pt idx="1">
                  <c:v>44855</c:v>
                </c:pt>
                <c:pt idx="2">
                  <c:v>44858</c:v>
                </c:pt>
                <c:pt idx="3">
                  <c:v>44859</c:v>
                </c:pt>
                <c:pt idx="4">
                  <c:v>44861</c:v>
                </c:pt>
                <c:pt idx="5">
                  <c:v>44862</c:v>
                </c:pt>
                <c:pt idx="6">
                  <c:v>44865</c:v>
                </c:pt>
                <c:pt idx="7">
                  <c:v>44866</c:v>
                </c:pt>
                <c:pt idx="8">
                  <c:v>44867</c:v>
                </c:pt>
                <c:pt idx="9">
                  <c:v>44868</c:v>
                </c:pt>
                <c:pt idx="10">
                  <c:v>44869</c:v>
                </c:pt>
                <c:pt idx="11">
                  <c:v>44872</c:v>
                </c:pt>
                <c:pt idx="12">
                  <c:v>44874</c:v>
                </c:pt>
                <c:pt idx="13">
                  <c:v>44875</c:v>
                </c:pt>
                <c:pt idx="14">
                  <c:v>44876</c:v>
                </c:pt>
                <c:pt idx="15">
                  <c:v>44880</c:v>
                </c:pt>
                <c:pt idx="16">
                  <c:v>44881</c:v>
                </c:pt>
                <c:pt idx="17">
                  <c:v>44882</c:v>
                </c:pt>
                <c:pt idx="18">
                  <c:v>44883</c:v>
                </c:pt>
                <c:pt idx="19">
                  <c:v>44886</c:v>
                </c:pt>
                <c:pt idx="20">
                  <c:v>44887</c:v>
                </c:pt>
                <c:pt idx="21">
                  <c:v>44888</c:v>
                </c:pt>
                <c:pt idx="22">
                  <c:v>44889</c:v>
                </c:pt>
                <c:pt idx="23">
                  <c:v>44890</c:v>
                </c:pt>
                <c:pt idx="24">
                  <c:v>44893</c:v>
                </c:pt>
                <c:pt idx="25">
                  <c:v>44894</c:v>
                </c:pt>
                <c:pt idx="26">
                  <c:v>44895</c:v>
                </c:pt>
                <c:pt idx="27">
                  <c:v>44896</c:v>
                </c:pt>
                <c:pt idx="28">
                  <c:v>44897</c:v>
                </c:pt>
                <c:pt idx="29">
                  <c:v>44900</c:v>
                </c:pt>
                <c:pt idx="30">
                  <c:v>44901</c:v>
                </c:pt>
                <c:pt idx="31">
                  <c:v>44902</c:v>
                </c:pt>
                <c:pt idx="32">
                  <c:v>44903</c:v>
                </c:pt>
                <c:pt idx="33">
                  <c:v>44904</c:v>
                </c:pt>
                <c:pt idx="34">
                  <c:v>44907</c:v>
                </c:pt>
                <c:pt idx="35">
                  <c:v>44908</c:v>
                </c:pt>
                <c:pt idx="36">
                  <c:v>44909</c:v>
                </c:pt>
                <c:pt idx="37">
                  <c:v>44910</c:v>
                </c:pt>
                <c:pt idx="38">
                  <c:v>44911</c:v>
                </c:pt>
                <c:pt idx="39">
                  <c:v>44914</c:v>
                </c:pt>
                <c:pt idx="40">
                  <c:v>44915</c:v>
                </c:pt>
                <c:pt idx="41">
                  <c:v>44916</c:v>
                </c:pt>
                <c:pt idx="42">
                  <c:v>44917</c:v>
                </c:pt>
                <c:pt idx="43">
                  <c:v>44918</c:v>
                </c:pt>
                <c:pt idx="44">
                  <c:v>44921</c:v>
                </c:pt>
                <c:pt idx="45">
                  <c:v>44922</c:v>
                </c:pt>
                <c:pt idx="46">
                  <c:v>44923</c:v>
                </c:pt>
                <c:pt idx="47">
                  <c:v>44924</c:v>
                </c:pt>
                <c:pt idx="48">
                  <c:v>44925</c:v>
                </c:pt>
                <c:pt idx="49">
                  <c:v>44928</c:v>
                </c:pt>
                <c:pt idx="50">
                  <c:v>44929</c:v>
                </c:pt>
                <c:pt idx="51">
                  <c:v>44930</c:v>
                </c:pt>
                <c:pt idx="52">
                  <c:v>44931</c:v>
                </c:pt>
                <c:pt idx="53">
                  <c:v>44932</c:v>
                </c:pt>
                <c:pt idx="54">
                  <c:v>44935</c:v>
                </c:pt>
                <c:pt idx="55">
                  <c:v>44936</c:v>
                </c:pt>
                <c:pt idx="56">
                  <c:v>44937</c:v>
                </c:pt>
                <c:pt idx="57">
                  <c:v>44938</c:v>
                </c:pt>
                <c:pt idx="58">
                  <c:v>44939</c:v>
                </c:pt>
                <c:pt idx="59">
                  <c:v>44942</c:v>
                </c:pt>
                <c:pt idx="60">
                  <c:v>44943</c:v>
                </c:pt>
                <c:pt idx="61">
                  <c:v>44944</c:v>
                </c:pt>
                <c:pt idx="62">
                  <c:v>44945</c:v>
                </c:pt>
                <c:pt idx="63">
                  <c:v>44946</c:v>
                </c:pt>
                <c:pt idx="64">
                  <c:v>44949</c:v>
                </c:pt>
                <c:pt idx="65">
                  <c:v>44950</c:v>
                </c:pt>
                <c:pt idx="66">
                  <c:v>44951</c:v>
                </c:pt>
                <c:pt idx="67">
                  <c:v>44953</c:v>
                </c:pt>
                <c:pt idx="68">
                  <c:v>44956</c:v>
                </c:pt>
                <c:pt idx="69">
                  <c:v>44957</c:v>
                </c:pt>
                <c:pt idx="70">
                  <c:v>44958</c:v>
                </c:pt>
                <c:pt idx="71">
                  <c:v>44959</c:v>
                </c:pt>
                <c:pt idx="72">
                  <c:v>44960</c:v>
                </c:pt>
                <c:pt idx="73">
                  <c:v>44963</c:v>
                </c:pt>
                <c:pt idx="74">
                  <c:v>44964</c:v>
                </c:pt>
                <c:pt idx="75">
                  <c:v>44965</c:v>
                </c:pt>
                <c:pt idx="76">
                  <c:v>44966</c:v>
                </c:pt>
                <c:pt idx="77">
                  <c:v>44967</c:v>
                </c:pt>
                <c:pt idx="78">
                  <c:v>44970</c:v>
                </c:pt>
                <c:pt idx="79">
                  <c:v>44971</c:v>
                </c:pt>
                <c:pt idx="80">
                  <c:v>44972</c:v>
                </c:pt>
                <c:pt idx="81">
                  <c:v>44973</c:v>
                </c:pt>
                <c:pt idx="82">
                  <c:v>44974</c:v>
                </c:pt>
                <c:pt idx="83">
                  <c:v>44977</c:v>
                </c:pt>
                <c:pt idx="84">
                  <c:v>44978</c:v>
                </c:pt>
                <c:pt idx="85">
                  <c:v>44979</c:v>
                </c:pt>
                <c:pt idx="86">
                  <c:v>44980</c:v>
                </c:pt>
                <c:pt idx="87">
                  <c:v>44981</c:v>
                </c:pt>
                <c:pt idx="88">
                  <c:v>44984</c:v>
                </c:pt>
                <c:pt idx="89">
                  <c:v>44985</c:v>
                </c:pt>
                <c:pt idx="90">
                  <c:v>44986</c:v>
                </c:pt>
                <c:pt idx="91">
                  <c:v>44987</c:v>
                </c:pt>
                <c:pt idx="92">
                  <c:v>44988</c:v>
                </c:pt>
                <c:pt idx="93">
                  <c:v>44991</c:v>
                </c:pt>
                <c:pt idx="94">
                  <c:v>44993</c:v>
                </c:pt>
                <c:pt idx="95">
                  <c:v>44994</c:v>
                </c:pt>
                <c:pt idx="96">
                  <c:v>44995</c:v>
                </c:pt>
                <c:pt idx="97">
                  <c:v>44998</c:v>
                </c:pt>
                <c:pt idx="98">
                  <c:v>44999</c:v>
                </c:pt>
                <c:pt idx="99">
                  <c:v>45000</c:v>
                </c:pt>
                <c:pt idx="100">
                  <c:v>45001</c:v>
                </c:pt>
                <c:pt idx="101">
                  <c:v>45002</c:v>
                </c:pt>
                <c:pt idx="102">
                  <c:v>45005</c:v>
                </c:pt>
                <c:pt idx="103">
                  <c:v>45006</c:v>
                </c:pt>
                <c:pt idx="104">
                  <c:v>45007</c:v>
                </c:pt>
                <c:pt idx="105">
                  <c:v>45008</c:v>
                </c:pt>
                <c:pt idx="106">
                  <c:v>45009</c:v>
                </c:pt>
                <c:pt idx="107">
                  <c:v>45012</c:v>
                </c:pt>
                <c:pt idx="108">
                  <c:v>45013</c:v>
                </c:pt>
                <c:pt idx="109">
                  <c:v>45014</c:v>
                </c:pt>
                <c:pt idx="110">
                  <c:v>45016</c:v>
                </c:pt>
                <c:pt idx="111">
                  <c:v>45019</c:v>
                </c:pt>
                <c:pt idx="112">
                  <c:v>45021</c:v>
                </c:pt>
                <c:pt idx="113">
                  <c:v>45022</c:v>
                </c:pt>
                <c:pt idx="114">
                  <c:v>45026</c:v>
                </c:pt>
                <c:pt idx="115">
                  <c:v>45027</c:v>
                </c:pt>
                <c:pt idx="116">
                  <c:v>45028</c:v>
                </c:pt>
                <c:pt idx="117">
                  <c:v>45029</c:v>
                </c:pt>
                <c:pt idx="118">
                  <c:v>45033</c:v>
                </c:pt>
                <c:pt idx="119">
                  <c:v>45034</c:v>
                </c:pt>
                <c:pt idx="120">
                  <c:v>45035</c:v>
                </c:pt>
                <c:pt idx="121">
                  <c:v>45036</c:v>
                </c:pt>
                <c:pt idx="122">
                  <c:v>45037</c:v>
                </c:pt>
                <c:pt idx="123">
                  <c:v>45040</c:v>
                </c:pt>
                <c:pt idx="124">
                  <c:v>45041</c:v>
                </c:pt>
                <c:pt idx="125">
                  <c:v>45042</c:v>
                </c:pt>
                <c:pt idx="126">
                  <c:v>45043</c:v>
                </c:pt>
                <c:pt idx="127">
                  <c:v>45044</c:v>
                </c:pt>
                <c:pt idx="128">
                  <c:v>45048</c:v>
                </c:pt>
                <c:pt idx="129">
                  <c:v>45049</c:v>
                </c:pt>
                <c:pt idx="130">
                  <c:v>45050</c:v>
                </c:pt>
                <c:pt idx="131">
                  <c:v>45051</c:v>
                </c:pt>
                <c:pt idx="132">
                  <c:v>45054</c:v>
                </c:pt>
                <c:pt idx="133">
                  <c:v>45055</c:v>
                </c:pt>
                <c:pt idx="134">
                  <c:v>45056</c:v>
                </c:pt>
                <c:pt idx="135">
                  <c:v>45057</c:v>
                </c:pt>
                <c:pt idx="136">
                  <c:v>45058</c:v>
                </c:pt>
                <c:pt idx="137">
                  <c:v>45061</c:v>
                </c:pt>
                <c:pt idx="138">
                  <c:v>45062</c:v>
                </c:pt>
                <c:pt idx="139">
                  <c:v>45063</c:v>
                </c:pt>
                <c:pt idx="140">
                  <c:v>45064</c:v>
                </c:pt>
                <c:pt idx="141">
                  <c:v>45065</c:v>
                </c:pt>
                <c:pt idx="142">
                  <c:v>45068</c:v>
                </c:pt>
                <c:pt idx="143">
                  <c:v>45069</c:v>
                </c:pt>
                <c:pt idx="144">
                  <c:v>45070</c:v>
                </c:pt>
                <c:pt idx="145">
                  <c:v>45071</c:v>
                </c:pt>
                <c:pt idx="146">
                  <c:v>45072</c:v>
                </c:pt>
                <c:pt idx="147">
                  <c:v>45075</c:v>
                </c:pt>
                <c:pt idx="148">
                  <c:v>45076</c:v>
                </c:pt>
                <c:pt idx="149">
                  <c:v>45077</c:v>
                </c:pt>
                <c:pt idx="150">
                  <c:v>45078</c:v>
                </c:pt>
                <c:pt idx="151">
                  <c:v>45079</c:v>
                </c:pt>
                <c:pt idx="152">
                  <c:v>45082</c:v>
                </c:pt>
                <c:pt idx="153">
                  <c:v>45083</c:v>
                </c:pt>
                <c:pt idx="154">
                  <c:v>45084</c:v>
                </c:pt>
                <c:pt idx="155">
                  <c:v>45085</c:v>
                </c:pt>
                <c:pt idx="156">
                  <c:v>45086</c:v>
                </c:pt>
                <c:pt idx="157">
                  <c:v>45089</c:v>
                </c:pt>
                <c:pt idx="158">
                  <c:v>45090</c:v>
                </c:pt>
                <c:pt idx="159">
                  <c:v>45091</c:v>
                </c:pt>
                <c:pt idx="160">
                  <c:v>45092</c:v>
                </c:pt>
                <c:pt idx="161">
                  <c:v>45093</c:v>
                </c:pt>
                <c:pt idx="162">
                  <c:v>45096</c:v>
                </c:pt>
                <c:pt idx="163">
                  <c:v>45097</c:v>
                </c:pt>
                <c:pt idx="164">
                  <c:v>45098</c:v>
                </c:pt>
                <c:pt idx="165">
                  <c:v>45099</c:v>
                </c:pt>
                <c:pt idx="166">
                  <c:v>45100</c:v>
                </c:pt>
                <c:pt idx="167">
                  <c:v>45103</c:v>
                </c:pt>
                <c:pt idx="168">
                  <c:v>45104</c:v>
                </c:pt>
                <c:pt idx="169">
                  <c:v>45105</c:v>
                </c:pt>
                <c:pt idx="170">
                  <c:v>45107</c:v>
                </c:pt>
                <c:pt idx="171">
                  <c:v>45110</c:v>
                </c:pt>
                <c:pt idx="172">
                  <c:v>45111</c:v>
                </c:pt>
                <c:pt idx="173">
                  <c:v>45112</c:v>
                </c:pt>
                <c:pt idx="174">
                  <c:v>45113</c:v>
                </c:pt>
                <c:pt idx="175">
                  <c:v>45114</c:v>
                </c:pt>
                <c:pt idx="176">
                  <c:v>45117</c:v>
                </c:pt>
                <c:pt idx="177">
                  <c:v>45118</c:v>
                </c:pt>
                <c:pt idx="178">
                  <c:v>45119</c:v>
                </c:pt>
                <c:pt idx="179">
                  <c:v>45120</c:v>
                </c:pt>
                <c:pt idx="180">
                  <c:v>45121</c:v>
                </c:pt>
                <c:pt idx="181">
                  <c:v>45124</c:v>
                </c:pt>
                <c:pt idx="182">
                  <c:v>45125</c:v>
                </c:pt>
                <c:pt idx="183">
                  <c:v>45126</c:v>
                </c:pt>
                <c:pt idx="184">
                  <c:v>45127</c:v>
                </c:pt>
                <c:pt idx="185">
                  <c:v>45128</c:v>
                </c:pt>
                <c:pt idx="186">
                  <c:v>45131</c:v>
                </c:pt>
                <c:pt idx="187">
                  <c:v>45132</c:v>
                </c:pt>
                <c:pt idx="188">
                  <c:v>45133</c:v>
                </c:pt>
                <c:pt idx="189">
                  <c:v>45134</c:v>
                </c:pt>
                <c:pt idx="190">
                  <c:v>45135</c:v>
                </c:pt>
                <c:pt idx="191">
                  <c:v>45138</c:v>
                </c:pt>
                <c:pt idx="192">
                  <c:v>45139</c:v>
                </c:pt>
                <c:pt idx="193">
                  <c:v>45140</c:v>
                </c:pt>
                <c:pt idx="194">
                  <c:v>45141</c:v>
                </c:pt>
                <c:pt idx="195">
                  <c:v>45142</c:v>
                </c:pt>
                <c:pt idx="196">
                  <c:v>45145</c:v>
                </c:pt>
                <c:pt idx="197">
                  <c:v>45146</c:v>
                </c:pt>
                <c:pt idx="198">
                  <c:v>45147</c:v>
                </c:pt>
                <c:pt idx="199">
                  <c:v>45148</c:v>
                </c:pt>
                <c:pt idx="200">
                  <c:v>45149</c:v>
                </c:pt>
                <c:pt idx="201">
                  <c:v>45152</c:v>
                </c:pt>
                <c:pt idx="202">
                  <c:v>45154</c:v>
                </c:pt>
                <c:pt idx="203">
                  <c:v>45155</c:v>
                </c:pt>
                <c:pt idx="204">
                  <c:v>45156</c:v>
                </c:pt>
                <c:pt idx="205">
                  <c:v>45159</c:v>
                </c:pt>
                <c:pt idx="206">
                  <c:v>45160</c:v>
                </c:pt>
                <c:pt idx="207">
                  <c:v>45161</c:v>
                </c:pt>
                <c:pt idx="208">
                  <c:v>45162</c:v>
                </c:pt>
                <c:pt idx="209">
                  <c:v>45163</c:v>
                </c:pt>
                <c:pt idx="210">
                  <c:v>45166</c:v>
                </c:pt>
                <c:pt idx="211">
                  <c:v>45167</c:v>
                </c:pt>
                <c:pt idx="212">
                  <c:v>45168</c:v>
                </c:pt>
                <c:pt idx="213">
                  <c:v>45169</c:v>
                </c:pt>
                <c:pt idx="214">
                  <c:v>45170</c:v>
                </c:pt>
                <c:pt idx="215">
                  <c:v>45173</c:v>
                </c:pt>
                <c:pt idx="216">
                  <c:v>45174</c:v>
                </c:pt>
                <c:pt idx="217">
                  <c:v>45175</c:v>
                </c:pt>
                <c:pt idx="218">
                  <c:v>45176</c:v>
                </c:pt>
                <c:pt idx="219">
                  <c:v>45177</c:v>
                </c:pt>
                <c:pt idx="220">
                  <c:v>45180</c:v>
                </c:pt>
                <c:pt idx="221">
                  <c:v>45181</c:v>
                </c:pt>
                <c:pt idx="222">
                  <c:v>45182</c:v>
                </c:pt>
              </c:numCache>
            </c:numRef>
          </c:cat>
          <c:val>
            <c:numRef>
              <c:f>Sheet1!$F$27:$F$249</c:f>
              <c:numCache>
                <c:formatCode>0.00</c:formatCode>
                <c:ptCount val="223"/>
                <c:pt idx="8">
                  <c:v>89.699393705100704</c:v>
                </c:pt>
                <c:pt idx="9">
                  <c:v>109.82570327817925</c:v>
                </c:pt>
                <c:pt idx="10">
                  <c:v>128.09265537306553</c:v>
                </c:pt>
                <c:pt idx="11">
                  <c:v>145.31116106326044</c:v>
                </c:pt>
                <c:pt idx="12">
                  <c:v>159.90799255806488</c:v>
                </c:pt>
                <c:pt idx="13">
                  <c:v>169.67702799435966</c:v>
                </c:pt>
                <c:pt idx="14">
                  <c:v>180.65060187140793</c:v>
                </c:pt>
                <c:pt idx="15">
                  <c:v>192.24891710495493</c:v>
                </c:pt>
                <c:pt idx="16">
                  <c:v>203.2923461973291</c:v>
                </c:pt>
                <c:pt idx="17">
                  <c:v>211.89672137712367</c:v>
                </c:pt>
                <c:pt idx="18">
                  <c:v>217.45998618319265</c:v>
                </c:pt>
                <c:pt idx="19">
                  <c:v>217.97340385650506</c:v>
                </c:pt>
                <c:pt idx="20">
                  <c:v>216.1421150412682</c:v>
                </c:pt>
                <c:pt idx="21">
                  <c:v>212.81232649579272</c:v>
                </c:pt>
                <c:pt idx="22">
                  <c:v>211.69253312806006</c:v>
                </c:pt>
                <c:pt idx="23">
                  <c:v>211.99122725482167</c:v>
                </c:pt>
                <c:pt idx="24">
                  <c:v>213.47789373215997</c:v>
                </c:pt>
                <c:pt idx="25">
                  <c:v>216.0269446509746</c:v>
                </c:pt>
                <c:pt idx="26">
                  <c:v>220.85428754841485</c:v>
                </c:pt>
                <c:pt idx="27">
                  <c:v>227.21712245709745</c:v>
                </c:pt>
                <c:pt idx="28">
                  <c:v>231.83385589053211</c:v>
                </c:pt>
                <c:pt idx="29">
                  <c:v>234.66472805774944</c:v>
                </c:pt>
                <c:pt idx="30">
                  <c:v>234.7628671512033</c:v>
                </c:pt>
                <c:pt idx="31">
                  <c:v>231.29571470828043</c:v>
                </c:pt>
                <c:pt idx="32">
                  <c:v>226.027863961028</c:v>
                </c:pt>
                <c:pt idx="33">
                  <c:v>217.59349622126334</c:v>
                </c:pt>
                <c:pt idx="34">
                  <c:v>207.12939580651741</c:v>
                </c:pt>
                <c:pt idx="35">
                  <c:v>197.23810092593294</c:v>
                </c:pt>
                <c:pt idx="36">
                  <c:v>188.60921790454341</c:v>
                </c:pt>
                <c:pt idx="37">
                  <c:v>176.87883825150917</c:v>
                </c:pt>
                <c:pt idx="38">
                  <c:v>161.0885345416454</c:v>
                </c:pt>
                <c:pt idx="39">
                  <c:v>145.630445840687</c:v>
                </c:pt>
                <c:pt idx="40">
                  <c:v>130.29820265934131</c:v>
                </c:pt>
                <c:pt idx="41">
                  <c:v>112.58089032336393</c:v>
                </c:pt>
                <c:pt idx="42">
                  <c:v>92.896109670304725</c:v>
                </c:pt>
                <c:pt idx="43">
                  <c:v>67.684149662607211</c:v>
                </c:pt>
                <c:pt idx="44">
                  <c:v>43.490575086223295</c:v>
                </c:pt>
                <c:pt idx="45">
                  <c:v>22.982282866036783</c:v>
                </c:pt>
                <c:pt idx="46">
                  <c:v>5.6501982496175174</c:v>
                </c:pt>
                <c:pt idx="47">
                  <c:v>-7.702524910474267</c:v>
                </c:pt>
                <c:pt idx="48">
                  <c:v>-19.210827425362915</c:v>
                </c:pt>
                <c:pt idx="49">
                  <c:v>-27.445813785952197</c:v>
                </c:pt>
                <c:pt idx="50">
                  <c:v>-32.57490284167163</c:v>
                </c:pt>
                <c:pt idx="51">
                  <c:v>-38.439112786366188</c:v>
                </c:pt>
                <c:pt idx="52">
                  <c:v>-45.179544504174373</c:v>
                </c:pt>
                <c:pt idx="53">
                  <c:v>-54.130008161794102</c:v>
                </c:pt>
                <c:pt idx="54">
                  <c:v>-60.016125634025528</c:v>
                </c:pt>
                <c:pt idx="55">
                  <c:v>-66.5204948932044</c:v>
                </c:pt>
                <c:pt idx="56">
                  <c:v>-73.214147921172312</c:v>
                </c:pt>
                <c:pt idx="57">
                  <c:v>-80.106968741396855</c:v>
                </c:pt>
                <c:pt idx="58">
                  <c:v>-85.010796502393646</c:v>
                </c:pt>
                <c:pt idx="59">
                  <c:v>-89.202323576682929</c:v>
                </c:pt>
                <c:pt idx="60">
                  <c:v>-89.996380257513465</c:v>
                </c:pt>
                <c:pt idx="61">
                  <c:v>-86.626530289642332</c:v>
                </c:pt>
                <c:pt idx="62">
                  <c:v>-81.543416938475005</c:v>
                </c:pt>
                <c:pt idx="63">
                  <c:v>-76.746618709203688</c:v>
                </c:pt>
                <c:pt idx="64">
                  <c:v>-70.755555862463055</c:v>
                </c:pt>
                <c:pt idx="65">
                  <c:v>-64.172734884231218</c:v>
                </c:pt>
                <c:pt idx="66">
                  <c:v>-61.029113134387273</c:v>
                </c:pt>
                <c:pt idx="67">
                  <c:v>-64.655301013988222</c:v>
                </c:pt>
                <c:pt idx="68">
                  <c:v>-71.475654194676792</c:v>
                </c:pt>
                <c:pt idx="69">
                  <c:v>-79.56700835644483</c:v>
                </c:pt>
                <c:pt idx="70">
                  <c:v>-88.580999818999587</c:v>
                </c:pt>
                <c:pt idx="71">
                  <c:v>-97.592991177300291</c:v>
                </c:pt>
                <c:pt idx="72">
                  <c:v>-102.02157781517181</c:v>
                </c:pt>
                <c:pt idx="73">
                  <c:v>-104.53981603457244</c:v>
                </c:pt>
                <c:pt idx="74">
                  <c:v>-106.1780426068845</c:v>
                </c:pt>
                <c:pt idx="75">
                  <c:v>-104.54046187043356</c:v>
                </c:pt>
                <c:pt idx="76">
                  <c:v>-100.3502358579901</c:v>
                </c:pt>
                <c:pt idx="77">
                  <c:v>-95.140516994333467</c:v>
                </c:pt>
                <c:pt idx="78">
                  <c:v>-90.713755356400213</c:v>
                </c:pt>
                <c:pt idx="79">
                  <c:v>-84.267084885168472</c:v>
                </c:pt>
                <c:pt idx="80">
                  <c:v>-75.328178304069993</c:v>
                </c:pt>
                <c:pt idx="81">
                  <c:v>-64.805002191000511</c:v>
                </c:pt>
                <c:pt idx="82">
                  <c:v>-55.154997421788877</c:v>
                </c:pt>
                <c:pt idx="83">
                  <c:v>-48.021499163872924</c:v>
                </c:pt>
                <c:pt idx="84">
                  <c:v>-43.015381535870077</c:v>
                </c:pt>
                <c:pt idx="85">
                  <c:v>-43.85303598110783</c:v>
                </c:pt>
                <c:pt idx="86">
                  <c:v>-48.896429986276324</c:v>
                </c:pt>
                <c:pt idx="87">
                  <c:v>-56.925200371788307</c:v>
                </c:pt>
                <c:pt idx="88">
                  <c:v>-67.440789185462137</c:v>
                </c:pt>
                <c:pt idx="89">
                  <c:v>-80.226066285960798</c:v>
                </c:pt>
                <c:pt idx="90">
                  <c:v>-91.236361823564238</c:v>
                </c:pt>
                <c:pt idx="91">
                  <c:v>-102.40712895322447</c:v>
                </c:pt>
                <c:pt idx="92">
                  <c:v>-108.51269930768291</c:v>
                </c:pt>
                <c:pt idx="93">
                  <c:v>-109.00785386580979</c:v>
                </c:pt>
                <c:pt idx="94">
                  <c:v>-105.02685856024681</c:v>
                </c:pt>
                <c:pt idx="95">
                  <c:v>-100.83889988363714</c:v>
                </c:pt>
                <c:pt idx="96">
                  <c:v>-99.330073338401405</c:v>
                </c:pt>
                <c:pt idx="97">
                  <c:v>-103.47898872668098</c:v>
                </c:pt>
                <c:pt idx="98">
                  <c:v>-112.49166477378557</c:v>
                </c:pt>
                <c:pt idx="99">
                  <c:v>-124.95915784042307</c:v>
                </c:pt>
                <c:pt idx="100">
                  <c:v>-138.43910260392272</c:v>
                </c:pt>
                <c:pt idx="101">
                  <c:v>-149.70547787334272</c:v>
                </c:pt>
                <c:pt idx="102">
                  <c:v>-160.43393013434834</c:v>
                </c:pt>
                <c:pt idx="103">
                  <c:v>-167.99698716013694</c:v>
                </c:pt>
                <c:pt idx="104">
                  <c:v>-172.08829264532611</c:v>
                </c:pt>
                <c:pt idx="105">
                  <c:v>-174.59345569753651</c:v>
                </c:pt>
                <c:pt idx="106">
                  <c:v>-177.67878655608897</c:v>
                </c:pt>
                <c:pt idx="107">
                  <c:v>-179.91250431023352</c:v>
                </c:pt>
                <c:pt idx="108">
                  <c:v>-181.62774544587626</c:v>
                </c:pt>
                <c:pt idx="109">
                  <c:v>-180.45601367746522</c:v>
                </c:pt>
                <c:pt idx="110">
                  <c:v>-172.67283180849842</c:v>
                </c:pt>
                <c:pt idx="111">
                  <c:v>-160.14911791337767</c:v>
                </c:pt>
                <c:pt idx="112">
                  <c:v>-142.40887978915595</c:v>
                </c:pt>
                <c:pt idx="113">
                  <c:v>-121.33273838075225</c:v>
                </c:pt>
                <c:pt idx="114">
                  <c:v>-98.59675676918593</c:v>
                </c:pt>
                <c:pt idx="115">
                  <c:v>-74.220033879960809</c:v>
                </c:pt>
                <c:pt idx="116">
                  <c:v>-48.486138890943103</c:v>
                </c:pt>
                <c:pt idx="117">
                  <c:v>-22.891209413979283</c:v>
                </c:pt>
                <c:pt idx="118">
                  <c:v>-0.60581312076658378</c:v>
                </c:pt>
                <c:pt idx="119">
                  <c:v>17.693304136196005</c:v>
                </c:pt>
                <c:pt idx="120">
                  <c:v>31.833789516200852</c:v>
                </c:pt>
                <c:pt idx="121">
                  <c:v>42.644841917470742</c:v>
                </c:pt>
                <c:pt idx="122">
                  <c:v>50.698759010937977</c:v>
                </c:pt>
                <c:pt idx="123">
                  <c:v>58.390964282624608</c:v>
                </c:pt>
                <c:pt idx="124">
                  <c:v>65.732554314376372</c:v>
                </c:pt>
                <c:pt idx="125">
                  <c:v>73.027287785383891</c:v>
                </c:pt>
                <c:pt idx="126">
                  <c:v>81.362382027164017</c:v>
                </c:pt>
                <c:pt idx="127">
                  <c:v>92.119538177490824</c:v>
                </c:pt>
                <c:pt idx="128">
                  <c:v>104.93956132545813</c:v>
                </c:pt>
                <c:pt idx="129">
                  <c:v>117.21915901615492</c:v>
                </c:pt>
                <c:pt idx="130">
                  <c:v>130.89678085123546</c:v>
                </c:pt>
                <c:pt idx="131">
                  <c:v>141.4550284564526</c:v>
                </c:pt>
                <c:pt idx="132">
                  <c:v>152.2997201948009</c:v>
                </c:pt>
                <c:pt idx="133">
                  <c:v>162.43306038086223</c:v>
                </c:pt>
                <c:pt idx="134">
                  <c:v>172.00327450073684</c:v>
                </c:pt>
                <c:pt idx="135">
                  <c:v>180.03804048965054</c:v>
                </c:pt>
                <c:pt idx="136">
                  <c:v>186.5628671184532</c:v>
                </c:pt>
                <c:pt idx="137">
                  <c:v>192.71500496409578</c:v>
                </c:pt>
                <c:pt idx="138">
                  <c:v>196.07932835781168</c:v>
                </c:pt>
                <c:pt idx="139">
                  <c:v>195.40181074709861</c:v>
                </c:pt>
                <c:pt idx="140">
                  <c:v>190.95466309212594</c:v>
                </c:pt>
                <c:pt idx="141">
                  <c:v>185.1145387324265</c:v>
                </c:pt>
                <c:pt idx="142">
                  <c:v>180.05649922227872</c:v>
                </c:pt>
                <c:pt idx="143">
                  <c:v>175.87948932612034</c:v>
                </c:pt>
                <c:pt idx="144">
                  <c:v>171.07404611288524</c:v>
                </c:pt>
                <c:pt idx="145">
                  <c:v>166.30708035969727</c:v>
                </c:pt>
                <c:pt idx="146">
                  <c:v>164.27815320132709</c:v>
                </c:pt>
                <c:pt idx="147">
                  <c:v>165.28158566692528</c:v>
                </c:pt>
                <c:pt idx="148">
                  <c:v>168.31792608515127</c:v>
                </c:pt>
                <c:pt idx="149">
                  <c:v>170.49898657464374</c:v>
                </c:pt>
                <c:pt idx="150">
                  <c:v>170.89676419636521</c:v>
                </c:pt>
                <c:pt idx="151">
                  <c:v>170.50594138929355</c:v>
                </c:pt>
                <c:pt idx="152">
                  <c:v>170.20598551157849</c:v>
                </c:pt>
                <c:pt idx="153">
                  <c:v>169.67293881961592</c:v>
                </c:pt>
                <c:pt idx="154">
                  <c:v>170.66761215312914</c:v>
                </c:pt>
                <c:pt idx="155">
                  <c:v>170.71328926597494</c:v>
                </c:pt>
                <c:pt idx="156">
                  <c:v>168.63751264994301</c:v>
                </c:pt>
                <c:pt idx="157">
                  <c:v>165.56436982098143</c:v>
                </c:pt>
                <c:pt idx="158">
                  <c:v>163.47901549729502</c:v>
                </c:pt>
                <c:pt idx="159">
                  <c:v>162.38369188106938</c:v>
                </c:pt>
                <c:pt idx="160">
                  <c:v>160.51450432374699</c:v>
                </c:pt>
                <c:pt idx="161">
                  <c:v>160.09252867683597</c:v>
                </c:pt>
                <c:pt idx="162">
                  <c:v>159.10929077708269</c:v>
                </c:pt>
                <c:pt idx="163">
                  <c:v>158.44037324515963</c:v>
                </c:pt>
                <c:pt idx="164">
                  <c:v>158.28298353350436</c:v>
                </c:pt>
                <c:pt idx="165">
                  <c:v>156.72800323588396</c:v>
                </c:pt>
                <c:pt idx="166">
                  <c:v>152.33416056212516</c:v>
                </c:pt>
                <c:pt idx="167">
                  <c:v>146.45413456642041</c:v>
                </c:pt>
                <c:pt idx="168">
                  <c:v>141.63048703179757</c:v>
                </c:pt>
                <c:pt idx="169">
                  <c:v>139.86716424489452</c:v>
                </c:pt>
                <c:pt idx="170">
                  <c:v>143.25695499753937</c:v>
                </c:pt>
                <c:pt idx="171">
                  <c:v>151.50232200332954</c:v>
                </c:pt>
                <c:pt idx="172">
                  <c:v>163.07370087573696</c:v>
                </c:pt>
                <c:pt idx="173">
                  <c:v>175.90305775014647</c:v>
                </c:pt>
                <c:pt idx="174">
                  <c:v>190.02373242441774</c:v>
                </c:pt>
                <c:pt idx="175">
                  <c:v>201.13999261442487</c:v>
                </c:pt>
                <c:pt idx="176">
                  <c:v>209.71647397786285</c:v>
                </c:pt>
                <c:pt idx="177">
                  <c:v>217.10568531818217</c:v>
                </c:pt>
                <c:pt idx="178">
                  <c:v>221.98946804880799</c:v>
                </c:pt>
                <c:pt idx="179">
                  <c:v>225.01077935261</c:v>
                </c:pt>
                <c:pt idx="180">
                  <c:v>228.59863064110294</c:v>
                </c:pt>
                <c:pt idx="181">
                  <c:v>234.17697602763272</c:v>
                </c:pt>
                <c:pt idx="182">
                  <c:v>240.77983869517033</c:v>
                </c:pt>
                <c:pt idx="183">
                  <c:v>248.4685055159363</c:v>
                </c:pt>
                <c:pt idx="184">
                  <c:v>258.19771547002176</c:v>
                </c:pt>
                <c:pt idx="185">
                  <c:v>264.37166574832162</c:v>
                </c:pt>
                <c:pt idx="186">
                  <c:v>266.23195464088838</c:v>
                </c:pt>
                <c:pt idx="187">
                  <c:v>264.81583218246624</c:v>
                </c:pt>
                <c:pt idx="188">
                  <c:v>262.37553163364902</c:v>
                </c:pt>
                <c:pt idx="189">
                  <c:v>256.93421092786434</c:v>
                </c:pt>
                <c:pt idx="190">
                  <c:v>249.09057824974755</c:v>
                </c:pt>
                <c:pt idx="191">
                  <c:v>241.30375965927817</c:v>
                </c:pt>
                <c:pt idx="192">
                  <c:v>233.08769193382224</c:v>
                </c:pt>
                <c:pt idx="193">
                  <c:v>221.19946091179716</c:v>
                </c:pt>
                <c:pt idx="194">
                  <c:v>204.81683660438924</c:v>
                </c:pt>
                <c:pt idx="195">
                  <c:v>188.16862909238992</c:v>
                </c:pt>
                <c:pt idx="196">
                  <c:v>173.07895095342977</c:v>
                </c:pt>
                <c:pt idx="197">
                  <c:v>158.94067845282555</c:v>
                </c:pt>
                <c:pt idx="198">
                  <c:v>146.76200968922205</c:v>
                </c:pt>
                <c:pt idx="199">
                  <c:v>134.68838571091447</c:v>
                </c:pt>
                <c:pt idx="200">
                  <c:v>121.17497206137438</c:v>
                </c:pt>
                <c:pt idx="201">
                  <c:v>107.29105443984378</c:v>
                </c:pt>
                <c:pt idx="202">
                  <c:v>94.144003960325122</c:v>
                </c:pt>
                <c:pt idx="203">
                  <c:v>80.34197142068534</c:v>
                </c:pt>
                <c:pt idx="204">
                  <c:v>65.79073024391154</c:v>
                </c:pt>
                <c:pt idx="205">
                  <c:v>52.714145344313067</c:v>
                </c:pt>
                <c:pt idx="206">
                  <c:v>41.172666504131719</c:v>
                </c:pt>
                <c:pt idx="207">
                  <c:v>31.863177437534802</c:v>
                </c:pt>
                <c:pt idx="208">
                  <c:v>23.453864459438343</c:v>
                </c:pt>
                <c:pt idx="209">
                  <c:v>14.067249506127501</c:v>
                </c:pt>
                <c:pt idx="210">
                  <c:v>5.1702456097652476</c:v>
                </c:pt>
                <c:pt idx="211">
                  <c:v>-2.3813363272415113</c:v>
                </c:pt>
                <c:pt idx="212">
                  <c:v>-8.6117586979783933</c:v>
                </c:pt>
                <c:pt idx="213">
                  <c:v>-15.161997925811265</c:v>
                </c:pt>
                <c:pt idx="214">
                  <c:v>-18.639034043753838</c:v>
                </c:pt>
                <c:pt idx="215">
                  <c:v>-18.473353990809166</c:v>
                </c:pt>
                <c:pt idx="216">
                  <c:v>-15.255572149222173</c:v>
                </c:pt>
                <c:pt idx="217">
                  <c:v>-9.6819508052550987</c:v>
                </c:pt>
                <c:pt idx="218">
                  <c:v>-1.0511339671598314</c:v>
                </c:pt>
                <c:pt idx="219">
                  <c:v>10.527993087633112</c:v>
                </c:pt>
                <c:pt idx="220">
                  <c:v>26.13843044269667</c:v>
                </c:pt>
                <c:pt idx="221">
                  <c:v>43.347458892838894</c:v>
                </c:pt>
                <c:pt idx="222">
                  <c:v>61.78282908178484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07992"/>
        <c:axId val="358498976"/>
      </c:lineChart>
      <c:catAx>
        <c:axId val="35850799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358498976"/>
        <c:crosses val="autoZero"/>
        <c:auto val="0"/>
        <c:lblAlgn val="ctr"/>
        <c:lblOffset val="100"/>
        <c:noMultiLvlLbl val="0"/>
      </c:catAx>
      <c:valAx>
        <c:axId val="3584989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crossAx val="358507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9519331718150615"/>
          <c:y val="0.16301690480964209"/>
          <c:w val="0.23086588935998381"/>
          <c:h val="0.20403848471826649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21685</xdr:colOff>
      <xdr:row>8</xdr:row>
      <xdr:rowOff>66261</xdr:rowOff>
    </xdr:from>
    <xdr:to>
      <xdr:col>16</xdr:col>
      <xdr:colOff>208721</xdr:colOff>
      <xdr:row>30</xdr:row>
      <xdr:rowOff>23794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eem/AppData/Local/Temp/Rar$DIa16516.31314/MACD%20Tuto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D"/>
    </sheetNames>
    <sheetDataSet>
      <sheetData sheetId="0">
        <row r="4">
          <cell r="E4" t="str">
            <v>MACD</v>
          </cell>
          <cell r="F4" t="str">
            <v>Signal</v>
          </cell>
          <cell r="G4" t="str">
            <v>Histogram</v>
          </cell>
        </row>
        <row r="30">
          <cell r="A30">
            <v>41359</v>
          </cell>
          <cell r="E30">
            <v>8.2752695039076229</v>
          </cell>
        </row>
        <row r="31">
          <cell r="A31">
            <v>41360</v>
          </cell>
          <cell r="E31">
            <v>7.70337838145673</v>
          </cell>
        </row>
        <row r="32">
          <cell r="A32">
            <v>41361</v>
          </cell>
          <cell r="E32">
            <v>6.4160747569558794</v>
          </cell>
        </row>
        <row r="33">
          <cell r="A33">
            <v>41365</v>
          </cell>
          <cell r="E33">
            <v>4.2375197832648155</v>
          </cell>
        </row>
        <row r="34">
          <cell r="A34">
            <v>41366</v>
          </cell>
          <cell r="E34">
            <v>2.5525833248657364</v>
          </cell>
        </row>
        <row r="35">
          <cell r="A35">
            <v>41367</v>
          </cell>
          <cell r="E35">
            <v>1.3788857198536562</v>
          </cell>
        </row>
        <row r="36">
          <cell r="A36">
            <v>41368</v>
          </cell>
          <cell r="E36">
            <v>0.10298149119910249</v>
          </cell>
        </row>
        <row r="37">
          <cell r="A37">
            <v>41369</v>
          </cell>
          <cell r="E37">
            <v>-1.2584019528031263</v>
          </cell>
        </row>
        <row r="38">
          <cell r="A38">
            <v>41372</v>
          </cell>
          <cell r="E38">
            <v>-2.0705581900949142</v>
          </cell>
          <cell r="F38">
            <v>3.0375258687339448</v>
          </cell>
          <cell r="G38">
            <v>-5.108084058828859</v>
          </cell>
        </row>
        <row r="39">
          <cell r="A39">
            <v>41373</v>
          </cell>
          <cell r="E39">
            <v>-2.6218423282568892</v>
          </cell>
          <cell r="F39">
            <v>1.9056522293357783</v>
          </cell>
          <cell r="G39">
            <v>-4.5274945575926679</v>
          </cell>
        </row>
        <row r="40">
          <cell r="A40">
            <v>41374</v>
          </cell>
          <cell r="E40">
            <v>-2.3290667404549481</v>
          </cell>
          <cell r="F40">
            <v>1.058708435377633</v>
          </cell>
          <cell r="G40">
            <v>-3.3877751758325809</v>
          </cell>
        </row>
        <row r="41">
          <cell r="A41">
            <v>41375</v>
          </cell>
          <cell r="E41">
            <v>-2.1816321147929898</v>
          </cell>
          <cell r="F41">
            <v>0.41064032534350853</v>
          </cell>
          <cell r="G41">
            <v>-2.5922724401364983</v>
          </cell>
        </row>
        <row r="42">
          <cell r="A42">
            <v>41376</v>
          </cell>
          <cell r="E42">
            <v>-2.4026262728664278</v>
          </cell>
          <cell r="F42">
            <v>-0.15201299429847875</v>
          </cell>
          <cell r="G42">
            <v>-2.2506132785679491</v>
          </cell>
        </row>
        <row r="43">
          <cell r="A43">
            <v>41379</v>
          </cell>
          <cell r="E43">
            <v>-3.3421216813528645</v>
          </cell>
          <cell r="F43">
            <v>-0.79003473170935601</v>
          </cell>
          <cell r="G43">
            <v>-2.5520869496435084</v>
          </cell>
        </row>
        <row r="44">
          <cell r="A44">
            <v>41380</v>
          </cell>
          <cell r="E44">
            <v>-3.5303631360775398</v>
          </cell>
          <cell r="F44">
            <v>-1.3381004125829929</v>
          </cell>
          <cell r="G44">
            <v>-2.1922627234945469</v>
          </cell>
        </row>
        <row r="45">
          <cell r="A45">
            <v>41381</v>
          </cell>
          <cell r="E45">
            <v>-5.5074712486273256</v>
          </cell>
          <cell r="F45">
            <v>-2.1719745797918595</v>
          </cell>
          <cell r="G45">
            <v>-3.3354966688354661</v>
          </cell>
        </row>
        <row r="46">
          <cell r="A46">
            <v>41382</v>
          </cell>
          <cell r="E46">
            <v>-7.8512742285608397</v>
          </cell>
          <cell r="F46">
            <v>-3.3078345095456561</v>
          </cell>
          <cell r="G46">
            <v>-4.5434397190151836</v>
          </cell>
        </row>
        <row r="47">
          <cell r="A47">
            <v>41383</v>
          </cell>
          <cell r="E47">
            <v>-9.7193674552488005</v>
          </cell>
          <cell r="F47">
            <v>-4.5901410986862849</v>
          </cell>
          <cell r="G47">
            <v>-5.1292263565625156</v>
          </cell>
        </row>
        <row r="48">
          <cell r="A48">
            <v>41386</v>
          </cell>
          <cell r="E48">
            <v>-10.422866508007189</v>
          </cell>
          <cell r="F48">
            <v>-5.7566861805504654</v>
          </cell>
          <cell r="G48">
            <v>-4.6661803274567237</v>
          </cell>
        </row>
        <row r="49">
          <cell r="A49">
            <v>41387</v>
          </cell>
          <cell r="E49">
            <v>-10.260162158937476</v>
          </cell>
          <cell r="F49">
            <v>-6.6573813762278675</v>
          </cell>
          <cell r="G49">
            <v>-3.6027807827096083</v>
          </cell>
        </row>
        <row r="50">
          <cell r="A50">
            <v>41388</v>
          </cell>
          <cell r="E50">
            <v>-10.069209610134294</v>
          </cell>
          <cell r="F50">
            <v>-7.3397470230091528</v>
          </cell>
          <cell r="G50">
            <v>-2.7294625871251412</v>
          </cell>
        </row>
        <row r="51">
          <cell r="A51">
            <v>41389</v>
          </cell>
          <cell r="E51">
            <v>-9.5719196119536036</v>
          </cell>
          <cell r="F51">
            <v>-7.7861815407980437</v>
          </cell>
          <cell r="G51">
            <v>-1.7857380711555599</v>
          </cell>
        </row>
        <row r="52">
          <cell r="A52">
            <v>41390</v>
          </cell>
          <cell r="E52">
            <v>-8.3696334924450753</v>
          </cell>
          <cell r="F52">
            <v>-7.90287193112745</v>
          </cell>
          <cell r="G52">
            <v>-0.46676156131762525</v>
          </cell>
        </row>
        <row r="53">
          <cell r="A53">
            <v>41393</v>
          </cell>
          <cell r="E53">
            <v>-6.3016357236854219</v>
          </cell>
          <cell r="F53">
            <v>-7.5826246896390455</v>
          </cell>
          <cell r="G53">
            <v>1.2809889659536235</v>
          </cell>
        </row>
        <row r="54">
          <cell r="A54">
            <v>41394</v>
          </cell>
          <cell r="E54">
            <v>-3.5996815091451708</v>
          </cell>
          <cell r="F54">
            <v>-6.7860360535402711</v>
          </cell>
          <cell r="G54">
            <v>3.1863545443951002</v>
          </cell>
        </row>
        <row r="55">
          <cell r="A55">
            <v>41395</v>
          </cell>
          <cell r="E55">
            <v>-1.7201483608968715</v>
          </cell>
          <cell r="F55">
            <v>-5.7728585150115919</v>
          </cell>
          <cell r="G55">
            <v>4.0527101541147204</v>
          </cell>
        </row>
        <row r="56">
          <cell r="A56">
            <v>41396</v>
          </cell>
          <cell r="E56">
            <v>0.26900323229938294</v>
          </cell>
          <cell r="F56">
            <v>-4.5644861655493969</v>
          </cell>
          <cell r="G56">
            <v>4.8334893978487798</v>
          </cell>
        </row>
        <row r="57">
          <cell r="A57">
            <v>41397</v>
          </cell>
          <cell r="E57">
            <v>2.1801732471134869</v>
          </cell>
          <cell r="F57">
            <v>-3.2155542830168207</v>
          </cell>
          <cell r="G57">
            <v>5.3957275301303076</v>
          </cell>
        </row>
        <row r="58">
          <cell r="A58">
            <v>41400</v>
          </cell>
          <cell r="E58">
            <v>4.5086378086104446</v>
          </cell>
          <cell r="F58">
            <v>-1.6707158646913678</v>
          </cell>
          <cell r="G58">
            <v>6.1793536733018124</v>
          </cell>
        </row>
        <row r="59">
          <cell r="A59">
            <v>41401</v>
          </cell>
          <cell r="E59">
            <v>6.118020153844725</v>
          </cell>
          <cell r="F59">
            <v>-0.11296866098414915</v>
          </cell>
          <cell r="G59">
            <v>6.2309888148288746</v>
          </cell>
        </row>
        <row r="60">
          <cell r="A60">
            <v>41402</v>
          </cell>
          <cell r="E60">
            <v>7.7224305935143889</v>
          </cell>
          <cell r="F60">
            <v>1.4541111899155585</v>
          </cell>
          <cell r="G60">
            <v>6.2683194035988308</v>
          </cell>
        </row>
        <row r="61">
          <cell r="A61">
            <v>41403</v>
          </cell>
          <cell r="E61">
            <v>8.32745380871404</v>
          </cell>
          <cell r="F61">
            <v>2.8287797136752548</v>
          </cell>
          <cell r="G61">
            <v>5.4986740950387851</v>
          </cell>
        </row>
        <row r="62">
          <cell r="A62">
            <v>41404</v>
          </cell>
          <cell r="E62">
            <v>8.4034411846258763</v>
          </cell>
          <cell r="F62">
            <v>3.9437120078653796</v>
          </cell>
          <cell r="G62">
            <v>4.4597291767604972</v>
          </cell>
        </row>
        <row r="63">
          <cell r="A63">
            <v>41407</v>
          </cell>
          <cell r="E63">
            <v>8.5084063231935261</v>
          </cell>
          <cell r="F63">
            <v>4.8566508709310092</v>
          </cell>
          <cell r="G63">
            <v>3.6517554522625169</v>
          </cell>
        </row>
        <row r="64">
          <cell r="A64">
            <v>41408</v>
          </cell>
          <cell r="E64">
            <v>7.6257618440292276</v>
          </cell>
          <cell r="F64">
            <v>5.4104730655506534</v>
          </cell>
          <cell r="G64">
            <v>2.2152887784785742</v>
          </cell>
        </row>
        <row r="65">
          <cell r="A65">
            <v>41409</v>
          </cell>
          <cell r="E65">
            <v>5.6499490829286856</v>
          </cell>
          <cell r="F65">
            <v>5.45836826902626</v>
          </cell>
          <cell r="G65">
            <v>0.19158081390242554</v>
          </cell>
        </row>
        <row r="66">
          <cell r="A66">
            <v>41410</v>
          </cell>
          <cell r="E66">
            <v>4.494654764882057</v>
          </cell>
          <cell r="F66">
            <v>5.2656255681974198</v>
          </cell>
          <cell r="G66">
            <v>-0.77097080331536283</v>
          </cell>
        </row>
        <row r="67">
          <cell r="A67">
            <v>41411</v>
          </cell>
          <cell r="E67">
            <v>3.432989361684406</v>
          </cell>
          <cell r="F67">
            <v>4.8990983268948174</v>
          </cell>
          <cell r="G67">
            <v>-1.4661089652104113</v>
          </cell>
        </row>
        <row r="68">
          <cell r="A68">
            <v>41414</v>
          </cell>
          <cell r="E68">
            <v>3.3334738536329382</v>
          </cell>
          <cell r="F68">
            <v>4.5859734322424419</v>
          </cell>
          <cell r="G68">
            <v>-1.2524995786095037</v>
          </cell>
        </row>
        <row r="69">
          <cell r="A69">
            <v>41415</v>
          </cell>
          <cell r="E69">
            <v>2.9566628561152584</v>
          </cell>
          <cell r="F69">
            <v>4.2601113170170057</v>
          </cell>
          <cell r="G69">
            <v>-1.3034484609017474</v>
          </cell>
        </row>
        <row r="70">
          <cell r="A70">
            <v>41416</v>
          </cell>
          <cell r="E70">
            <v>2.7625612158252579</v>
          </cell>
          <cell r="F70">
            <v>3.9606012967786564</v>
          </cell>
          <cell r="G70">
            <v>-1.1980400809533984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G249" totalsRowShown="0" headerRowDxfId="5" tableBorderDxfId="4">
  <tableColumns count="7">
    <tableColumn id="1" name="Date" dataDxfId="3"/>
    <tableColumn id="5" name="Close"/>
    <tableColumn id="6" name="12 EMA">
      <calculatedColumnFormula>B2-B1</calculatedColumnFormula>
    </tableColumn>
    <tableColumn id="7" name="26 EMA">
      <calculatedColumnFormula>IF(C2&gt;0,C2,0)</calculatedColumnFormula>
    </tableColumn>
    <tableColumn id="8" name="MACD" dataDxfId="2">
      <calculatedColumnFormula>C2-D2</calculatedColumnFormula>
    </tableColumn>
    <tableColumn id="9" name="Signal" dataDxfId="1">
      <calculatedColumnFormula>(F1*13+D2 )/14</calculatedColumnFormula>
    </tableColumn>
    <tableColumn id="10" name="Histogram" dataDxfId="0">
      <calculatedColumnFormula>E2-F2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tabSelected="1" zoomScale="115" zoomScaleNormal="115" workbookViewId="0">
      <pane ySplit="1" topLeftCell="A8" activePane="bottomLeft" state="frozen"/>
      <selection pane="bottomLeft" activeCell="A12" sqref="A12"/>
    </sheetView>
  </sheetViews>
  <sheetFormatPr defaultRowHeight="13.8" x14ac:dyDescent="0.25"/>
  <cols>
    <col min="1" max="2" width="12.59765625" customWidth="1"/>
    <col min="3" max="3" width="9.796875" customWidth="1"/>
    <col min="6" max="7" width="11.8984375" customWidth="1"/>
  </cols>
  <sheetData>
    <row r="1" spans="1:7" ht="15.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44818</v>
      </c>
      <c r="B2">
        <v>18003.75</v>
      </c>
    </row>
    <row r="3" spans="1:7" x14ac:dyDescent="0.25">
      <c r="A3" s="1">
        <v>44819</v>
      </c>
      <c r="B3">
        <v>17877.400000000001</v>
      </c>
    </row>
    <row r="4" spans="1:7" x14ac:dyDescent="0.25">
      <c r="A4" s="1">
        <v>44820</v>
      </c>
      <c r="B4">
        <v>17530.849999999999</v>
      </c>
    </row>
    <row r="5" spans="1:7" x14ac:dyDescent="0.25">
      <c r="A5" s="1">
        <v>44823</v>
      </c>
      <c r="B5">
        <v>17622.25</v>
      </c>
    </row>
    <row r="6" spans="1:7" x14ac:dyDescent="0.25">
      <c r="A6" s="1">
        <v>44824</v>
      </c>
      <c r="B6">
        <v>17816.25</v>
      </c>
    </row>
    <row r="7" spans="1:7" x14ac:dyDescent="0.25">
      <c r="A7" s="1">
        <v>44825</v>
      </c>
      <c r="B7">
        <v>17718.349999999999</v>
      </c>
    </row>
    <row r="8" spans="1:7" x14ac:dyDescent="0.25">
      <c r="A8" s="1">
        <v>44826</v>
      </c>
      <c r="B8">
        <v>17629.8</v>
      </c>
    </row>
    <row r="9" spans="1:7" x14ac:dyDescent="0.25">
      <c r="A9" s="1">
        <v>44827</v>
      </c>
      <c r="B9">
        <v>17327.349999999999</v>
      </c>
    </row>
    <row r="10" spans="1:7" x14ac:dyDescent="0.25">
      <c r="A10" s="1">
        <v>44830</v>
      </c>
      <c r="B10">
        <v>17016.3</v>
      </c>
    </row>
    <row r="11" spans="1:7" x14ac:dyDescent="0.25">
      <c r="A11" s="1">
        <v>44831</v>
      </c>
      <c r="B11">
        <v>17007.400000000001</v>
      </c>
    </row>
    <row r="12" spans="1:7" x14ac:dyDescent="0.25">
      <c r="A12" s="1">
        <v>44832</v>
      </c>
      <c r="B12">
        <v>16858.599999999999</v>
      </c>
      <c r="C12" s="2"/>
      <c r="D12" s="2"/>
      <c r="E12" s="2"/>
      <c r="F12" s="2"/>
      <c r="G12" s="2"/>
    </row>
    <row r="13" spans="1:7" x14ac:dyDescent="0.25">
      <c r="A13" s="1">
        <v>44833</v>
      </c>
      <c r="B13">
        <v>16818.099999999999</v>
      </c>
      <c r="C13" s="2">
        <f>AVERAGE(B2:B13)</f>
        <v>17435.533333333333</v>
      </c>
      <c r="D13" s="2"/>
      <c r="E13" s="2"/>
      <c r="F13" s="2"/>
      <c r="G13" s="2"/>
    </row>
    <row r="14" spans="1:7" x14ac:dyDescent="0.25">
      <c r="A14" s="1">
        <v>44834</v>
      </c>
      <c r="B14">
        <v>17094.349999999999</v>
      </c>
      <c r="C14" s="2">
        <f>(B14*(2/(12+1))+C13*(1-(2/(12+1))))</f>
        <v>17383.043589743589</v>
      </c>
      <c r="D14" s="2"/>
      <c r="E14" s="2"/>
      <c r="F14" s="2"/>
      <c r="G14" s="2"/>
    </row>
    <row r="15" spans="1:7" x14ac:dyDescent="0.25">
      <c r="A15" s="1">
        <v>44837</v>
      </c>
      <c r="B15">
        <v>16887.349999999999</v>
      </c>
      <c r="C15" s="2">
        <f t="shared" ref="C15:C78" si="0">(B15*(2/(12+1))+C14*(1-(2/(12+1))))</f>
        <v>17306.783037475343</v>
      </c>
      <c r="D15" s="2"/>
      <c r="E15" s="2"/>
      <c r="F15" s="2"/>
      <c r="G15" s="2"/>
    </row>
    <row r="16" spans="1:7" x14ac:dyDescent="0.25">
      <c r="A16" s="1">
        <v>44838</v>
      </c>
      <c r="B16">
        <v>17274.3</v>
      </c>
      <c r="C16" s="2">
        <f t="shared" si="0"/>
        <v>17301.785647094519</v>
      </c>
      <c r="D16" s="2"/>
      <c r="E16" s="2"/>
      <c r="F16" s="2"/>
      <c r="G16" s="2"/>
    </row>
    <row r="17" spans="1:7" x14ac:dyDescent="0.25">
      <c r="A17" s="1">
        <v>44840</v>
      </c>
      <c r="B17">
        <v>17331.8</v>
      </c>
      <c r="C17" s="2">
        <f t="shared" si="0"/>
        <v>17306.403239849209</v>
      </c>
      <c r="D17" s="2"/>
      <c r="E17" s="2"/>
      <c r="F17" s="2"/>
      <c r="G17" s="2"/>
    </row>
    <row r="18" spans="1:7" x14ac:dyDescent="0.25">
      <c r="A18" s="1">
        <v>44841</v>
      </c>
      <c r="B18">
        <v>17314.650000000001</v>
      </c>
      <c r="C18" s="2">
        <f t="shared" si="0"/>
        <v>17307.671972180102</v>
      </c>
      <c r="D18" s="2"/>
      <c r="E18" s="2"/>
      <c r="F18" s="2"/>
      <c r="G18" s="2"/>
    </row>
    <row r="19" spans="1:7" x14ac:dyDescent="0.25">
      <c r="A19" s="1">
        <v>44844</v>
      </c>
      <c r="B19">
        <v>17241</v>
      </c>
      <c r="C19" s="2">
        <f t="shared" si="0"/>
        <v>17297.414745690854</v>
      </c>
      <c r="D19" s="2"/>
      <c r="E19" s="2"/>
      <c r="F19" s="2"/>
      <c r="G19" s="2"/>
    </row>
    <row r="20" spans="1:7" x14ac:dyDescent="0.25">
      <c r="A20" s="1">
        <v>44845</v>
      </c>
      <c r="B20">
        <v>16983.55</v>
      </c>
      <c r="C20" s="2">
        <f t="shared" si="0"/>
        <v>17249.127861738416</v>
      </c>
      <c r="D20" s="2"/>
      <c r="E20" s="2"/>
      <c r="F20" s="2"/>
      <c r="G20" s="2"/>
    </row>
    <row r="21" spans="1:7" x14ac:dyDescent="0.25">
      <c r="A21" s="1">
        <v>44846</v>
      </c>
      <c r="B21">
        <v>17123.599999999999</v>
      </c>
      <c r="C21" s="2">
        <f t="shared" si="0"/>
        <v>17229.815883009429</v>
      </c>
      <c r="D21" s="2"/>
      <c r="E21" s="2"/>
      <c r="F21" s="2"/>
      <c r="G21" s="2"/>
    </row>
    <row r="22" spans="1:7" x14ac:dyDescent="0.25">
      <c r="A22" s="1">
        <v>44847</v>
      </c>
      <c r="B22">
        <v>17014.349999999999</v>
      </c>
      <c r="C22" s="2">
        <f t="shared" si="0"/>
        <v>17196.667285623364</v>
      </c>
      <c r="D22" s="2"/>
      <c r="E22" s="2"/>
      <c r="F22" s="2"/>
      <c r="G22" s="2"/>
    </row>
    <row r="23" spans="1:7" x14ac:dyDescent="0.25">
      <c r="A23" s="1">
        <v>44848</v>
      </c>
      <c r="B23">
        <v>17185.7</v>
      </c>
      <c r="C23" s="2">
        <f t="shared" si="0"/>
        <v>17194.980010912077</v>
      </c>
      <c r="D23" s="2"/>
      <c r="E23" s="2"/>
      <c r="F23" s="2"/>
      <c r="G23" s="2"/>
    </row>
    <row r="24" spans="1:7" x14ac:dyDescent="0.25">
      <c r="A24" s="1">
        <v>44851</v>
      </c>
      <c r="B24">
        <v>17311.8</v>
      </c>
      <c r="C24" s="2">
        <f t="shared" si="0"/>
        <v>17212.952316925603</v>
      </c>
      <c r="D24" s="2"/>
      <c r="E24" s="2"/>
      <c r="F24" s="2"/>
      <c r="G24" s="2"/>
    </row>
    <row r="25" spans="1:7" x14ac:dyDescent="0.25">
      <c r="A25" s="1">
        <v>44852</v>
      </c>
      <c r="B25">
        <v>17486.95</v>
      </c>
      <c r="C25" s="2">
        <f t="shared" si="0"/>
        <v>17255.105806629355</v>
      </c>
      <c r="D25" s="2"/>
      <c r="E25" s="2"/>
      <c r="F25" s="2"/>
      <c r="G25" s="2"/>
    </row>
    <row r="26" spans="1:7" x14ac:dyDescent="0.25">
      <c r="A26" s="1">
        <v>44853</v>
      </c>
      <c r="B26">
        <v>17512.25</v>
      </c>
      <c r="C26" s="2">
        <f t="shared" si="0"/>
        <v>17294.6664517633</v>
      </c>
      <c r="D26" s="2"/>
      <c r="E26" s="2"/>
      <c r="F26" s="2"/>
      <c r="G26" s="2"/>
    </row>
    <row r="27" spans="1:7" x14ac:dyDescent="0.25">
      <c r="A27" s="1">
        <v>44854</v>
      </c>
      <c r="B27">
        <v>17563.95</v>
      </c>
      <c r="C27" s="2">
        <f t="shared" si="0"/>
        <v>17336.094689953563</v>
      </c>
      <c r="D27" s="2">
        <f>AVERAGE(B2:B27)</f>
        <v>17328.923076923078</v>
      </c>
      <c r="E27" s="2">
        <f t="shared" ref="E2:E65" si="1">C27-D27</f>
        <v>7.1716130304848775</v>
      </c>
      <c r="F27" s="2"/>
      <c r="G27" s="2"/>
    </row>
    <row r="28" spans="1:7" x14ac:dyDescent="0.25">
      <c r="A28" s="1">
        <v>44855</v>
      </c>
      <c r="B28">
        <v>17576.3</v>
      </c>
      <c r="C28" s="2">
        <f t="shared" si="0"/>
        <v>17373.04935303763</v>
      </c>
      <c r="D28" s="2">
        <f>B28*(2/(26+1)) + D27*(1-(2/(26+1)))</f>
        <v>17347.247293447293</v>
      </c>
      <c r="E28" s="2">
        <f t="shared" si="1"/>
        <v>25.802059590336285</v>
      </c>
      <c r="F28" s="2"/>
      <c r="G28" s="2"/>
    </row>
    <row r="29" spans="1:7" x14ac:dyDescent="0.25">
      <c r="A29" s="1">
        <v>44858</v>
      </c>
      <c r="B29">
        <v>17730.75</v>
      </c>
      <c r="C29" s="2">
        <f t="shared" si="0"/>
        <v>17428.080221801072</v>
      </c>
      <c r="D29" s="2">
        <f t="shared" ref="D29:D92" si="2">B29*(2/(26+1)) + D28*(1-(2/(26+1)))</f>
        <v>17375.654901340087</v>
      </c>
      <c r="E29" s="2">
        <f t="shared" si="1"/>
        <v>52.425320460984949</v>
      </c>
      <c r="F29" s="2"/>
      <c r="G29" s="2"/>
    </row>
    <row r="30" spans="1:7" x14ac:dyDescent="0.25">
      <c r="A30" s="1">
        <v>44859</v>
      </c>
      <c r="B30">
        <v>17656.349999999999</v>
      </c>
      <c r="C30" s="2">
        <f t="shared" si="0"/>
        <v>17463.198649216291</v>
      </c>
      <c r="D30" s="2">
        <f t="shared" si="2"/>
        <v>17396.447130870449</v>
      </c>
      <c r="E30" s="2">
        <f t="shared" si="1"/>
        <v>66.75151834584176</v>
      </c>
      <c r="F30" s="2"/>
      <c r="G30" s="2"/>
    </row>
    <row r="31" spans="1:7" x14ac:dyDescent="0.25">
      <c r="A31" s="1">
        <v>44861</v>
      </c>
      <c r="B31">
        <v>17736.95</v>
      </c>
      <c r="C31" s="2">
        <f t="shared" si="0"/>
        <v>17505.314241644555</v>
      </c>
      <c r="D31" s="2">
        <f t="shared" si="2"/>
        <v>17421.669565620785</v>
      </c>
      <c r="E31" s="2">
        <f t="shared" si="1"/>
        <v>83.644676023770444</v>
      </c>
      <c r="F31" s="2"/>
      <c r="G31" s="2"/>
    </row>
    <row r="32" spans="1:7" x14ac:dyDescent="0.25">
      <c r="A32" s="1">
        <v>44862</v>
      </c>
      <c r="B32">
        <v>17786.8</v>
      </c>
      <c r="C32" s="2">
        <f t="shared" si="0"/>
        <v>17548.619742930008</v>
      </c>
      <c r="D32" s="2">
        <f t="shared" si="2"/>
        <v>17448.716264463688</v>
      </c>
      <c r="E32" s="2">
        <f t="shared" si="1"/>
        <v>99.903478466319939</v>
      </c>
      <c r="F32" s="2"/>
      <c r="G32" s="2"/>
    </row>
    <row r="33" spans="1:7" x14ac:dyDescent="0.25">
      <c r="A33" s="1">
        <v>44865</v>
      </c>
      <c r="B33">
        <v>18012.2</v>
      </c>
      <c r="C33" s="2">
        <f t="shared" si="0"/>
        <v>17619.93978247924</v>
      </c>
      <c r="D33" s="2">
        <f t="shared" si="2"/>
        <v>17490.455800429339</v>
      </c>
      <c r="E33" s="2">
        <f t="shared" si="1"/>
        <v>129.48398204990008</v>
      </c>
      <c r="F33" s="2"/>
      <c r="G33" s="2"/>
    </row>
    <row r="34" spans="1:7" x14ac:dyDescent="0.25">
      <c r="A34" s="1">
        <v>44866</v>
      </c>
      <c r="B34">
        <v>18145.400000000001</v>
      </c>
      <c r="C34" s="2">
        <f t="shared" si="0"/>
        <v>17700.77981594397</v>
      </c>
      <c r="D34" s="2">
        <f t="shared" si="2"/>
        <v>17538.970185582722</v>
      </c>
      <c r="E34" s="2">
        <f t="shared" si="1"/>
        <v>161.8096303612474</v>
      </c>
      <c r="F34" s="2"/>
      <c r="G34" s="2"/>
    </row>
    <row r="35" spans="1:7" x14ac:dyDescent="0.25">
      <c r="A35" s="1">
        <v>44867</v>
      </c>
      <c r="B35">
        <v>18082.849999999999</v>
      </c>
      <c r="C35" s="2">
        <f t="shared" si="0"/>
        <v>17759.559844260282</v>
      </c>
      <c r="D35" s="2">
        <f t="shared" si="2"/>
        <v>17579.257579243262</v>
      </c>
      <c r="E35" s="2">
        <f t="shared" si="1"/>
        <v>180.30226501702055</v>
      </c>
      <c r="F35" s="2">
        <f>AVERAGE(E27:E35)</f>
        <v>89.699393705100704</v>
      </c>
      <c r="G35" s="2">
        <f t="shared" ref="G2:G65" si="3">E35-F35</f>
        <v>90.602871311919841</v>
      </c>
    </row>
    <row r="36" spans="1:7" x14ac:dyDescent="0.25">
      <c r="A36" s="1">
        <v>44868</v>
      </c>
      <c r="B36">
        <v>18052.7</v>
      </c>
      <c r="C36" s="2">
        <f t="shared" si="0"/>
        <v>17804.658329758699</v>
      </c>
      <c r="D36" s="2">
        <f t="shared" si="2"/>
        <v>17614.327388188205</v>
      </c>
      <c r="E36" s="2">
        <f t="shared" si="1"/>
        <v>190.33094157049345</v>
      </c>
      <c r="F36" s="2">
        <f>(E36*(2/(9+1))+F35*(1-(2/(9+1))))</f>
        <v>109.82570327817925</v>
      </c>
      <c r="G36" s="2">
        <f t="shared" si="3"/>
        <v>80.505238292314203</v>
      </c>
    </row>
    <row r="37" spans="1:7" x14ac:dyDescent="0.25">
      <c r="A37" s="1">
        <v>44869</v>
      </c>
      <c r="B37">
        <v>18117.150000000001</v>
      </c>
      <c r="C37" s="2">
        <f t="shared" si="0"/>
        <v>17852.733971334284</v>
      </c>
      <c r="D37" s="2">
        <f t="shared" si="2"/>
        <v>17651.573507581674</v>
      </c>
      <c r="E37" s="2">
        <f t="shared" si="1"/>
        <v>201.16046375261067</v>
      </c>
      <c r="F37" s="2">
        <f t="shared" ref="F37:F100" si="4">(E37*(2/(9+1))+F36*(1-(2/(9+1))))</f>
        <v>128.09265537306553</v>
      </c>
      <c r="G37" s="2">
        <f t="shared" si="3"/>
        <v>73.067808379545141</v>
      </c>
    </row>
    <row r="38" spans="1:7" x14ac:dyDescent="0.25">
      <c r="A38" s="1">
        <v>44872</v>
      </c>
      <c r="B38">
        <v>18202.8</v>
      </c>
      <c r="C38" s="2">
        <f t="shared" si="0"/>
        <v>17906.590283436701</v>
      </c>
      <c r="D38" s="2">
        <f t="shared" si="2"/>
        <v>17692.405099612661</v>
      </c>
      <c r="E38" s="2">
        <f t="shared" si="1"/>
        <v>214.18518382404</v>
      </c>
      <c r="F38" s="2">
        <f t="shared" si="4"/>
        <v>145.31116106326044</v>
      </c>
      <c r="G38" s="2">
        <f t="shared" si="3"/>
        <v>68.874022760779553</v>
      </c>
    </row>
    <row r="39" spans="1:7" x14ac:dyDescent="0.25">
      <c r="A39" s="1">
        <v>44874</v>
      </c>
      <c r="B39">
        <v>18157</v>
      </c>
      <c r="C39" s="2">
        <f t="shared" si="0"/>
        <v>17945.11485521567</v>
      </c>
      <c r="D39" s="2">
        <f t="shared" si="2"/>
        <v>17726.819536678388</v>
      </c>
      <c r="E39" s="2">
        <f t="shared" si="1"/>
        <v>218.29531853728258</v>
      </c>
      <c r="F39" s="2">
        <f t="shared" si="4"/>
        <v>159.90799255806488</v>
      </c>
      <c r="G39" s="2">
        <f t="shared" si="3"/>
        <v>58.387325979217707</v>
      </c>
    </row>
    <row r="40" spans="1:7" x14ac:dyDescent="0.25">
      <c r="A40" s="1">
        <v>44875</v>
      </c>
      <c r="B40">
        <v>18028.2</v>
      </c>
      <c r="C40" s="2">
        <f t="shared" si="0"/>
        <v>17957.89718518249</v>
      </c>
      <c r="D40" s="2">
        <f t="shared" si="2"/>
        <v>17749.144015442951</v>
      </c>
      <c r="E40" s="2">
        <f t="shared" si="1"/>
        <v>208.75316973953886</v>
      </c>
      <c r="F40" s="2">
        <f t="shared" si="4"/>
        <v>169.67702799435966</v>
      </c>
      <c r="G40" s="2">
        <f t="shared" si="3"/>
        <v>39.0761417451792</v>
      </c>
    </row>
    <row r="41" spans="1:7" x14ac:dyDescent="0.25">
      <c r="A41" s="1">
        <v>44876</v>
      </c>
      <c r="B41">
        <v>18349.7</v>
      </c>
      <c r="C41" s="2">
        <f t="shared" si="0"/>
        <v>18018.174541308261</v>
      </c>
      <c r="D41" s="2">
        <f t="shared" si="2"/>
        <v>17793.62964392866</v>
      </c>
      <c r="E41" s="2">
        <f t="shared" si="1"/>
        <v>224.54489737960103</v>
      </c>
      <c r="F41" s="2">
        <f t="shared" si="4"/>
        <v>180.65060187140793</v>
      </c>
      <c r="G41" s="2">
        <f t="shared" si="3"/>
        <v>43.894295508193096</v>
      </c>
    </row>
    <row r="42" spans="1:7" x14ac:dyDescent="0.25">
      <c r="A42" s="1">
        <v>44880</v>
      </c>
      <c r="B42">
        <v>18403.400000000001</v>
      </c>
      <c r="C42" s="2">
        <f t="shared" si="0"/>
        <v>18077.439996491605</v>
      </c>
      <c r="D42" s="2">
        <f t="shared" si="2"/>
        <v>17838.797818452462</v>
      </c>
      <c r="E42" s="2">
        <f t="shared" si="1"/>
        <v>238.64217803914289</v>
      </c>
      <c r="F42" s="2">
        <f t="shared" si="4"/>
        <v>192.24891710495493</v>
      </c>
      <c r="G42" s="2">
        <f t="shared" si="3"/>
        <v>46.393260934187964</v>
      </c>
    </row>
    <row r="43" spans="1:7" x14ac:dyDescent="0.25">
      <c r="A43" s="1">
        <v>44881</v>
      </c>
      <c r="B43">
        <v>18409.650000000001</v>
      </c>
      <c r="C43" s="2">
        <f t="shared" si="0"/>
        <v>18128.549227800588</v>
      </c>
      <c r="D43" s="2">
        <f t="shared" si="2"/>
        <v>17881.083165233762</v>
      </c>
      <c r="E43" s="2">
        <f t="shared" si="1"/>
        <v>247.46606256682571</v>
      </c>
      <c r="F43" s="2">
        <f t="shared" si="4"/>
        <v>203.2923461973291</v>
      </c>
      <c r="G43" s="2">
        <f t="shared" si="3"/>
        <v>44.173716369496617</v>
      </c>
    </row>
    <row r="44" spans="1:7" x14ac:dyDescent="0.25">
      <c r="A44" s="1">
        <v>44882</v>
      </c>
      <c r="B44">
        <v>18343.900000000001</v>
      </c>
      <c r="C44" s="2">
        <f t="shared" si="0"/>
        <v>18161.680115831266</v>
      </c>
      <c r="D44" s="2">
        <f t="shared" si="2"/>
        <v>17915.365893734965</v>
      </c>
      <c r="E44" s="2">
        <f t="shared" si="1"/>
        <v>246.31422209630182</v>
      </c>
      <c r="F44" s="2">
        <f t="shared" si="4"/>
        <v>211.89672137712367</v>
      </c>
      <c r="G44" s="2">
        <f t="shared" si="3"/>
        <v>34.41750071917815</v>
      </c>
    </row>
    <row r="45" spans="1:7" x14ac:dyDescent="0.25">
      <c r="A45" s="1">
        <v>44883</v>
      </c>
      <c r="B45">
        <v>18307.650000000001</v>
      </c>
      <c r="C45" s="2">
        <f t="shared" si="0"/>
        <v>18184.137021087994</v>
      </c>
      <c r="D45" s="2">
        <f t="shared" si="2"/>
        <v>17944.423975680525</v>
      </c>
      <c r="E45" s="2">
        <f t="shared" si="1"/>
        <v>239.7130454074686</v>
      </c>
      <c r="F45" s="2">
        <f t="shared" si="4"/>
        <v>217.45998618319265</v>
      </c>
      <c r="G45" s="2">
        <f t="shared" si="3"/>
        <v>22.253059224275944</v>
      </c>
    </row>
    <row r="46" spans="1:7" x14ac:dyDescent="0.25">
      <c r="A46" s="1">
        <v>44886</v>
      </c>
      <c r="B46">
        <v>18159.95</v>
      </c>
      <c r="C46" s="2">
        <f t="shared" si="0"/>
        <v>18180.415940920611</v>
      </c>
      <c r="D46" s="2">
        <f t="shared" si="2"/>
        <v>17960.388866370857</v>
      </c>
      <c r="E46" s="2">
        <f t="shared" si="1"/>
        <v>220.02707454975462</v>
      </c>
      <c r="F46" s="2">
        <f t="shared" si="4"/>
        <v>217.97340385650506</v>
      </c>
      <c r="G46" s="2">
        <f t="shared" si="3"/>
        <v>2.0536706932495576</v>
      </c>
    </row>
    <row r="47" spans="1:7" x14ac:dyDescent="0.25">
      <c r="A47" s="1">
        <v>44887</v>
      </c>
      <c r="B47">
        <v>18244.2</v>
      </c>
      <c r="C47" s="2">
        <f t="shared" si="0"/>
        <v>18190.228873086671</v>
      </c>
      <c r="D47" s="2">
        <f t="shared" si="2"/>
        <v>17981.41191330635</v>
      </c>
      <c r="E47" s="2">
        <f t="shared" si="1"/>
        <v>208.81695978032076</v>
      </c>
      <c r="F47" s="2">
        <f t="shared" si="4"/>
        <v>216.1421150412682</v>
      </c>
      <c r="G47" s="2">
        <f t="shared" si="3"/>
        <v>-7.3251552609474402</v>
      </c>
    </row>
    <row r="48" spans="1:7" x14ac:dyDescent="0.25">
      <c r="A48" s="1">
        <v>44888</v>
      </c>
      <c r="B48">
        <v>18267.25</v>
      </c>
      <c r="C48" s="2">
        <f t="shared" si="0"/>
        <v>18202.078277227181</v>
      </c>
      <c r="D48" s="2">
        <f t="shared" si="2"/>
        <v>18002.585104913291</v>
      </c>
      <c r="E48" s="2">
        <f t="shared" si="1"/>
        <v>199.49317231389068</v>
      </c>
      <c r="F48" s="2">
        <f t="shared" si="4"/>
        <v>212.81232649579272</v>
      </c>
      <c r="G48" s="2">
        <f t="shared" si="3"/>
        <v>-13.319154181902036</v>
      </c>
    </row>
    <row r="49" spans="1:7" x14ac:dyDescent="0.25">
      <c r="A49" s="1">
        <v>44889</v>
      </c>
      <c r="B49">
        <v>18484.099999999999</v>
      </c>
      <c r="C49" s="2">
        <f t="shared" si="0"/>
        <v>18245.466234576845</v>
      </c>
      <c r="D49" s="2">
        <f t="shared" si="2"/>
        <v>18038.252874919715</v>
      </c>
      <c r="E49" s="2">
        <f t="shared" si="1"/>
        <v>207.21335965712933</v>
      </c>
      <c r="F49" s="2">
        <f t="shared" si="4"/>
        <v>211.69253312806006</v>
      </c>
      <c r="G49" s="2">
        <f t="shared" si="3"/>
        <v>-4.479173470930732</v>
      </c>
    </row>
    <row r="50" spans="1:7" x14ac:dyDescent="0.25">
      <c r="A50" s="1">
        <v>44890</v>
      </c>
      <c r="B50">
        <v>18512.75</v>
      </c>
      <c r="C50" s="2">
        <f t="shared" si="0"/>
        <v>18286.586813872716</v>
      </c>
      <c r="D50" s="2">
        <f t="shared" si="2"/>
        <v>18073.400810110848</v>
      </c>
      <c r="E50" s="2">
        <f t="shared" si="1"/>
        <v>213.18600376186805</v>
      </c>
      <c r="F50" s="2">
        <f t="shared" si="4"/>
        <v>211.99122725482167</v>
      </c>
      <c r="G50" s="2">
        <f t="shared" si="3"/>
        <v>1.1947765070463845</v>
      </c>
    </row>
    <row r="51" spans="1:7" x14ac:dyDescent="0.25">
      <c r="A51" s="1">
        <v>44893</v>
      </c>
      <c r="B51">
        <v>18562.75</v>
      </c>
      <c r="C51" s="2">
        <f t="shared" si="0"/>
        <v>18329.0734578923</v>
      </c>
      <c r="D51" s="2">
        <f t="shared" si="2"/>
        <v>18109.648898250787</v>
      </c>
      <c r="E51" s="2">
        <f t="shared" si="1"/>
        <v>219.42455964151304</v>
      </c>
      <c r="F51" s="2">
        <f t="shared" si="4"/>
        <v>213.47789373215997</v>
      </c>
      <c r="G51" s="2">
        <f t="shared" si="3"/>
        <v>5.9466659093530723</v>
      </c>
    </row>
    <row r="52" spans="1:7" x14ac:dyDescent="0.25">
      <c r="A52" s="1">
        <v>44894</v>
      </c>
      <c r="B52">
        <v>18618.05</v>
      </c>
      <c r="C52" s="2">
        <f t="shared" si="0"/>
        <v>18373.531387447332</v>
      </c>
      <c r="D52" s="2">
        <f t="shared" si="2"/>
        <v>18147.308239121099</v>
      </c>
      <c r="E52" s="2">
        <f t="shared" si="1"/>
        <v>226.22314832623306</v>
      </c>
      <c r="F52" s="2">
        <f t="shared" si="4"/>
        <v>216.0269446509746</v>
      </c>
      <c r="G52" s="2">
        <f t="shared" si="3"/>
        <v>10.196203675258459</v>
      </c>
    </row>
    <row r="53" spans="1:7" x14ac:dyDescent="0.25">
      <c r="A53" s="1">
        <v>44895</v>
      </c>
      <c r="B53">
        <v>18758.349999999999</v>
      </c>
      <c r="C53" s="2">
        <f t="shared" si="0"/>
        <v>18432.734250916972</v>
      </c>
      <c r="D53" s="2">
        <f t="shared" si="2"/>
        <v>18192.570591778796</v>
      </c>
      <c r="E53" s="2">
        <f t="shared" si="1"/>
        <v>240.16365913817572</v>
      </c>
      <c r="F53" s="2">
        <f t="shared" si="4"/>
        <v>220.85428754841485</v>
      </c>
      <c r="G53" s="2">
        <f t="shared" si="3"/>
        <v>19.309371589760872</v>
      </c>
    </row>
    <row r="54" spans="1:7" x14ac:dyDescent="0.25">
      <c r="A54" s="1">
        <v>44896</v>
      </c>
      <c r="B54">
        <v>18812.5</v>
      </c>
      <c r="C54" s="2">
        <f t="shared" si="0"/>
        <v>18491.1597507759</v>
      </c>
      <c r="D54" s="2">
        <f t="shared" si="2"/>
        <v>18238.491288684072</v>
      </c>
      <c r="E54" s="2">
        <f t="shared" si="1"/>
        <v>252.66846209182768</v>
      </c>
      <c r="F54" s="2">
        <f t="shared" si="4"/>
        <v>227.21712245709745</v>
      </c>
      <c r="G54" s="2">
        <f t="shared" si="3"/>
        <v>25.451339634730232</v>
      </c>
    </row>
    <row r="55" spans="1:7" x14ac:dyDescent="0.25">
      <c r="A55" s="1">
        <v>44897</v>
      </c>
      <c r="B55">
        <v>18696.099999999999</v>
      </c>
      <c r="C55" s="2">
        <f t="shared" si="0"/>
        <v>18522.689019887301</v>
      </c>
      <c r="D55" s="2">
        <f t="shared" si="2"/>
        <v>18272.38823026303</v>
      </c>
      <c r="E55" s="2">
        <f t="shared" si="1"/>
        <v>250.30078962427069</v>
      </c>
      <c r="F55" s="2">
        <f t="shared" si="4"/>
        <v>231.83385589053211</v>
      </c>
      <c r="G55" s="2">
        <f t="shared" si="3"/>
        <v>18.466933733738585</v>
      </c>
    </row>
    <row r="56" spans="1:7" x14ac:dyDescent="0.25">
      <c r="A56" s="1">
        <v>44900</v>
      </c>
      <c r="B56">
        <v>18701.05</v>
      </c>
      <c r="C56" s="2">
        <f t="shared" si="0"/>
        <v>18550.12917067387</v>
      </c>
      <c r="D56" s="2">
        <f t="shared" si="2"/>
        <v>18304.140953947252</v>
      </c>
      <c r="E56" s="2">
        <f t="shared" si="1"/>
        <v>245.9882167266187</v>
      </c>
      <c r="F56" s="2">
        <f t="shared" si="4"/>
        <v>234.66472805774944</v>
      </c>
      <c r="G56" s="2">
        <f t="shared" si="3"/>
        <v>11.32348866886926</v>
      </c>
    </row>
    <row r="57" spans="1:7" x14ac:dyDescent="0.25">
      <c r="A57" s="1">
        <v>44901</v>
      </c>
      <c r="B57">
        <v>18642.75</v>
      </c>
      <c r="C57" s="2">
        <f t="shared" si="0"/>
        <v>18564.378529031736</v>
      </c>
      <c r="D57" s="2">
        <f t="shared" si="2"/>
        <v>18329.223105506717</v>
      </c>
      <c r="E57" s="2">
        <f t="shared" si="1"/>
        <v>235.1554235250187</v>
      </c>
      <c r="F57" s="2">
        <f t="shared" si="4"/>
        <v>234.7628671512033</v>
      </c>
      <c r="G57" s="2">
        <f t="shared" si="3"/>
        <v>0.39255637381540964</v>
      </c>
    </row>
    <row r="58" spans="1:7" x14ac:dyDescent="0.25">
      <c r="A58" s="1">
        <v>44902</v>
      </c>
      <c r="B58">
        <v>18560.5</v>
      </c>
      <c r="C58" s="2">
        <f t="shared" si="0"/>
        <v>18563.78183225762</v>
      </c>
      <c r="D58" s="2">
        <f t="shared" si="2"/>
        <v>18346.354727321032</v>
      </c>
      <c r="E58" s="2">
        <f t="shared" si="1"/>
        <v>217.42710493658888</v>
      </c>
      <c r="F58" s="2">
        <f t="shared" si="4"/>
        <v>231.29571470828043</v>
      </c>
      <c r="G58" s="2">
        <f t="shared" si="3"/>
        <v>-13.868609771691553</v>
      </c>
    </row>
    <row r="59" spans="1:7" x14ac:dyDescent="0.25">
      <c r="A59" s="1">
        <v>44903</v>
      </c>
      <c r="B59">
        <v>18609.349999999999</v>
      </c>
      <c r="C59" s="2">
        <f t="shared" si="0"/>
        <v>18570.792319602602</v>
      </c>
      <c r="D59" s="2">
        <f t="shared" si="2"/>
        <v>18365.835858630584</v>
      </c>
      <c r="E59" s="2">
        <f t="shared" si="1"/>
        <v>204.95646097201825</v>
      </c>
      <c r="F59" s="2">
        <f t="shared" si="4"/>
        <v>226.027863961028</v>
      </c>
      <c r="G59" s="2">
        <f t="shared" si="3"/>
        <v>-21.071402989009755</v>
      </c>
    </row>
    <row r="60" spans="1:7" x14ac:dyDescent="0.25">
      <c r="A60" s="1">
        <v>44904</v>
      </c>
      <c r="B60">
        <v>18496.599999999999</v>
      </c>
      <c r="C60" s="2">
        <f t="shared" si="0"/>
        <v>18559.378116586817</v>
      </c>
      <c r="D60" s="2">
        <f t="shared" si="2"/>
        <v>18375.522091324612</v>
      </c>
      <c r="E60" s="2">
        <f t="shared" si="1"/>
        <v>183.85602526220464</v>
      </c>
      <c r="F60" s="2">
        <f t="shared" si="4"/>
        <v>217.59349622126334</v>
      </c>
      <c r="G60" s="2">
        <f t="shared" si="3"/>
        <v>-33.737470959058697</v>
      </c>
    </row>
    <row r="61" spans="1:7" x14ac:dyDescent="0.25">
      <c r="A61" s="1">
        <v>44907</v>
      </c>
      <c r="B61">
        <v>18497.150000000001</v>
      </c>
      <c r="C61" s="2">
        <f t="shared" si="0"/>
        <v>18549.804560188844</v>
      </c>
      <c r="D61" s="2">
        <f t="shared" si="2"/>
        <v>18384.531566041311</v>
      </c>
      <c r="E61" s="2">
        <f t="shared" si="1"/>
        <v>165.27299414753361</v>
      </c>
      <c r="F61" s="2">
        <f t="shared" si="4"/>
        <v>207.12939580651741</v>
      </c>
      <c r="G61" s="2">
        <f t="shared" si="3"/>
        <v>-41.856401658983799</v>
      </c>
    </row>
    <row r="62" spans="1:7" x14ac:dyDescent="0.25">
      <c r="A62" s="1">
        <v>44908</v>
      </c>
      <c r="B62">
        <v>18608</v>
      </c>
      <c r="C62" s="2">
        <f t="shared" si="0"/>
        <v>18558.757704775177</v>
      </c>
      <c r="D62" s="2">
        <f t="shared" si="2"/>
        <v>18401.084783371582</v>
      </c>
      <c r="E62" s="2">
        <f t="shared" si="1"/>
        <v>157.67292140359496</v>
      </c>
      <c r="F62" s="2">
        <f t="shared" si="4"/>
        <v>197.23810092593294</v>
      </c>
      <c r="G62" s="2">
        <f t="shared" si="3"/>
        <v>-39.565179522337985</v>
      </c>
    </row>
    <row r="63" spans="1:7" x14ac:dyDescent="0.25">
      <c r="A63" s="1">
        <v>44909</v>
      </c>
      <c r="B63">
        <v>18660.3</v>
      </c>
      <c r="C63" s="2">
        <f t="shared" si="0"/>
        <v>18574.379596348226</v>
      </c>
      <c r="D63" s="2">
        <f t="shared" si="2"/>
        <v>18420.285910529241</v>
      </c>
      <c r="E63" s="2">
        <f t="shared" si="1"/>
        <v>154.09368581898525</v>
      </c>
      <c r="F63" s="2">
        <f t="shared" si="4"/>
        <v>188.60921790454341</v>
      </c>
      <c r="G63" s="2">
        <f t="shared" si="3"/>
        <v>-34.515532085558164</v>
      </c>
    </row>
    <row r="64" spans="1:7" x14ac:dyDescent="0.25">
      <c r="A64" s="1">
        <v>44910</v>
      </c>
      <c r="B64">
        <v>18414.900000000001</v>
      </c>
      <c r="C64" s="2">
        <f t="shared" si="0"/>
        <v>18549.844273833114</v>
      </c>
      <c r="D64" s="2">
        <f t="shared" si="2"/>
        <v>18419.886954193742</v>
      </c>
      <c r="E64" s="2">
        <f t="shared" si="1"/>
        <v>129.95731963937214</v>
      </c>
      <c r="F64" s="2">
        <f t="shared" si="4"/>
        <v>176.87883825150917</v>
      </c>
      <c r="G64" s="2">
        <f t="shared" si="3"/>
        <v>-46.921518612137021</v>
      </c>
    </row>
    <row r="65" spans="1:7" x14ac:dyDescent="0.25">
      <c r="A65" s="1">
        <v>44911</v>
      </c>
      <c r="B65">
        <v>18269</v>
      </c>
      <c r="C65" s="2">
        <f t="shared" si="0"/>
        <v>18506.637462474173</v>
      </c>
      <c r="D65" s="2">
        <f t="shared" si="2"/>
        <v>18408.710142771983</v>
      </c>
      <c r="E65" s="2">
        <f t="shared" si="1"/>
        <v>97.927319702190289</v>
      </c>
      <c r="F65" s="2">
        <f t="shared" si="4"/>
        <v>161.0885345416454</v>
      </c>
      <c r="G65" s="2">
        <f t="shared" si="3"/>
        <v>-63.161214839455113</v>
      </c>
    </row>
    <row r="66" spans="1:7" x14ac:dyDescent="0.25">
      <c r="A66" s="1">
        <v>44914</v>
      </c>
      <c r="B66">
        <v>18420.45</v>
      </c>
      <c r="C66" s="2">
        <f t="shared" si="0"/>
        <v>18493.377852862763</v>
      </c>
      <c r="D66" s="2">
        <f t="shared" si="2"/>
        <v>18409.579761825909</v>
      </c>
      <c r="E66" s="2">
        <f t="shared" ref="E66:E129" si="5">C66-D66</f>
        <v>83.798091036853293</v>
      </c>
      <c r="F66" s="2">
        <f t="shared" si="4"/>
        <v>145.630445840687</v>
      </c>
      <c r="G66" s="2">
        <f t="shared" ref="G66:G129" si="6">E66-F66</f>
        <v>-61.832354803833709</v>
      </c>
    </row>
    <row r="67" spans="1:7" x14ac:dyDescent="0.25">
      <c r="A67" s="1">
        <v>44915</v>
      </c>
      <c r="B67">
        <v>18385.3</v>
      </c>
      <c r="C67" s="2">
        <f t="shared" si="0"/>
        <v>18476.750490883875</v>
      </c>
      <c r="D67" s="2">
        <f t="shared" si="2"/>
        <v>18407.781260949916</v>
      </c>
      <c r="E67" s="2">
        <f t="shared" si="5"/>
        <v>68.969229933958559</v>
      </c>
      <c r="F67" s="2">
        <f t="shared" si="4"/>
        <v>130.29820265934131</v>
      </c>
      <c r="G67" s="2">
        <f t="shared" si="6"/>
        <v>-61.328972725382755</v>
      </c>
    </row>
    <row r="68" spans="1:7" x14ac:dyDescent="0.25">
      <c r="A68" s="1">
        <v>44916</v>
      </c>
      <c r="B68">
        <v>18199.099999999999</v>
      </c>
      <c r="C68" s="2">
        <f t="shared" si="0"/>
        <v>18434.035030747895</v>
      </c>
      <c r="D68" s="2">
        <f t="shared" si="2"/>
        <v>18392.32338976844</v>
      </c>
      <c r="E68" s="2">
        <f t="shared" si="5"/>
        <v>41.711640979454387</v>
      </c>
      <c r="F68" s="2">
        <f t="shared" si="4"/>
        <v>112.58089032336393</v>
      </c>
      <c r="G68" s="2">
        <f t="shared" si="6"/>
        <v>-70.869249343909544</v>
      </c>
    </row>
    <row r="69" spans="1:7" x14ac:dyDescent="0.25">
      <c r="A69" s="1">
        <v>44917</v>
      </c>
      <c r="B69">
        <v>18127.349999999999</v>
      </c>
      <c r="C69" s="2">
        <f t="shared" si="0"/>
        <v>18386.852718325143</v>
      </c>
      <c r="D69" s="2">
        <f t="shared" si="2"/>
        <v>18372.695731267075</v>
      </c>
      <c r="E69" s="2">
        <f t="shared" si="5"/>
        <v>14.156987058067898</v>
      </c>
      <c r="F69" s="2">
        <f t="shared" si="4"/>
        <v>92.896109670304725</v>
      </c>
      <c r="G69" s="2">
        <f t="shared" si="6"/>
        <v>-78.739122612236827</v>
      </c>
    </row>
    <row r="70" spans="1:7" x14ac:dyDescent="0.25">
      <c r="A70" s="1">
        <v>44918</v>
      </c>
      <c r="B70">
        <v>17806.8</v>
      </c>
      <c r="C70" s="2">
        <f t="shared" si="0"/>
        <v>18297.613838582813</v>
      </c>
      <c r="D70" s="2">
        <f t="shared" si="2"/>
        <v>18330.777528950995</v>
      </c>
      <c r="E70" s="2">
        <f t="shared" si="5"/>
        <v>-33.16369036818287</v>
      </c>
      <c r="F70" s="2">
        <f t="shared" si="4"/>
        <v>67.684149662607211</v>
      </c>
      <c r="G70" s="2">
        <f t="shared" si="6"/>
        <v>-100.84784003079008</v>
      </c>
    </row>
    <row r="71" spans="1:7" x14ac:dyDescent="0.25">
      <c r="A71" s="1">
        <v>44921</v>
      </c>
      <c r="B71">
        <v>18014.599999999999</v>
      </c>
      <c r="C71" s="2">
        <f t="shared" si="0"/>
        <v>18254.073248031611</v>
      </c>
      <c r="D71" s="2">
        <f t="shared" si="2"/>
        <v>18307.356971250923</v>
      </c>
      <c r="E71" s="2">
        <f t="shared" si="5"/>
        <v>-53.283723219312378</v>
      </c>
      <c r="F71" s="2">
        <f t="shared" si="4"/>
        <v>43.490575086223295</v>
      </c>
      <c r="G71" s="2">
        <f t="shared" si="6"/>
        <v>-96.774298305535666</v>
      </c>
    </row>
    <row r="72" spans="1:7" x14ac:dyDescent="0.25">
      <c r="A72" s="1">
        <v>44922</v>
      </c>
      <c r="B72">
        <v>18132.3</v>
      </c>
      <c r="C72" s="2">
        <f t="shared" si="0"/>
        <v>18235.338902180592</v>
      </c>
      <c r="D72" s="2">
        <f t="shared" si="2"/>
        <v>18294.389788195302</v>
      </c>
      <c r="E72" s="2">
        <f t="shared" si="5"/>
        <v>-59.050886014709249</v>
      </c>
      <c r="F72" s="2">
        <f t="shared" si="4"/>
        <v>22.982282866036783</v>
      </c>
      <c r="G72" s="2">
        <f t="shared" si="6"/>
        <v>-82.033168880746032</v>
      </c>
    </row>
    <row r="73" spans="1:7" x14ac:dyDescent="0.25">
      <c r="A73" s="1">
        <v>44923</v>
      </c>
      <c r="B73">
        <v>18122.5</v>
      </c>
      <c r="C73" s="2">
        <f t="shared" si="0"/>
        <v>18217.979071075886</v>
      </c>
      <c r="D73" s="2">
        <f t="shared" si="2"/>
        <v>18281.657211291946</v>
      </c>
      <c r="E73" s="2">
        <f t="shared" si="5"/>
        <v>-63.678140216059546</v>
      </c>
      <c r="F73" s="2">
        <f t="shared" si="4"/>
        <v>5.6501982496175174</v>
      </c>
      <c r="G73" s="2">
        <f t="shared" si="6"/>
        <v>-69.328338465677064</v>
      </c>
    </row>
    <row r="74" spans="1:7" x14ac:dyDescent="0.25">
      <c r="A74" s="1">
        <v>44924</v>
      </c>
      <c r="B74">
        <v>18191</v>
      </c>
      <c r="C74" s="2">
        <f t="shared" si="0"/>
        <v>18213.828444756517</v>
      </c>
      <c r="D74" s="2">
        <f t="shared" si="2"/>
        <v>18274.941862307358</v>
      </c>
      <c r="E74" s="2">
        <f t="shared" si="5"/>
        <v>-61.113417550841405</v>
      </c>
      <c r="F74" s="2">
        <f t="shared" si="4"/>
        <v>-7.702524910474267</v>
      </c>
      <c r="G74" s="2">
        <f t="shared" si="6"/>
        <v>-53.410892640367138</v>
      </c>
    </row>
    <row r="75" spans="1:7" x14ac:dyDescent="0.25">
      <c r="A75" s="1">
        <v>44925</v>
      </c>
      <c r="B75">
        <v>18105.3</v>
      </c>
      <c r="C75" s="2">
        <f t="shared" si="0"/>
        <v>18197.131760947821</v>
      </c>
      <c r="D75" s="2">
        <f t="shared" si="2"/>
        <v>18262.375798432739</v>
      </c>
      <c r="E75" s="2">
        <f t="shared" si="5"/>
        <v>-65.244037484917499</v>
      </c>
      <c r="F75" s="2">
        <f t="shared" si="4"/>
        <v>-19.210827425362915</v>
      </c>
      <c r="G75" s="2">
        <f t="shared" si="6"/>
        <v>-46.033210059554584</v>
      </c>
    </row>
    <row r="76" spans="1:7" x14ac:dyDescent="0.25">
      <c r="A76" s="1">
        <v>44928</v>
      </c>
      <c r="B76">
        <v>18197.45</v>
      </c>
      <c r="C76" s="2">
        <f t="shared" si="0"/>
        <v>18197.180720802004</v>
      </c>
      <c r="D76" s="2">
        <f t="shared" si="2"/>
        <v>18257.566480030313</v>
      </c>
      <c r="E76" s="2">
        <f t="shared" si="5"/>
        <v>-60.385759228309325</v>
      </c>
      <c r="F76" s="2">
        <f t="shared" si="4"/>
        <v>-27.445813785952197</v>
      </c>
      <c r="G76" s="2">
        <f t="shared" si="6"/>
        <v>-32.939945442357129</v>
      </c>
    </row>
    <row r="77" spans="1:7" x14ac:dyDescent="0.25">
      <c r="A77" s="1">
        <v>44929</v>
      </c>
      <c r="B77">
        <v>18232.55</v>
      </c>
      <c r="C77" s="2">
        <f t="shared" si="0"/>
        <v>18202.622148370923</v>
      </c>
      <c r="D77" s="2">
        <f t="shared" si="2"/>
        <v>18255.713407435473</v>
      </c>
      <c r="E77" s="2">
        <f t="shared" si="5"/>
        <v>-53.091259064549376</v>
      </c>
      <c r="F77" s="2">
        <f t="shared" si="4"/>
        <v>-32.57490284167163</v>
      </c>
      <c r="G77" s="2">
        <f t="shared" si="6"/>
        <v>-20.516356222877747</v>
      </c>
    </row>
    <row r="78" spans="1:7" x14ac:dyDescent="0.25">
      <c r="A78" s="1">
        <v>44930</v>
      </c>
      <c r="B78">
        <v>18042.95</v>
      </c>
      <c r="C78" s="2">
        <f t="shared" si="0"/>
        <v>18178.057202467702</v>
      </c>
      <c r="D78" s="2">
        <f t="shared" si="2"/>
        <v>18239.953155032847</v>
      </c>
      <c r="E78" s="2">
        <f t="shared" si="5"/>
        <v>-61.895952565144398</v>
      </c>
      <c r="F78" s="2">
        <f t="shared" si="4"/>
        <v>-38.439112786366188</v>
      </c>
      <c r="G78" s="2">
        <f t="shared" si="6"/>
        <v>-23.45683977877821</v>
      </c>
    </row>
    <row r="79" spans="1:7" x14ac:dyDescent="0.25">
      <c r="A79" s="1">
        <v>44931</v>
      </c>
      <c r="B79">
        <v>17992.150000000001</v>
      </c>
      <c r="C79" s="2">
        <f t="shared" ref="C79:C142" si="7">(B79*(2/(12+1))+C78*(1-(2/(12+1))))</f>
        <v>18149.456094395748</v>
      </c>
      <c r="D79" s="2">
        <f t="shared" si="2"/>
        <v>18221.597365771155</v>
      </c>
      <c r="E79" s="2">
        <f t="shared" si="5"/>
        <v>-72.141271375407086</v>
      </c>
      <c r="F79" s="2">
        <f t="shared" si="4"/>
        <v>-45.179544504174373</v>
      </c>
      <c r="G79" s="2">
        <f t="shared" si="6"/>
        <v>-26.961726871232713</v>
      </c>
    </row>
    <row r="80" spans="1:7" x14ac:dyDescent="0.25">
      <c r="A80" s="1">
        <v>44932</v>
      </c>
      <c r="B80">
        <v>17859.45</v>
      </c>
      <c r="C80" s="2">
        <f t="shared" si="7"/>
        <v>18104.839772181018</v>
      </c>
      <c r="D80" s="2">
        <f t="shared" si="2"/>
        <v>18194.771634973291</v>
      </c>
      <c r="E80" s="2">
        <f t="shared" si="5"/>
        <v>-89.931862792273023</v>
      </c>
      <c r="F80" s="2">
        <f t="shared" si="4"/>
        <v>-54.130008161794102</v>
      </c>
      <c r="G80" s="2">
        <f t="shared" si="6"/>
        <v>-35.801854630478921</v>
      </c>
    </row>
    <row r="81" spans="1:7" x14ac:dyDescent="0.25">
      <c r="A81" s="1">
        <v>44935</v>
      </c>
      <c r="B81">
        <v>18101.2</v>
      </c>
      <c r="C81" s="2">
        <f t="shared" si="7"/>
        <v>18104.279807230094</v>
      </c>
      <c r="D81" s="2">
        <f t="shared" si="2"/>
        <v>18187.840402753045</v>
      </c>
      <c r="E81" s="2">
        <f t="shared" si="5"/>
        <v>-83.560595522951189</v>
      </c>
      <c r="F81" s="2">
        <f t="shared" si="4"/>
        <v>-60.016125634025528</v>
      </c>
      <c r="G81" s="2">
        <f t="shared" si="6"/>
        <v>-23.544469888925661</v>
      </c>
    </row>
    <row r="82" spans="1:7" x14ac:dyDescent="0.25">
      <c r="A82" s="1">
        <v>44936</v>
      </c>
      <c r="B82">
        <v>17914.150000000001</v>
      </c>
      <c r="C82" s="2">
        <f t="shared" si="7"/>
        <v>18075.029067656233</v>
      </c>
      <c r="D82" s="2">
        <f t="shared" si="2"/>
        <v>18167.567039586153</v>
      </c>
      <c r="E82" s="2">
        <f t="shared" si="5"/>
        <v>-92.537971929919877</v>
      </c>
      <c r="F82" s="2">
        <f t="shared" si="4"/>
        <v>-66.5204948932044</v>
      </c>
      <c r="G82" s="2">
        <f t="shared" si="6"/>
        <v>-26.017477036715476</v>
      </c>
    </row>
    <row r="83" spans="1:7" x14ac:dyDescent="0.25">
      <c r="A83" s="1">
        <v>44937</v>
      </c>
      <c r="B83">
        <v>17895.7</v>
      </c>
      <c r="C83" s="2">
        <f t="shared" si="7"/>
        <v>18047.439980324503</v>
      </c>
      <c r="D83" s="2">
        <f t="shared" si="2"/>
        <v>18147.428740357547</v>
      </c>
      <c r="E83" s="2">
        <f t="shared" si="5"/>
        <v>-99.988760033043945</v>
      </c>
      <c r="F83" s="2">
        <f t="shared" si="4"/>
        <v>-73.214147921172312</v>
      </c>
      <c r="G83" s="2">
        <f t="shared" si="6"/>
        <v>-26.774612111871633</v>
      </c>
    </row>
    <row r="84" spans="1:7" x14ac:dyDescent="0.25">
      <c r="A84" s="1">
        <v>44938</v>
      </c>
      <c r="B84">
        <v>17858.2</v>
      </c>
      <c r="C84" s="2">
        <f t="shared" si="7"/>
        <v>18018.326137197655</v>
      </c>
      <c r="D84" s="2">
        <f t="shared" si="2"/>
        <v>18126.00438921995</v>
      </c>
      <c r="E84" s="2">
        <f t="shared" si="5"/>
        <v>-107.67825202229506</v>
      </c>
      <c r="F84" s="2">
        <f t="shared" si="4"/>
        <v>-80.106968741396855</v>
      </c>
      <c r="G84" s="2">
        <f t="shared" si="6"/>
        <v>-27.5712832808982</v>
      </c>
    </row>
    <row r="85" spans="1:7" x14ac:dyDescent="0.25">
      <c r="A85" s="1">
        <v>44939</v>
      </c>
      <c r="B85">
        <v>17956.599999999999</v>
      </c>
      <c r="C85" s="2">
        <f t="shared" si="7"/>
        <v>18008.829808398015</v>
      </c>
      <c r="D85" s="2">
        <f t="shared" si="2"/>
        <v>18113.455915944396</v>
      </c>
      <c r="E85" s="2">
        <f t="shared" si="5"/>
        <v>-104.62610754638081</v>
      </c>
      <c r="F85" s="2">
        <f t="shared" si="4"/>
        <v>-85.010796502393646</v>
      </c>
      <c r="G85" s="2">
        <f t="shared" si="6"/>
        <v>-19.615311043987163</v>
      </c>
    </row>
    <row r="86" spans="1:7" x14ac:dyDescent="0.25">
      <c r="A86" s="1">
        <v>44942</v>
      </c>
      <c r="B86">
        <v>17894.849999999999</v>
      </c>
      <c r="C86" s="2">
        <f t="shared" si="7"/>
        <v>17991.294453259859</v>
      </c>
      <c r="D86" s="2">
        <f t="shared" si="2"/>
        <v>18097.262885133699</v>
      </c>
      <c r="E86" s="2">
        <f t="shared" si="5"/>
        <v>-105.96843187384002</v>
      </c>
      <c r="F86" s="2">
        <f t="shared" si="4"/>
        <v>-89.202323576682929</v>
      </c>
      <c r="G86" s="2">
        <f t="shared" si="6"/>
        <v>-16.766108297157089</v>
      </c>
    </row>
    <row r="87" spans="1:7" x14ac:dyDescent="0.25">
      <c r="A87" s="1">
        <v>44943</v>
      </c>
      <c r="B87">
        <v>18053.3</v>
      </c>
      <c r="C87" s="2">
        <f t="shared" si="7"/>
        <v>18000.833768142958</v>
      </c>
      <c r="D87" s="2">
        <f t="shared" si="2"/>
        <v>18094.006375123794</v>
      </c>
      <c r="E87" s="2">
        <f t="shared" si="5"/>
        <v>-93.172606980835553</v>
      </c>
      <c r="F87" s="2">
        <f t="shared" si="4"/>
        <v>-89.996380257513465</v>
      </c>
      <c r="G87" s="2">
        <f t="shared" si="6"/>
        <v>-3.1762267233220882</v>
      </c>
    </row>
    <row r="88" spans="1:7" x14ac:dyDescent="0.25">
      <c r="A88" s="1">
        <v>44944</v>
      </c>
      <c r="B88">
        <v>18165.349999999999</v>
      </c>
      <c r="C88" s="2">
        <f t="shared" si="7"/>
        <v>18026.143957659428</v>
      </c>
      <c r="D88" s="2">
        <f t="shared" si="2"/>
        <v>18099.291088077585</v>
      </c>
      <c r="E88" s="2">
        <f t="shared" si="5"/>
        <v>-73.147130418157758</v>
      </c>
      <c r="F88" s="2">
        <f t="shared" si="4"/>
        <v>-86.626530289642332</v>
      </c>
      <c r="G88" s="2">
        <f t="shared" si="6"/>
        <v>13.479399871484574</v>
      </c>
    </row>
    <row r="89" spans="1:7" x14ac:dyDescent="0.25">
      <c r="A89" s="1">
        <v>44945</v>
      </c>
      <c r="B89">
        <v>18107.849999999999</v>
      </c>
      <c r="C89" s="2">
        <f t="shared" si="7"/>
        <v>18038.714118019514</v>
      </c>
      <c r="D89" s="2">
        <f t="shared" si="2"/>
        <v>18099.92508155332</v>
      </c>
      <c r="E89" s="2">
        <f t="shared" si="5"/>
        <v>-61.210963533805625</v>
      </c>
      <c r="F89" s="2">
        <f t="shared" si="4"/>
        <v>-81.543416938475005</v>
      </c>
      <c r="G89" s="2">
        <f t="shared" si="6"/>
        <v>20.33245340466938</v>
      </c>
    </row>
    <row r="90" spans="1:7" x14ac:dyDescent="0.25">
      <c r="A90" s="1">
        <v>44946</v>
      </c>
      <c r="B90">
        <v>18027.650000000001</v>
      </c>
      <c r="C90" s="2">
        <f t="shared" si="7"/>
        <v>18037.011946016512</v>
      </c>
      <c r="D90" s="2">
        <f t="shared" si="2"/>
        <v>18094.57137180863</v>
      </c>
      <c r="E90" s="2">
        <f t="shared" si="5"/>
        <v>-57.559425792118418</v>
      </c>
      <c r="F90" s="2">
        <f t="shared" si="4"/>
        <v>-76.746618709203688</v>
      </c>
      <c r="G90" s="2">
        <f t="shared" si="6"/>
        <v>19.18719291708527</v>
      </c>
    </row>
    <row r="91" spans="1:7" x14ac:dyDescent="0.25">
      <c r="A91" s="1">
        <v>44949</v>
      </c>
      <c r="B91">
        <v>18118.55</v>
      </c>
      <c r="C91" s="2">
        <f t="shared" si="7"/>
        <v>18049.556262013972</v>
      </c>
      <c r="D91" s="2">
        <f t="shared" si="2"/>
        <v>18096.347566489472</v>
      </c>
      <c r="E91" s="2">
        <f t="shared" si="5"/>
        <v>-46.79130447550051</v>
      </c>
      <c r="F91" s="2">
        <f t="shared" si="4"/>
        <v>-70.755555862463055</v>
      </c>
      <c r="G91" s="2">
        <f t="shared" si="6"/>
        <v>23.964251386962545</v>
      </c>
    </row>
    <row r="92" spans="1:7" x14ac:dyDescent="0.25">
      <c r="A92" s="1">
        <v>44950</v>
      </c>
      <c r="B92">
        <v>18118.3</v>
      </c>
      <c r="C92" s="2">
        <f t="shared" si="7"/>
        <v>18060.132221704131</v>
      </c>
      <c r="D92" s="2">
        <f t="shared" si="2"/>
        <v>18097.973672675434</v>
      </c>
      <c r="E92" s="2">
        <f t="shared" si="5"/>
        <v>-37.841450971303857</v>
      </c>
      <c r="F92" s="2">
        <f t="shared" si="4"/>
        <v>-64.172734884231218</v>
      </c>
      <c r="G92" s="2">
        <f t="shared" si="6"/>
        <v>26.331283912927361</v>
      </c>
    </row>
    <row r="93" spans="1:7" x14ac:dyDescent="0.25">
      <c r="A93" s="1">
        <v>44951</v>
      </c>
      <c r="B93">
        <v>17891.95</v>
      </c>
      <c r="C93" s="2">
        <f t="shared" si="7"/>
        <v>18034.258033749647</v>
      </c>
      <c r="D93" s="2">
        <f t="shared" ref="D93:D156" si="8">B93*(2/(26+1)) + D92*(1-(2/(26+1)))</f>
        <v>18082.712659884659</v>
      </c>
      <c r="E93" s="2">
        <f t="shared" si="5"/>
        <v>-48.454626135011495</v>
      </c>
      <c r="F93" s="2">
        <f t="shared" si="4"/>
        <v>-61.029113134387273</v>
      </c>
      <c r="G93" s="2">
        <f t="shared" si="6"/>
        <v>12.574486999375779</v>
      </c>
    </row>
    <row r="94" spans="1:7" x14ac:dyDescent="0.25">
      <c r="A94" s="1">
        <v>44953</v>
      </c>
      <c r="B94">
        <v>17604.349999999999</v>
      </c>
      <c r="C94" s="2">
        <f t="shared" si="7"/>
        <v>17968.118336249699</v>
      </c>
      <c r="D94" s="2">
        <f t="shared" si="8"/>
        <v>18047.278388782091</v>
      </c>
      <c r="E94" s="2">
        <f t="shared" si="5"/>
        <v>-79.160052532392001</v>
      </c>
      <c r="F94" s="2">
        <f t="shared" si="4"/>
        <v>-64.655301013988222</v>
      </c>
      <c r="G94" s="2">
        <f t="shared" si="6"/>
        <v>-14.504751518403779</v>
      </c>
    </row>
    <row r="95" spans="1:7" x14ac:dyDescent="0.25">
      <c r="A95" s="1">
        <v>44956</v>
      </c>
      <c r="B95">
        <v>17648.95</v>
      </c>
      <c r="C95" s="2">
        <f t="shared" si="7"/>
        <v>17919.015515288207</v>
      </c>
      <c r="D95" s="2">
        <f t="shared" si="8"/>
        <v>18017.772582205638</v>
      </c>
      <c r="E95" s="2">
        <f t="shared" si="5"/>
        <v>-98.757066917431075</v>
      </c>
      <c r="F95" s="2">
        <f t="shared" si="4"/>
        <v>-71.475654194676792</v>
      </c>
      <c r="G95" s="2">
        <f t="shared" si="6"/>
        <v>-27.281412722754283</v>
      </c>
    </row>
    <row r="96" spans="1:7" x14ac:dyDescent="0.25">
      <c r="A96" s="1">
        <v>44957</v>
      </c>
      <c r="B96">
        <v>17662.150000000001</v>
      </c>
      <c r="C96" s="2">
        <f t="shared" si="7"/>
        <v>17879.497743705408</v>
      </c>
      <c r="D96" s="2">
        <f t="shared" si="8"/>
        <v>17991.430168708925</v>
      </c>
      <c r="E96" s="2">
        <f t="shared" si="5"/>
        <v>-111.93242500351698</v>
      </c>
      <c r="F96" s="2">
        <f t="shared" si="4"/>
        <v>-79.56700835644483</v>
      </c>
      <c r="G96" s="2">
        <f t="shared" si="6"/>
        <v>-32.365416647072152</v>
      </c>
    </row>
    <row r="97" spans="1:7" x14ac:dyDescent="0.25">
      <c r="A97" s="1">
        <v>44958</v>
      </c>
      <c r="B97">
        <v>17616.3</v>
      </c>
      <c r="C97" s="2">
        <f t="shared" si="7"/>
        <v>17839.005783135344</v>
      </c>
      <c r="D97" s="2">
        <f t="shared" si="8"/>
        <v>17963.642748804563</v>
      </c>
      <c r="E97" s="2">
        <f t="shared" si="5"/>
        <v>-124.63696566921863</v>
      </c>
      <c r="F97" s="2">
        <f t="shared" si="4"/>
        <v>-88.580999818999587</v>
      </c>
      <c r="G97" s="2">
        <f t="shared" si="6"/>
        <v>-36.055965850219039</v>
      </c>
    </row>
    <row r="98" spans="1:7" x14ac:dyDescent="0.25">
      <c r="A98" s="1">
        <v>44959</v>
      </c>
      <c r="B98">
        <v>17610.400000000001</v>
      </c>
      <c r="C98" s="2">
        <f t="shared" si="7"/>
        <v>17803.835662652982</v>
      </c>
      <c r="D98" s="2">
        <f t="shared" si="8"/>
        <v>17937.476619263485</v>
      </c>
      <c r="E98" s="2">
        <f t="shared" si="5"/>
        <v>-133.64095661050305</v>
      </c>
      <c r="F98" s="2">
        <f t="shared" si="4"/>
        <v>-97.592991177300291</v>
      </c>
      <c r="G98" s="2">
        <f t="shared" si="6"/>
        <v>-36.047965433202762</v>
      </c>
    </row>
    <row r="99" spans="1:7" x14ac:dyDescent="0.25">
      <c r="A99" s="1">
        <v>44960</v>
      </c>
      <c r="B99">
        <v>17854.05</v>
      </c>
      <c r="C99" s="2">
        <f t="shared" si="7"/>
        <v>17811.560945321755</v>
      </c>
      <c r="D99" s="2">
        <f t="shared" si="8"/>
        <v>17931.296869688413</v>
      </c>
      <c r="E99" s="2">
        <f t="shared" si="5"/>
        <v>-119.73592436665785</v>
      </c>
      <c r="F99" s="2">
        <f t="shared" si="4"/>
        <v>-102.02157781517181</v>
      </c>
      <c r="G99" s="2">
        <f t="shared" si="6"/>
        <v>-17.714346551486045</v>
      </c>
    </row>
    <row r="100" spans="1:7" x14ac:dyDescent="0.25">
      <c r="A100" s="1">
        <v>44963</v>
      </c>
      <c r="B100">
        <v>17764.599999999999</v>
      </c>
      <c r="C100" s="2">
        <f t="shared" si="7"/>
        <v>17804.336184503023</v>
      </c>
      <c r="D100" s="2">
        <f t="shared" si="8"/>
        <v>17918.948953415198</v>
      </c>
      <c r="E100" s="2">
        <f t="shared" si="5"/>
        <v>-114.61276891217494</v>
      </c>
      <c r="F100" s="2">
        <f t="shared" si="4"/>
        <v>-104.53981603457244</v>
      </c>
      <c r="G100" s="2">
        <f t="shared" si="6"/>
        <v>-10.072952877602503</v>
      </c>
    </row>
    <row r="101" spans="1:7" x14ac:dyDescent="0.25">
      <c r="A101" s="1">
        <v>44964</v>
      </c>
      <c r="B101">
        <v>17721.5</v>
      </c>
      <c r="C101" s="2">
        <f t="shared" si="7"/>
        <v>17791.592156117942</v>
      </c>
      <c r="D101" s="2">
        <f t="shared" si="8"/>
        <v>17904.323105014075</v>
      </c>
      <c r="E101" s="2">
        <f t="shared" si="5"/>
        <v>-112.73094889613276</v>
      </c>
      <c r="F101" s="2">
        <f t="shared" ref="F101:F164" si="9">(E101*(2/(9+1))+F100*(1-(2/(9+1))))</f>
        <v>-106.1780426068845</v>
      </c>
      <c r="G101" s="2">
        <f t="shared" si="6"/>
        <v>-6.5529062892482557</v>
      </c>
    </row>
    <row r="102" spans="1:7" x14ac:dyDescent="0.25">
      <c r="A102" s="1">
        <v>44965</v>
      </c>
      <c r="B102">
        <v>17871.7</v>
      </c>
      <c r="C102" s="2">
        <f t="shared" si="7"/>
        <v>17803.916439792105</v>
      </c>
      <c r="D102" s="2">
        <f t="shared" si="8"/>
        <v>17901.906578716735</v>
      </c>
      <c r="E102" s="2">
        <f t="shared" si="5"/>
        <v>-97.990138924629719</v>
      </c>
      <c r="F102" s="2">
        <f t="shared" si="9"/>
        <v>-104.54046187043356</v>
      </c>
      <c r="G102" s="2">
        <f t="shared" si="6"/>
        <v>6.5503229458038419</v>
      </c>
    </row>
    <row r="103" spans="1:7" x14ac:dyDescent="0.25">
      <c r="A103" s="1">
        <v>44966</v>
      </c>
      <c r="B103">
        <v>17893.45</v>
      </c>
      <c r="C103" s="2">
        <f t="shared" si="7"/>
        <v>17817.690833670244</v>
      </c>
      <c r="D103" s="2">
        <f t="shared" si="8"/>
        <v>17901.28016547846</v>
      </c>
      <c r="E103" s="2">
        <f t="shared" si="5"/>
        <v>-83.58933180821623</v>
      </c>
      <c r="F103" s="2">
        <f t="shared" si="9"/>
        <v>-100.3502358579901</v>
      </c>
      <c r="G103" s="2">
        <f t="shared" si="6"/>
        <v>16.76090404977387</v>
      </c>
    </row>
    <row r="104" spans="1:7" x14ac:dyDescent="0.25">
      <c r="A104" s="1">
        <v>44967</v>
      </c>
      <c r="B104">
        <v>17856.5</v>
      </c>
      <c r="C104" s="2">
        <f t="shared" si="7"/>
        <v>17823.661474644054</v>
      </c>
      <c r="D104" s="2">
        <f t="shared" si="8"/>
        <v>17897.963116183761</v>
      </c>
      <c r="E104" s="2">
        <f t="shared" si="5"/>
        <v>-74.301641539706907</v>
      </c>
      <c r="F104" s="2">
        <f t="shared" si="9"/>
        <v>-95.140516994333467</v>
      </c>
      <c r="G104" s="2">
        <f t="shared" si="6"/>
        <v>20.83887545462656</v>
      </c>
    </row>
    <row r="105" spans="1:7" x14ac:dyDescent="0.25">
      <c r="A105" s="1">
        <v>44970</v>
      </c>
      <c r="B105">
        <v>17770.900000000001</v>
      </c>
      <c r="C105" s="2">
        <f t="shared" si="7"/>
        <v>17815.544324698814</v>
      </c>
      <c r="D105" s="2">
        <f t="shared" si="8"/>
        <v>17888.551033503481</v>
      </c>
      <c r="E105" s="2">
        <f t="shared" si="5"/>
        <v>-73.006708804667142</v>
      </c>
      <c r="F105" s="2">
        <f t="shared" si="9"/>
        <v>-90.713755356400213</v>
      </c>
      <c r="G105" s="2">
        <f t="shared" si="6"/>
        <v>17.707046551733072</v>
      </c>
    </row>
    <row r="106" spans="1:7" x14ac:dyDescent="0.25">
      <c r="A106" s="1">
        <v>44971</v>
      </c>
      <c r="B106">
        <v>17929.849999999999</v>
      </c>
      <c r="C106" s="2">
        <f t="shared" si="7"/>
        <v>17833.129813206688</v>
      </c>
      <c r="D106" s="2">
        <f t="shared" si="8"/>
        <v>17891.610216206929</v>
      </c>
      <c r="E106" s="2">
        <f t="shared" si="5"/>
        <v>-58.480403000241495</v>
      </c>
      <c r="F106" s="2">
        <f t="shared" si="9"/>
        <v>-84.267084885168472</v>
      </c>
      <c r="G106" s="2">
        <f t="shared" si="6"/>
        <v>25.786681884926978</v>
      </c>
    </row>
    <row r="107" spans="1:7" x14ac:dyDescent="0.25">
      <c r="A107" s="1">
        <v>44972</v>
      </c>
      <c r="B107">
        <v>18015.849999999999</v>
      </c>
      <c r="C107" s="2">
        <f t="shared" si="7"/>
        <v>17861.24061117489</v>
      </c>
      <c r="D107" s="2">
        <f t="shared" si="8"/>
        <v>17900.813163154566</v>
      </c>
      <c r="E107" s="2">
        <f t="shared" si="5"/>
        <v>-39.572551979676064</v>
      </c>
      <c r="F107" s="2">
        <f t="shared" si="9"/>
        <v>-75.328178304069993</v>
      </c>
      <c r="G107" s="2">
        <f t="shared" si="6"/>
        <v>35.75562632439393</v>
      </c>
    </row>
    <row r="108" spans="1:7" x14ac:dyDescent="0.25">
      <c r="A108" s="1">
        <v>44973</v>
      </c>
      <c r="B108">
        <v>18035.849999999999</v>
      </c>
      <c r="C108" s="2">
        <f t="shared" si="7"/>
        <v>17888.103594071061</v>
      </c>
      <c r="D108" s="2">
        <f t="shared" si="8"/>
        <v>17910.815891809783</v>
      </c>
      <c r="E108" s="2">
        <f t="shared" si="5"/>
        <v>-22.712297738722555</v>
      </c>
      <c r="F108" s="2">
        <f t="shared" si="9"/>
        <v>-64.805002191000511</v>
      </c>
      <c r="G108" s="2">
        <f t="shared" si="6"/>
        <v>42.092704452277957</v>
      </c>
    </row>
    <row r="109" spans="1:7" x14ac:dyDescent="0.25">
      <c r="A109" s="1">
        <v>44974</v>
      </c>
      <c r="B109">
        <v>17944.2</v>
      </c>
      <c r="C109" s="2">
        <f t="shared" si="7"/>
        <v>17896.733810367819</v>
      </c>
      <c r="D109" s="2">
        <f t="shared" si="8"/>
        <v>17913.288788712762</v>
      </c>
      <c r="E109" s="2">
        <f t="shared" si="5"/>
        <v>-16.554978344942356</v>
      </c>
      <c r="F109" s="2">
        <f t="shared" si="9"/>
        <v>-55.154997421788877</v>
      </c>
      <c r="G109" s="2">
        <f t="shared" si="6"/>
        <v>38.600019076846522</v>
      </c>
    </row>
    <row r="110" spans="1:7" x14ac:dyDescent="0.25">
      <c r="A110" s="1">
        <v>44977</v>
      </c>
      <c r="B110">
        <v>17844.599999999999</v>
      </c>
      <c r="C110" s="2">
        <f t="shared" si="7"/>
        <v>17888.713224157385</v>
      </c>
      <c r="D110" s="2">
        <f t="shared" si="8"/>
        <v>17908.200730289595</v>
      </c>
      <c r="E110" s="2">
        <f t="shared" si="5"/>
        <v>-19.487506132209091</v>
      </c>
      <c r="F110" s="2">
        <f t="shared" si="9"/>
        <v>-48.021499163872924</v>
      </c>
      <c r="G110" s="2">
        <f t="shared" si="6"/>
        <v>28.533993031663833</v>
      </c>
    </row>
    <row r="111" spans="1:7" x14ac:dyDescent="0.25">
      <c r="A111" s="1">
        <v>44978</v>
      </c>
      <c r="B111">
        <v>17826.7</v>
      </c>
      <c r="C111" s="2">
        <f t="shared" si="7"/>
        <v>17879.172728133173</v>
      </c>
      <c r="D111" s="2">
        <f t="shared" si="8"/>
        <v>17902.163639157032</v>
      </c>
      <c r="E111" s="2">
        <f t="shared" si="5"/>
        <v>-22.990911023858644</v>
      </c>
      <c r="F111" s="2">
        <f t="shared" si="9"/>
        <v>-43.015381535870077</v>
      </c>
      <c r="G111" s="2">
        <f t="shared" si="6"/>
        <v>20.024470512011433</v>
      </c>
    </row>
    <row r="112" spans="1:7" x14ac:dyDescent="0.25">
      <c r="A112" s="1">
        <v>44979</v>
      </c>
      <c r="B112">
        <v>17554.3</v>
      </c>
      <c r="C112" s="2">
        <f t="shared" si="7"/>
        <v>17829.192308420377</v>
      </c>
      <c r="D112" s="2">
        <f t="shared" si="8"/>
        <v>17876.395962182436</v>
      </c>
      <c r="E112" s="2">
        <f t="shared" si="5"/>
        <v>-47.203653762058821</v>
      </c>
      <c r="F112" s="2">
        <f t="shared" si="9"/>
        <v>-43.85303598110783</v>
      </c>
      <c r="G112" s="2">
        <f t="shared" si="6"/>
        <v>-3.3506177809509907</v>
      </c>
    </row>
    <row r="113" spans="1:7" x14ac:dyDescent="0.25">
      <c r="A113" s="1">
        <v>44980</v>
      </c>
      <c r="B113">
        <v>17511.25</v>
      </c>
      <c r="C113" s="2">
        <f t="shared" si="7"/>
        <v>17780.278107124934</v>
      </c>
      <c r="D113" s="2">
        <f t="shared" si="8"/>
        <v>17849.348113131884</v>
      </c>
      <c r="E113" s="2">
        <f t="shared" si="5"/>
        <v>-69.07000600695028</v>
      </c>
      <c r="F113" s="2">
        <f t="shared" si="9"/>
        <v>-48.896429986276324</v>
      </c>
      <c r="G113" s="2">
        <f t="shared" si="6"/>
        <v>-20.173576020673956</v>
      </c>
    </row>
    <row r="114" spans="1:7" x14ac:dyDescent="0.25">
      <c r="A114" s="1">
        <v>44981</v>
      </c>
      <c r="B114">
        <v>17465.8</v>
      </c>
      <c r="C114" s="2">
        <f t="shared" si="7"/>
        <v>17731.896859874945</v>
      </c>
      <c r="D114" s="2">
        <f t="shared" si="8"/>
        <v>17820.937141788781</v>
      </c>
      <c r="E114" s="2">
        <f t="shared" si="5"/>
        <v>-89.040281913836225</v>
      </c>
      <c r="F114" s="2">
        <f t="shared" si="9"/>
        <v>-56.925200371788307</v>
      </c>
      <c r="G114" s="2">
        <f t="shared" si="6"/>
        <v>-32.115081542047918</v>
      </c>
    </row>
    <row r="115" spans="1:7" x14ac:dyDescent="0.25">
      <c r="A115" s="1">
        <v>44984</v>
      </c>
      <c r="B115">
        <v>17392.7</v>
      </c>
      <c r="C115" s="2">
        <f t="shared" si="7"/>
        <v>17679.712727586491</v>
      </c>
      <c r="D115" s="2">
        <f t="shared" si="8"/>
        <v>17789.215872026649</v>
      </c>
      <c r="E115" s="2">
        <f t="shared" si="5"/>
        <v>-109.50314444015748</v>
      </c>
      <c r="F115" s="2">
        <f t="shared" si="9"/>
        <v>-67.440789185462137</v>
      </c>
      <c r="G115" s="2">
        <f t="shared" si="6"/>
        <v>-42.062355254695348</v>
      </c>
    </row>
    <row r="116" spans="1:7" x14ac:dyDescent="0.25">
      <c r="A116" s="1">
        <v>44985</v>
      </c>
      <c r="B116">
        <v>17303.95</v>
      </c>
      <c r="C116" s="2">
        <f t="shared" si="7"/>
        <v>17621.90307718857</v>
      </c>
      <c r="D116" s="2">
        <f t="shared" si="8"/>
        <v>17753.270251876525</v>
      </c>
      <c r="E116" s="2">
        <f t="shared" si="5"/>
        <v>-131.36717468795541</v>
      </c>
      <c r="F116" s="2">
        <f t="shared" si="9"/>
        <v>-80.226066285960798</v>
      </c>
      <c r="G116" s="2">
        <f t="shared" si="6"/>
        <v>-51.141108401994614</v>
      </c>
    </row>
    <row r="117" spans="1:7" x14ac:dyDescent="0.25">
      <c r="A117" s="1">
        <v>44986</v>
      </c>
      <c r="B117">
        <v>17450.900000000001</v>
      </c>
      <c r="C117" s="2">
        <f t="shared" si="7"/>
        <v>17595.594911467251</v>
      </c>
      <c r="D117" s="2">
        <f t="shared" si="8"/>
        <v>17730.872455441229</v>
      </c>
      <c r="E117" s="2">
        <f t="shared" si="5"/>
        <v>-135.27754397397803</v>
      </c>
      <c r="F117" s="2">
        <f t="shared" si="9"/>
        <v>-91.236361823564238</v>
      </c>
      <c r="G117" s="2">
        <f t="shared" si="6"/>
        <v>-44.041182150413789</v>
      </c>
    </row>
    <row r="118" spans="1:7" x14ac:dyDescent="0.25">
      <c r="A118" s="1">
        <v>44987</v>
      </c>
      <c r="B118">
        <v>17321.900000000001</v>
      </c>
      <c r="C118" s="2">
        <f t="shared" si="7"/>
        <v>17553.488002010752</v>
      </c>
      <c r="D118" s="2">
        <f t="shared" si="8"/>
        <v>17700.578199482617</v>
      </c>
      <c r="E118" s="2">
        <f t="shared" si="5"/>
        <v>-147.09019747186539</v>
      </c>
      <c r="F118" s="2">
        <f t="shared" si="9"/>
        <v>-102.40712895322447</v>
      </c>
      <c r="G118" s="2">
        <f t="shared" si="6"/>
        <v>-44.683068518640923</v>
      </c>
    </row>
    <row r="119" spans="1:7" x14ac:dyDescent="0.25">
      <c r="A119" s="1">
        <v>44988</v>
      </c>
      <c r="B119">
        <v>17594.349999999999</v>
      </c>
      <c r="C119" s="2">
        <f t="shared" si="7"/>
        <v>17559.774463239868</v>
      </c>
      <c r="D119" s="2">
        <f t="shared" si="8"/>
        <v>17692.709443965385</v>
      </c>
      <c r="E119" s="2">
        <f t="shared" si="5"/>
        <v>-132.93498072551665</v>
      </c>
      <c r="F119" s="2">
        <f t="shared" si="9"/>
        <v>-108.51269930768291</v>
      </c>
      <c r="G119" s="2">
        <f t="shared" si="6"/>
        <v>-24.422281417833744</v>
      </c>
    </row>
    <row r="120" spans="1:7" x14ac:dyDescent="0.25">
      <c r="A120" s="1">
        <v>44991</v>
      </c>
      <c r="B120">
        <v>17711.45</v>
      </c>
      <c r="C120" s="2">
        <f t="shared" si="7"/>
        <v>17583.109161202963</v>
      </c>
      <c r="D120" s="2">
        <f t="shared" si="8"/>
        <v>17694.09763330128</v>
      </c>
      <c r="E120" s="2">
        <f t="shared" si="5"/>
        <v>-110.98847209831729</v>
      </c>
      <c r="F120" s="2">
        <f t="shared" si="9"/>
        <v>-109.00785386580979</v>
      </c>
      <c r="G120" s="2">
        <f t="shared" si="6"/>
        <v>-1.9806182325074957</v>
      </c>
    </row>
    <row r="121" spans="1:7" x14ac:dyDescent="0.25">
      <c r="A121" s="1">
        <v>44993</v>
      </c>
      <c r="B121">
        <v>17754.400000000001</v>
      </c>
      <c r="C121" s="2">
        <f t="shared" si="7"/>
        <v>17609.461597940968</v>
      </c>
      <c r="D121" s="2">
        <f t="shared" si="8"/>
        <v>17698.564475278963</v>
      </c>
      <c r="E121" s="2">
        <f t="shared" si="5"/>
        <v>-89.102877337994869</v>
      </c>
      <c r="F121" s="2">
        <f t="shared" si="9"/>
        <v>-105.02685856024681</v>
      </c>
      <c r="G121" s="2">
        <f t="shared" si="6"/>
        <v>15.923981222251939</v>
      </c>
    </row>
    <row r="122" spans="1:7" x14ac:dyDescent="0.25">
      <c r="A122" s="1">
        <v>44994</v>
      </c>
      <c r="B122">
        <v>17589.599999999999</v>
      </c>
      <c r="C122" s="2">
        <f t="shared" si="7"/>
        <v>17606.40596748851</v>
      </c>
      <c r="D122" s="2">
        <f t="shared" si="8"/>
        <v>17690.493032665709</v>
      </c>
      <c r="E122" s="2">
        <f t="shared" si="5"/>
        <v>-84.087065177198383</v>
      </c>
      <c r="F122" s="2">
        <f t="shared" si="9"/>
        <v>-100.83889988363714</v>
      </c>
      <c r="G122" s="2">
        <f t="shared" si="6"/>
        <v>16.751834706438757</v>
      </c>
    </row>
    <row r="123" spans="1:7" x14ac:dyDescent="0.25">
      <c r="A123" s="1">
        <v>44995</v>
      </c>
      <c r="B123">
        <v>17412.900000000001</v>
      </c>
      <c r="C123" s="2">
        <f t="shared" si="7"/>
        <v>17576.635818644125</v>
      </c>
      <c r="D123" s="2">
        <f t="shared" si="8"/>
        <v>17669.930585801583</v>
      </c>
      <c r="E123" s="2">
        <f t="shared" si="5"/>
        <v>-93.294767157458409</v>
      </c>
      <c r="F123" s="2">
        <f t="shared" si="9"/>
        <v>-99.330073338401405</v>
      </c>
      <c r="G123" s="2">
        <f t="shared" si="6"/>
        <v>6.035306180942996</v>
      </c>
    </row>
    <row r="124" spans="1:7" x14ac:dyDescent="0.25">
      <c r="A124" s="1">
        <v>44998</v>
      </c>
      <c r="B124">
        <v>17154.3</v>
      </c>
      <c r="C124" s="2">
        <f t="shared" si="7"/>
        <v>17511.66107731426</v>
      </c>
      <c r="D124" s="2">
        <f t="shared" si="8"/>
        <v>17631.735727594059</v>
      </c>
      <c r="E124" s="2">
        <f t="shared" si="5"/>
        <v>-120.07465027979924</v>
      </c>
      <c r="F124" s="2">
        <f t="shared" si="9"/>
        <v>-103.47898872668098</v>
      </c>
      <c r="G124" s="2">
        <f t="shared" si="6"/>
        <v>-16.595661553118262</v>
      </c>
    </row>
    <row r="125" spans="1:7" x14ac:dyDescent="0.25">
      <c r="A125" s="1">
        <v>44999</v>
      </c>
      <c r="B125">
        <v>17043.3</v>
      </c>
      <c r="C125" s="2">
        <f t="shared" si="7"/>
        <v>17439.605526958221</v>
      </c>
      <c r="D125" s="2">
        <f t="shared" si="8"/>
        <v>17588.147895920425</v>
      </c>
      <c r="E125" s="2">
        <f t="shared" si="5"/>
        <v>-148.54236896220391</v>
      </c>
      <c r="F125" s="2">
        <f t="shared" si="9"/>
        <v>-112.49166477378557</v>
      </c>
      <c r="G125" s="2">
        <f t="shared" si="6"/>
        <v>-36.050704188418337</v>
      </c>
    </row>
    <row r="126" spans="1:7" x14ac:dyDescent="0.25">
      <c r="A126" s="1">
        <v>45000</v>
      </c>
      <c r="B126">
        <v>16972.150000000001</v>
      </c>
      <c r="C126" s="2">
        <f t="shared" si="7"/>
        <v>17367.68929204157</v>
      </c>
      <c r="D126" s="2">
        <f t="shared" si="8"/>
        <v>17542.518422148543</v>
      </c>
      <c r="E126" s="2">
        <f t="shared" si="5"/>
        <v>-174.82913010697303</v>
      </c>
      <c r="F126" s="2">
        <f t="shared" si="9"/>
        <v>-124.95915784042307</v>
      </c>
      <c r="G126" s="2">
        <f t="shared" si="6"/>
        <v>-49.869972266549951</v>
      </c>
    </row>
    <row r="127" spans="1:7" x14ac:dyDescent="0.25">
      <c r="A127" s="1">
        <v>45001</v>
      </c>
      <c r="B127">
        <v>16985.599999999999</v>
      </c>
      <c r="C127" s="2">
        <f t="shared" si="7"/>
        <v>17308.906324035175</v>
      </c>
      <c r="D127" s="2">
        <f t="shared" si="8"/>
        <v>17501.265205693097</v>
      </c>
      <c r="E127" s="2">
        <f t="shared" si="5"/>
        <v>-192.3588816579213</v>
      </c>
      <c r="F127" s="2">
        <f t="shared" si="9"/>
        <v>-138.43910260392272</v>
      </c>
      <c r="G127" s="2">
        <f t="shared" si="6"/>
        <v>-53.919779053998582</v>
      </c>
    </row>
    <row r="128" spans="1:7" x14ac:dyDescent="0.25">
      <c r="A128" s="1">
        <v>45002</v>
      </c>
      <c r="B128">
        <v>17100.05</v>
      </c>
      <c r="C128" s="2">
        <f t="shared" si="7"/>
        <v>17276.774581875918</v>
      </c>
      <c r="D128" s="2">
        <f t="shared" si="8"/>
        <v>17471.54556082694</v>
      </c>
      <c r="E128" s="2">
        <f t="shared" si="5"/>
        <v>-194.7709789510227</v>
      </c>
      <c r="F128" s="2">
        <f t="shared" si="9"/>
        <v>-149.70547787334272</v>
      </c>
      <c r="G128" s="2">
        <f t="shared" si="6"/>
        <v>-45.065501077679983</v>
      </c>
    </row>
    <row r="129" spans="1:7" x14ac:dyDescent="0.25">
      <c r="A129" s="1">
        <v>45005</v>
      </c>
      <c r="B129">
        <v>16988.400000000001</v>
      </c>
      <c r="C129" s="2">
        <f t="shared" si="7"/>
        <v>17232.409261587316</v>
      </c>
      <c r="D129" s="2">
        <f t="shared" si="8"/>
        <v>17435.757000765687</v>
      </c>
      <c r="E129" s="2">
        <f t="shared" si="5"/>
        <v>-203.34773917837083</v>
      </c>
      <c r="F129" s="2">
        <f t="shared" si="9"/>
        <v>-160.43393013434834</v>
      </c>
      <c r="G129" s="2">
        <f t="shared" si="6"/>
        <v>-42.913809044022486</v>
      </c>
    </row>
    <row r="130" spans="1:7" x14ac:dyDescent="0.25">
      <c r="A130" s="1">
        <v>45006</v>
      </c>
      <c r="B130">
        <v>17107.5</v>
      </c>
      <c r="C130" s="2">
        <f t="shared" si="7"/>
        <v>17213.192452112344</v>
      </c>
      <c r="D130" s="2">
        <f t="shared" si="8"/>
        <v>17411.441667375635</v>
      </c>
      <c r="E130" s="2">
        <f t="shared" ref="E130:E193" si="10">C130-D130</f>
        <v>-198.24921526329126</v>
      </c>
      <c r="F130" s="2">
        <f t="shared" si="9"/>
        <v>-167.99698716013694</v>
      </c>
      <c r="G130" s="2">
        <f t="shared" ref="G130:G193" si="11">E130-F130</f>
        <v>-30.252228103154323</v>
      </c>
    </row>
    <row r="131" spans="1:7" x14ac:dyDescent="0.25">
      <c r="A131" s="1">
        <v>45007</v>
      </c>
      <c r="B131">
        <v>17151.900000000001</v>
      </c>
      <c r="C131" s="2">
        <f t="shared" si="7"/>
        <v>17203.762844095061</v>
      </c>
      <c r="D131" s="2">
        <f t="shared" si="8"/>
        <v>17392.216358681144</v>
      </c>
      <c r="E131" s="2">
        <f t="shared" si="10"/>
        <v>-188.45351458608275</v>
      </c>
      <c r="F131" s="2">
        <f t="shared" si="9"/>
        <v>-172.08829264532611</v>
      </c>
      <c r="G131" s="2">
        <f t="shared" si="11"/>
        <v>-16.365221940756641</v>
      </c>
    </row>
    <row r="132" spans="1:7" x14ac:dyDescent="0.25">
      <c r="A132" s="1">
        <v>45008</v>
      </c>
      <c r="B132">
        <v>17076.900000000001</v>
      </c>
      <c r="C132" s="2">
        <f t="shared" si="7"/>
        <v>17184.245483465053</v>
      </c>
      <c r="D132" s="2">
        <f t="shared" si="8"/>
        <v>17368.859591371431</v>
      </c>
      <c r="E132" s="2">
        <f t="shared" si="10"/>
        <v>-184.61410790637819</v>
      </c>
      <c r="F132" s="2">
        <f t="shared" si="9"/>
        <v>-174.59345569753651</v>
      </c>
      <c r="G132" s="2">
        <f t="shared" si="11"/>
        <v>-10.020652208841682</v>
      </c>
    </row>
    <row r="133" spans="1:7" x14ac:dyDescent="0.25">
      <c r="A133" s="1">
        <v>45009</v>
      </c>
      <c r="B133">
        <v>16945.05</v>
      </c>
      <c r="C133" s="2">
        <f t="shared" si="7"/>
        <v>17147.446178316583</v>
      </c>
      <c r="D133" s="2">
        <f t="shared" si="8"/>
        <v>17337.466288306881</v>
      </c>
      <c r="E133" s="2">
        <f t="shared" si="10"/>
        <v>-190.02010999029881</v>
      </c>
      <c r="F133" s="2">
        <f t="shared" si="9"/>
        <v>-177.67878655608897</v>
      </c>
      <c r="G133" s="2">
        <f t="shared" si="11"/>
        <v>-12.341323434209841</v>
      </c>
    </row>
    <row r="134" spans="1:7" x14ac:dyDescent="0.25">
      <c r="A134" s="1">
        <v>45012</v>
      </c>
      <c r="B134">
        <v>16985.7</v>
      </c>
      <c r="C134" s="2">
        <f t="shared" si="7"/>
        <v>17122.562150883263</v>
      </c>
      <c r="D134" s="2">
        <f t="shared" si="8"/>
        <v>17311.409526210075</v>
      </c>
      <c r="E134" s="2">
        <f t="shared" si="10"/>
        <v>-188.84737532681174</v>
      </c>
      <c r="F134" s="2">
        <f t="shared" si="9"/>
        <v>-179.91250431023352</v>
      </c>
      <c r="G134" s="2">
        <f t="shared" si="11"/>
        <v>-8.9348710165782279</v>
      </c>
    </row>
    <row r="135" spans="1:7" x14ac:dyDescent="0.25">
      <c r="A135" s="1">
        <v>45013</v>
      </c>
      <c r="B135">
        <v>16951.7</v>
      </c>
      <c r="C135" s="2">
        <f t="shared" si="7"/>
        <v>17096.275666131991</v>
      </c>
      <c r="D135" s="2">
        <f t="shared" si="8"/>
        <v>17284.764376120438</v>
      </c>
      <c r="E135" s="2">
        <f t="shared" si="10"/>
        <v>-188.48870998844723</v>
      </c>
      <c r="F135" s="2">
        <f t="shared" si="9"/>
        <v>-181.62774544587626</v>
      </c>
      <c r="G135" s="2">
        <f t="shared" si="11"/>
        <v>-6.8609645425709687</v>
      </c>
    </row>
    <row r="136" spans="1:7" x14ac:dyDescent="0.25">
      <c r="A136" s="1">
        <v>45014</v>
      </c>
      <c r="B136">
        <v>17080.7</v>
      </c>
      <c r="C136" s="2">
        <f t="shared" si="7"/>
        <v>17093.879409803991</v>
      </c>
      <c r="D136" s="2">
        <f t="shared" si="8"/>
        <v>17269.648496407812</v>
      </c>
      <c r="E136" s="2">
        <f t="shared" si="10"/>
        <v>-175.76908660382105</v>
      </c>
      <c r="F136" s="2">
        <f t="shared" si="9"/>
        <v>-180.45601367746522</v>
      </c>
      <c r="G136" s="2">
        <f t="shared" si="11"/>
        <v>4.6869270736441706</v>
      </c>
    </row>
    <row r="137" spans="1:7" x14ac:dyDescent="0.25">
      <c r="A137" s="1">
        <v>45016</v>
      </c>
      <c r="B137">
        <v>17359.75</v>
      </c>
      <c r="C137" s="2">
        <f t="shared" si="7"/>
        <v>17134.782577526454</v>
      </c>
      <c r="D137" s="2">
        <f t="shared" si="8"/>
        <v>17276.322681859085</v>
      </c>
      <c r="E137" s="2">
        <f t="shared" si="10"/>
        <v>-141.54010433263102</v>
      </c>
      <c r="F137" s="2">
        <f t="shared" si="9"/>
        <v>-172.67283180849842</v>
      </c>
      <c r="G137" s="2">
        <f t="shared" si="11"/>
        <v>31.132727475867398</v>
      </c>
    </row>
    <row r="138" spans="1:7" x14ac:dyDescent="0.25">
      <c r="A138" s="1">
        <v>45019</v>
      </c>
      <c r="B138">
        <v>17398.05</v>
      </c>
      <c r="C138" s="2">
        <f t="shared" si="7"/>
        <v>17175.285257906999</v>
      </c>
      <c r="D138" s="2">
        <f t="shared" si="8"/>
        <v>17285.339520239893</v>
      </c>
      <c r="E138" s="2">
        <f t="shared" si="10"/>
        <v>-110.05426233289472</v>
      </c>
      <c r="F138" s="2">
        <f t="shared" si="9"/>
        <v>-160.14911791337767</v>
      </c>
      <c r="G138" s="2">
        <f t="shared" si="11"/>
        <v>50.094855580482943</v>
      </c>
    </row>
    <row r="139" spans="1:7" x14ac:dyDescent="0.25">
      <c r="A139" s="1">
        <v>45021</v>
      </c>
      <c r="B139">
        <v>17557.05</v>
      </c>
      <c r="C139" s="2">
        <f t="shared" si="7"/>
        <v>17234.018295152076</v>
      </c>
      <c r="D139" s="2">
        <f t="shared" si="8"/>
        <v>17305.466222444345</v>
      </c>
      <c r="E139" s="2">
        <f t="shared" si="10"/>
        <v>-71.447927292269014</v>
      </c>
      <c r="F139" s="2">
        <f t="shared" si="9"/>
        <v>-142.40887978915595</v>
      </c>
      <c r="G139" s="2">
        <f t="shared" si="11"/>
        <v>70.960952496886932</v>
      </c>
    </row>
    <row r="140" spans="1:7" x14ac:dyDescent="0.25">
      <c r="A140" s="1">
        <v>45022</v>
      </c>
      <c r="B140">
        <v>17599.150000000001</v>
      </c>
      <c r="C140" s="2">
        <f t="shared" si="7"/>
        <v>17290.192403590219</v>
      </c>
      <c r="D140" s="2">
        <f t="shared" si="8"/>
        <v>17327.220576337357</v>
      </c>
      <c r="E140" s="2">
        <f t="shared" si="10"/>
        <v>-37.028172747137432</v>
      </c>
      <c r="F140" s="2">
        <f t="shared" si="9"/>
        <v>-121.33273838075225</v>
      </c>
      <c r="G140" s="2">
        <f t="shared" si="11"/>
        <v>84.304565633614814</v>
      </c>
    </row>
    <row r="141" spans="1:7" x14ac:dyDescent="0.25">
      <c r="A141" s="1">
        <v>45026</v>
      </c>
      <c r="B141">
        <v>17624.05</v>
      </c>
      <c r="C141" s="2">
        <f t="shared" si="7"/>
        <v>17341.555110730187</v>
      </c>
      <c r="D141" s="2">
        <f t="shared" si="8"/>
        <v>17349.207941053108</v>
      </c>
      <c r="E141" s="2">
        <f t="shared" si="10"/>
        <v>-7.6528303229206358</v>
      </c>
      <c r="F141" s="2">
        <f t="shared" si="9"/>
        <v>-98.59675676918593</v>
      </c>
      <c r="G141" s="2">
        <f t="shared" si="11"/>
        <v>90.943926446265294</v>
      </c>
    </row>
    <row r="142" spans="1:7" x14ac:dyDescent="0.25">
      <c r="A142" s="1">
        <v>45027</v>
      </c>
      <c r="B142">
        <v>17722.3</v>
      </c>
      <c r="C142" s="2">
        <f t="shared" si="7"/>
        <v>17400.131247540929</v>
      </c>
      <c r="D142" s="2">
        <f t="shared" si="8"/>
        <v>17376.844389863989</v>
      </c>
      <c r="E142" s="2">
        <f t="shared" si="10"/>
        <v>23.28685767693969</v>
      </c>
      <c r="F142" s="2">
        <f t="shared" si="9"/>
        <v>-74.220033879960809</v>
      </c>
      <c r="G142" s="2">
        <f t="shared" si="11"/>
        <v>97.506891556900499</v>
      </c>
    </row>
    <row r="143" spans="1:7" x14ac:dyDescent="0.25">
      <c r="A143" s="1">
        <v>45028</v>
      </c>
      <c r="B143">
        <v>17812.400000000001</v>
      </c>
      <c r="C143" s="2">
        <f t="shared" ref="C143:C206" si="12">(B143*(2/(12+1))+C142*(1-(2/(12+1))))</f>
        <v>17463.557209457711</v>
      </c>
      <c r="D143" s="2">
        <f t="shared" si="8"/>
        <v>17409.107768392583</v>
      </c>
      <c r="E143" s="2">
        <f t="shared" si="10"/>
        <v>54.449441065127758</v>
      </c>
      <c r="F143" s="2">
        <f t="shared" si="9"/>
        <v>-48.486138890943103</v>
      </c>
      <c r="G143" s="2">
        <f t="shared" si="11"/>
        <v>102.93557995607085</v>
      </c>
    </row>
    <row r="144" spans="1:7" x14ac:dyDescent="0.25">
      <c r="A144" s="1">
        <v>45029</v>
      </c>
      <c r="B144">
        <v>17828</v>
      </c>
      <c r="C144" s="2">
        <f t="shared" si="12"/>
        <v>17519.625331079602</v>
      </c>
      <c r="D144" s="2">
        <f t="shared" si="8"/>
        <v>17440.136822585726</v>
      </c>
      <c r="E144" s="2">
        <f t="shared" si="10"/>
        <v>79.488508493875997</v>
      </c>
      <c r="F144" s="2">
        <f t="shared" si="9"/>
        <v>-22.891209413979283</v>
      </c>
      <c r="G144" s="2">
        <f t="shared" si="11"/>
        <v>102.37971790785528</v>
      </c>
    </row>
    <row r="145" spans="1:7" x14ac:dyDescent="0.25">
      <c r="A145" s="1">
        <v>45033</v>
      </c>
      <c r="B145">
        <v>17706.849999999999</v>
      </c>
      <c r="C145" s="2">
        <f t="shared" si="12"/>
        <v>17548.429126298124</v>
      </c>
      <c r="D145" s="2">
        <f t="shared" si="8"/>
        <v>17459.89335424604</v>
      </c>
      <c r="E145" s="2">
        <f t="shared" si="10"/>
        <v>88.535772052084212</v>
      </c>
      <c r="F145" s="2">
        <f t="shared" si="9"/>
        <v>-0.60581312076658378</v>
      </c>
      <c r="G145" s="2">
        <f t="shared" si="11"/>
        <v>89.141585172850796</v>
      </c>
    </row>
    <row r="146" spans="1:7" x14ac:dyDescent="0.25">
      <c r="A146" s="1">
        <v>45034</v>
      </c>
      <c r="B146">
        <v>17660.150000000001</v>
      </c>
      <c r="C146" s="2">
        <f t="shared" si="12"/>
        <v>17565.61695302149</v>
      </c>
      <c r="D146" s="2">
        <f t="shared" si="8"/>
        <v>17474.727179857444</v>
      </c>
      <c r="E146" s="2">
        <f t="shared" si="10"/>
        <v>90.889773164046346</v>
      </c>
      <c r="F146" s="2">
        <f t="shared" si="9"/>
        <v>17.693304136196005</v>
      </c>
      <c r="G146" s="2">
        <f t="shared" si="11"/>
        <v>73.196469027850341</v>
      </c>
    </row>
    <row r="147" spans="1:7" x14ac:dyDescent="0.25">
      <c r="A147" s="1">
        <v>45035</v>
      </c>
      <c r="B147">
        <v>17618.75</v>
      </c>
      <c r="C147" s="2">
        <f t="shared" si="12"/>
        <v>17573.791267941262</v>
      </c>
      <c r="D147" s="2">
        <f t="shared" si="8"/>
        <v>17485.395536905042</v>
      </c>
      <c r="E147" s="2">
        <f t="shared" si="10"/>
        <v>88.395731036220241</v>
      </c>
      <c r="F147" s="2">
        <f t="shared" si="9"/>
        <v>31.833789516200852</v>
      </c>
      <c r="G147" s="2">
        <f t="shared" si="11"/>
        <v>56.561941520019388</v>
      </c>
    </row>
    <row r="148" spans="1:7" x14ac:dyDescent="0.25">
      <c r="A148" s="1">
        <v>45036</v>
      </c>
      <c r="B148">
        <v>17624.45</v>
      </c>
      <c r="C148" s="2">
        <f t="shared" si="12"/>
        <v>17581.58491902722</v>
      </c>
      <c r="D148" s="2">
        <f t="shared" si="8"/>
        <v>17495.69586750467</v>
      </c>
      <c r="E148" s="2">
        <f t="shared" si="10"/>
        <v>85.88905152255029</v>
      </c>
      <c r="F148" s="2">
        <f t="shared" si="9"/>
        <v>42.644841917470742</v>
      </c>
      <c r="G148" s="2">
        <f t="shared" si="11"/>
        <v>43.244209605079547</v>
      </c>
    </row>
    <row r="149" spans="1:7" x14ac:dyDescent="0.25">
      <c r="A149" s="1">
        <v>45037</v>
      </c>
      <c r="B149">
        <v>17624.05</v>
      </c>
      <c r="C149" s="2">
        <f t="shared" si="12"/>
        <v>17588.118008407648</v>
      </c>
      <c r="D149" s="2">
        <f t="shared" si="8"/>
        <v>17505.203581022841</v>
      </c>
      <c r="E149" s="2">
        <f t="shared" si="10"/>
        <v>82.914427384806913</v>
      </c>
      <c r="F149" s="2">
        <f t="shared" si="9"/>
        <v>50.698759010937977</v>
      </c>
      <c r="G149" s="2">
        <f t="shared" si="11"/>
        <v>32.215668373868937</v>
      </c>
    </row>
    <row r="150" spans="1:7" x14ac:dyDescent="0.25">
      <c r="A150" s="1">
        <v>45040</v>
      </c>
      <c r="B150">
        <v>17743.400000000001</v>
      </c>
      <c r="C150" s="2">
        <f t="shared" si="12"/>
        <v>17612.007545575703</v>
      </c>
      <c r="D150" s="2">
        <f t="shared" si="8"/>
        <v>17522.847760206332</v>
      </c>
      <c r="E150" s="2">
        <f t="shared" si="10"/>
        <v>89.159785369371093</v>
      </c>
      <c r="F150" s="2">
        <f t="shared" si="9"/>
        <v>58.390964282624608</v>
      </c>
      <c r="G150" s="2">
        <f t="shared" si="11"/>
        <v>30.768821086746485</v>
      </c>
    </row>
    <row r="151" spans="1:7" x14ac:dyDescent="0.25">
      <c r="A151" s="1">
        <v>45041</v>
      </c>
      <c r="B151">
        <v>17769.25</v>
      </c>
      <c r="C151" s="2">
        <f t="shared" si="12"/>
        <v>17636.198692410209</v>
      </c>
      <c r="D151" s="2">
        <f t="shared" si="8"/>
        <v>17541.099777968826</v>
      </c>
      <c r="E151" s="2">
        <f t="shared" si="10"/>
        <v>95.098914441383386</v>
      </c>
      <c r="F151" s="2">
        <f t="shared" si="9"/>
        <v>65.732554314376372</v>
      </c>
      <c r="G151" s="2">
        <f t="shared" si="11"/>
        <v>29.366360127007013</v>
      </c>
    </row>
    <row r="152" spans="1:7" x14ac:dyDescent="0.25">
      <c r="A152" s="1">
        <v>45042</v>
      </c>
      <c r="B152">
        <v>17813.599999999999</v>
      </c>
      <c r="C152" s="2">
        <f t="shared" si="12"/>
        <v>17663.491201270179</v>
      </c>
      <c r="D152" s="2">
        <f t="shared" si="8"/>
        <v>17561.284979600765</v>
      </c>
      <c r="E152" s="2">
        <f t="shared" si="10"/>
        <v>102.20622166941394</v>
      </c>
      <c r="F152" s="2">
        <f t="shared" si="9"/>
        <v>73.027287785383891</v>
      </c>
      <c r="G152" s="2">
        <f t="shared" si="11"/>
        <v>29.178933884030045</v>
      </c>
    </row>
    <row r="153" spans="1:7" x14ac:dyDescent="0.25">
      <c r="A153" s="1">
        <v>45043</v>
      </c>
      <c r="B153">
        <v>17915.05</v>
      </c>
      <c r="C153" s="2">
        <f t="shared" si="12"/>
        <v>17702.192554920919</v>
      </c>
      <c r="D153" s="2">
        <f t="shared" si="8"/>
        <v>17587.489795926635</v>
      </c>
      <c r="E153" s="2">
        <f t="shared" si="10"/>
        <v>114.70275899428452</v>
      </c>
      <c r="F153" s="2">
        <f t="shared" si="9"/>
        <v>81.362382027164017</v>
      </c>
      <c r="G153" s="2">
        <f t="shared" si="11"/>
        <v>33.340376967120505</v>
      </c>
    </row>
    <row r="154" spans="1:7" x14ac:dyDescent="0.25">
      <c r="A154" s="1">
        <v>45044</v>
      </c>
      <c r="B154">
        <v>18065</v>
      </c>
      <c r="C154" s="2">
        <f t="shared" si="12"/>
        <v>17758.009084933088</v>
      </c>
      <c r="D154" s="2">
        <f t="shared" si="8"/>
        <v>17622.86092215429</v>
      </c>
      <c r="E154" s="2">
        <f t="shared" si="10"/>
        <v>135.148162778798</v>
      </c>
      <c r="F154" s="2">
        <f t="shared" si="9"/>
        <v>92.119538177490824</v>
      </c>
      <c r="G154" s="2">
        <f t="shared" si="11"/>
        <v>43.028624601307172</v>
      </c>
    </row>
    <row r="155" spans="1:7" x14ac:dyDescent="0.25">
      <c r="A155" s="1">
        <v>45048</v>
      </c>
      <c r="B155">
        <v>18147.650000000001</v>
      </c>
      <c r="C155" s="2">
        <f t="shared" si="12"/>
        <v>17817.953841097227</v>
      </c>
      <c r="D155" s="2">
        <f t="shared" si="8"/>
        <v>17661.7341871799</v>
      </c>
      <c r="E155" s="2">
        <f t="shared" si="10"/>
        <v>156.21965391732738</v>
      </c>
      <c r="F155" s="2">
        <f t="shared" si="9"/>
        <v>104.93956132545813</v>
      </c>
      <c r="G155" s="2">
        <f t="shared" si="11"/>
        <v>51.280092591869249</v>
      </c>
    </row>
    <row r="156" spans="1:7" x14ac:dyDescent="0.25">
      <c r="A156" s="1">
        <v>45049</v>
      </c>
      <c r="B156">
        <v>18089.849999999999</v>
      </c>
      <c r="C156" s="2">
        <f t="shared" si="12"/>
        <v>17859.784019389961</v>
      </c>
      <c r="D156" s="2">
        <f t="shared" si="8"/>
        <v>17693.446469611019</v>
      </c>
      <c r="E156" s="2">
        <f t="shared" si="10"/>
        <v>166.33754977894205</v>
      </c>
      <c r="F156" s="2">
        <f t="shared" si="9"/>
        <v>117.21915901615492</v>
      </c>
      <c r="G156" s="2">
        <f t="shared" si="11"/>
        <v>49.118390762787129</v>
      </c>
    </row>
    <row r="157" spans="1:7" x14ac:dyDescent="0.25">
      <c r="A157" s="1">
        <v>45050</v>
      </c>
      <c r="B157">
        <v>18255.8</v>
      </c>
      <c r="C157" s="2">
        <f t="shared" si="12"/>
        <v>17920.709554868426</v>
      </c>
      <c r="D157" s="2">
        <f t="shared" ref="D157:D220" si="13">B157*(2/(26+1)) + D156*(1-(2/(26+1)))</f>
        <v>17735.102286676869</v>
      </c>
      <c r="E157" s="2">
        <f t="shared" si="10"/>
        <v>185.60726819155752</v>
      </c>
      <c r="F157" s="2">
        <f t="shared" si="9"/>
        <v>130.89678085123546</v>
      </c>
      <c r="G157" s="2">
        <f t="shared" si="11"/>
        <v>54.710487340322061</v>
      </c>
    </row>
    <row r="158" spans="1:7" x14ac:dyDescent="0.25">
      <c r="A158" s="1">
        <v>45051</v>
      </c>
      <c r="B158">
        <v>18069</v>
      </c>
      <c r="C158" s="2">
        <f t="shared" si="12"/>
        <v>17943.523469504053</v>
      </c>
      <c r="D158" s="2">
        <f t="shared" si="13"/>
        <v>17759.835450626731</v>
      </c>
      <c r="E158" s="2">
        <f t="shared" si="10"/>
        <v>183.68801887732116</v>
      </c>
      <c r="F158" s="2">
        <f t="shared" si="9"/>
        <v>141.4550284564526</v>
      </c>
      <c r="G158" s="2">
        <f t="shared" si="11"/>
        <v>42.23299042086856</v>
      </c>
    </row>
    <row r="159" spans="1:7" x14ac:dyDescent="0.25">
      <c r="A159" s="1">
        <v>45054</v>
      </c>
      <c r="B159">
        <v>18264.400000000001</v>
      </c>
      <c r="C159" s="2">
        <f t="shared" si="12"/>
        <v>17992.889089580352</v>
      </c>
      <c r="D159" s="2">
        <f t="shared" si="13"/>
        <v>17797.210602432158</v>
      </c>
      <c r="E159" s="2">
        <f t="shared" si="10"/>
        <v>195.67848714819411</v>
      </c>
      <c r="F159" s="2">
        <f t="shared" si="9"/>
        <v>152.2997201948009</v>
      </c>
      <c r="G159" s="2">
        <f t="shared" si="11"/>
        <v>43.37876695339321</v>
      </c>
    </row>
    <row r="160" spans="1:7" x14ac:dyDescent="0.25">
      <c r="A160" s="1">
        <v>45055</v>
      </c>
      <c r="B160">
        <v>18265.95</v>
      </c>
      <c r="C160" s="2">
        <f t="shared" si="12"/>
        <v>18034.898460414144</v>
      </c>
      <c r="D160" s="2">
        <f t="shared" si="13"/>
        <v>17831.932039289037</v>
      </c>
      <c r="E160" s="2">
        <f t="shared" si="10"/>
        <v>202.96642112510744</v>
      </c>
      <c r="F160" s="2">
        <f t="shared" si="9"/>
        <v>162.43306038086223</v>
      </c>
      <c r="G160" s="2">
        <f t="shared" si="11"/>
        <v>40.533360744245215</v>
      </c>
    </row>
    <row r="161" spans="1:7" x14ac:dyDescent="0.25">
      <c r="A161" s="1">
        <v>45056</v>
      </c>
      <c r="B161">
        <v>18315.099999999999</v>
      </c>
      <c r="C161" s="2">
        <f t="shared" si="12"/>
        <v>18078.006389581198</v>
      </c>
      <c r="D161" s="2">
        <f t="shared" si="13"/>
        <v>17867.722258600963</v>
      </c>
      <c r="E161" s="2">
        <f t="shared" si="10"/>
        <v>210.2841309802352</v>
      </c>
      <c r="F161" s="2">
        <f t="shared" si="9"/>
        <v>172.00327450073684</v>
      </c>
      <c r="G161" s="2">
        <f t="shared" si="11"/>
        <v>38.280856479498368</v>
      </c>
    </row>
    <row r="162" spans="1:7" x14ac:dyDescent="0.25">
      <c r="A162" s="1">
        <v>45057</v>
      </c>
      <c r="B162">
        <v>18297</v>
      </c>
      <c r="C162" s="2">
        <f t="shared" si="12"/>
        <v>18111.697714261012</v>
      </c>
      <c r="D162" s="2">
        <f t="shared" si="13"/>
        <v>17899.520609815707</v>
      </c>
      <c r="E162" s="2">
        <f t="shared" si="10"/>
        <v>212.1771044453053</v>
      </c>
      <c r="F162" s="2">
        <f t="shared" si="9"/>
        <v>180.03804048965054</v>
      </c>
      <c r="G162" s="2">
        <f t="shared" si="11"/>
        <v>32.139063955654763</v>
      </c>
    </row>
    <row r="163" spans="1:7" x14ac:dyDescent="0.25">
      <c r="A163" s="1">
        <v>45058</v>
      </c>
      <c r="B163">
        <v>18314.8</v>
      </c>
      <c r="C163" s="2">
        <f t="shared" si="12"/>
        <v>18142.94421975932</v>
      </c>
      <c r="D163" s="2">
        <f t="shared" si="13"/>
        <v>17930.282046125656</v>
      </c>
      <c r="E163" s="2">
        <f t="shared" si="10"/>
        <v>212.66217363366377</v>
      </c>
      <c r="F163" s="2">
        <f t="shared" si="9"/>
        <v>186.5628671184532</v>
      </c>
      <c r="G163" s="2">
        <f t="shared" si="11"/>
        <v>26.099306515210571</v>
      </c>
    </row>
    <row r="164" spans="1:7" x14ac:dyDescent="0.25">
      <c r="A164" s="1">
        <v>45061</v>
      </c>
      <c r="B164">
        <v>18398.849999999999</v>
      </c>
      <c r="C164" s="2">
        <f t="shared" si="12"/>
        <v>18182.314339796347</v>
      </c>
      <c r="D164" s="2">
        <f t="shared" si="13"/>
        <v>17964.990783449681</v>
      </c>
      <c r="E164" s="2">
        <f t="shared" si="10"/>
        <v>217.32355634666601</v>
      </c>
      <c r="F164" s="2">
        <f t="shared" si="9"/>
        <v>192.71500496409578</v>
      </c>
      <c r="G164" s="2">
        <f t="shared" si="11"/>
        <v>24.608551382570226</v>
      </c>
    </row>
    <row r="165" spans="1:7" x14ac:dyDescent="0.25">
      <c r="A165" s="1">
        <v>45062</v>
      </c>
      <c r="B165">
        <v>18286.5</v>
      </c>
      <c r="C165" s="2">
        <f t="shared" si="12"/>
        <v>18198.342902904602</v>
      </c>
      <c r="D165" s="2">
        <f t="shared" si="13"/>
        <v>17988.806280971927</v>
      </c>
      <c r="E165" s="2">
        <f t="shared" si="10"/>
        <v>209.53662193267519</v>
      </c>
      <c r="F165" s="2">
        <f t="shared" ref="F165:F228" si="14">(E165*(2/(9+1))+F164*(1-(2/(9+1))))</f>
        <v>196.07932835781168</v>
      </c>
      <c r="G165" s="2">
        <f t="shared" si="11"/>
        <v>13.457293574863513</v>
      </c>
    </row>
    <row r="166" spans="1:7" x14ac:dyDescent="0.25">
      <c r="A166" s="1">
        <v>45063</v>
      </c>
      <c r="B166">
        <v>18181.75</v>
      </c>
      <c r="C166" s="2">
        <f t="shared" si="12"/>
        <v>18195.790148611584</v>
      </c>
      <c r="D166" s="2">
        <f t="shared" si="13"/>
        <v>18003.098408307338</v>
      </c>
      <c r="E166" s="2">
        <f t="shared" si="10"/>
        <v>192.6917403042462</v>
      </c>
      <c r="F166" s="2">
        <f t="shared" si="14"/>
        <v>195.40181074709861</v>
      </c>
      <c r="G166" s="2">
        <f t="shared" si="11"/>
        <v>-2.7100704428524125</v>
      </c>
    </row>
    <row r="167" spans="1:7" x14ac:dyDescent="0.25">
      <c r="A167" s="1">
        <v>45064</v>
      </c>
      <c r="B167">
        <v>18129.95</v>
      </c>
      <c r="C167" s="2">
        <f t="shared" si="12"/>
        <v>18185.660894979032</v>
      </c>
      <c r="D167" s="2">
        <f t="shared" si="13"/>
        <v>18012.494822506796</v>
      </c>
      <c r="E167" s="2">
        <f t="shared" si="10"/>
        <v>173.1660724722351</v>
      </c>
      <c r="F167" s="2">
        <f t="shared" si="14"/>
        <v>190.95466309212594</v>
      </c>
      <c r="G167" s="2">
        <f t="shared" si="11"/>
        <v>-17.78859061989084</v>
      </c>
    </row>
    <row r="168" spans="1:7" x14ac:dyDescent="0.25">
      <c r="A168" s="1">
        <v>45065</v>
      </c>
      <c r="B168">
        <v>18203.400000000001</v>
      </c>
      <c r="C168" s="2">
        <f t="shared" si="12"/>
        <v>18188.389988059182</v>
      </c>
      <c r="D168" s="2">
        <f t="shared" si="13"/>
        <v>18026.635946765553</v>
      </c>
      <c r="E168" s="2">
        <f t="shared" si="10"/>
        <v>161.75404129362869</v>
      </c>
      <c r="F168" s="2">
        <f t="shared" si="14"/>
        <v>185.1145387324265</v>
      </c>
      <c r="G168" s="2">
        <f t="shared" si="11"/>
        <v>-23.360497438797807</v>
      </c>
    </row>
    <row r="169" spans="1:7" x14ac:dyDescent="0.25">
      <c r="A169" s="1">
        <v>45068</v>
      </c>
      <c r="B169">
        <v>18314.400000000001</v>
      </c>
      <c r="C169" s="2">
        <f t="shared" si="12"/>
        <v>18207.776143742383</v>
      </c>
      <c r="D169" s="2">
        <f t="shared" si="13"/>
        <v>18047.951802560696</v>
      </c>
      <c r="E169" s="2">
        <f t="shared" si="10"/>
        <v>159.82434118168749</v>
      </c>
      <c r="F169" s="2">
        <f t="shared" si="14"/>
        <v>180.05649922227872</v>
      </c>
      <c r="G169" s="2">
        <f t="shared" si="11"/>
        <v>-20.23215804059123</v>
      </c>
    </row>
    <row r="170" spans="1:7" x14ac:dyDescent="0.25">
      <c r="A170" s="1">
        <v>45069</v>
      </c>
      <c r="B170">
        <v>18348</v>
      </c>
      <c r="C170" s="2">
        <f t="shared" si="12"/>
        <v>18229.349044705094</v>
      </c>
      <c r="D170" s="2">
        <f t="shared" si="13"/>
        <v>18070.177594963607</v>
      </c>
      <c r="E170" s="2">
        <f t="shared" si="10"/>
        <v>159.17144974148687</v>
      </c>
      <c r="F170" s="2">
        <f t="shared" si="14"/>
        <v>175.87948932612034</v>
      </c>
      <c r="G170" s="2">
        <f t="shared" si="11"/>
        <v>-16.708039584633468</v>
      </c>
    </row>
    <row r="171" spans="1:7" x14ac:dyDescent="0.25">
      <c r="A171" s="1">
        <v>45070</v>
      </c>
      <c r="B171">
        <v>18285.400000000001</v>
      </c>
      <c r="C171" s="2">
        <f t="shared" si="12"/>
        <v>18237.972268596619</v>
      </c>
      <c r="D171" s="2">
        <f t="shared" si="13"/>
        <v>18086.119995336674</v>
      </c>
      <c r="E171" s="2">
        <f t="shared" si="10"/>
        <v>151.85227325994492</v>
      </c>
      <c r="F171" s="2">
        <f t="shared" si="14"/>
        <v>171.07404611288524</v>
      </c>
      <c r="G171" s="2">
        <f t="shared" si="11"/>
        <v>-19.221772852940319</v>
      </c>
    </row>
    <row r="172" spans="1:7" x14ac:dyDescent="0.25">
      <c r="A172" s="1">
        <v>45071</v>
      </c>
      <c r="B172">
        <v>18321.150000000001</v>
      </c>
      <c r="C172" s="2">
        <f t="shared" si="12"/>
        <v>18250.768842658679</v>
      </c>
      <c r="D172" s="2">
        <f t="shared" si="13"/>
        <v>18103.529625311734</v>
      </c>
      <c r="E172" s="2">
        <f t="shared" si="10"/>
        <v>147.23921734694522</v>
      </c>
      <c r="F172" s="2">
        <f t="shared" si="14"/>
        <v>166.30708035969727</v>
      </c>
      <c r="G172" s="2">
        <f t="shared" si="11"/>
        <v>-19.067863012752042</v>
      </c>
    </row>
    <row r="173" spans="1:7" x14ac:dyDescent="0.25">
      <c r="A173" s="1">
        <v>45072</v>
      </c>
      <c r="B173">
        <v>18499.349999999999</v>
      </c>
      <c r="C173" s="2">
        <f t="shared" si="12"/>
        <v>18289.012097634266</v>
      </c>
      <c r="D173" s="2">
        <f t="shared" si="13"/>
        <v>18132.84965306642</v>
      </c>
      <c r="E173" s="2">
        <f t="shared" si="10"/>
        <v>156.16244456784625</v>
      </c>
      <c r="F173" s="2">
        <f t="shared" si="14"/>
        <v>164.27815320132709</v>
      </c>
      <c r="G173" s="2">
        <f t="shared" si="11"/>
        <v>-8.1157086334808355</v>
      </c>
    </row>
    <row r="174" spans="1:7" x14ac:dyDescent="0.25">
      <c r="A174" s="1">
        <v>45075</v>
      </c>
      <c r="B174">
        <v>18598.650000000001</v>
      </c>
      <c r="C174" s="2">
        <f t="shared" si="12"/>
        <v>18336.648697998226</v>
      </c>
      <c r="D174" s="2">
        <f t="shared" si="13"/>
        <v>18167.353382468908</v>
      </c>
      <c r="E174" s="2">
        <f t="shared" si="10"/>
        <v>169.29531552931803</v>
      </c>
      <c r="F174" s="2">
        <f t="shared" si="14"/>
        <v>165.28158566692528</v>
      </c>
      <c r="G174" s="2">
        <f t="shared" si="11"/>
        <v>4.0137298623927506</v>
      </c>
    </row>
    <row r="175" spans="1:7" x14ac:dyDescent="0.25">
      <c r="A175" s="1">
        <v>45076</v>
      </c>
      <c r="B175">
        <v>18633.849999999999</v>
      </c>
      <c r="C175" s="2">
        <f t="shared" si="12"/>
        <v>18382.371975229267</v>
      </c>
      <c r="D175" s="2">
        <f t="shared" si="13"/>
        <v>18201.908687471212</v>
      </c>
      <c r="E175" s="2">
        <f t="shared" si="10"/>
        <v>180.46328775805523</v>
      </c>
      <c r="F175" s="2">
        <f t="shared" si="14"/>
        <v>168.31792608515127</v>
      </c>
      <c r="G175" s="2">
        <f t="shared" si="11"/>
        <v>12.14536167290396</v>
      </c>
    </row>
    <row r="176" spans="1:7" x14ac:dyDescent="0.25">
      <c r="A176" s="1">
        <v>45077</v>
      </c>
      <c r="B176">
        <v>18534.400000000001</v>
      </c>
      <c r="C176" s="2">
        <f t="shared" si="12"/>
        <v>18405.760902117072</v>
      </c>
      <c r="D176" s="2">
        <f t="shared" si="13"/>
        <v>18226.537673584458</v>
      </c>
      <c r="E176" s="2">
        <f t="shared" si="10"/>
        <v>179.22322853261358</v>
      </c>
      <c r="F176" s="2">
        <f t="shared" si="14"/>
        <v>170.49898657464374</v>
      </c>
      <c r="G176" s="2">
        <f t="shared" si="11"/>
        <v>8.7242419579698378</v>
      </c>
    </row>
    <row r="177" spans="1:7" x14ac:dyDescent="0.25">
      <c r="A177" s="1">
        <v>45078</v>
      </c>
      <c r="B177">
        <v>18487.75</v>
      </c>
      <c r="C177" s="2">
        <f t="shared" si="12"/>
        <v>18418.374609483675</v>
      </c>
      <c r="D177" s="2">
        <f t="shared" si="13"/>
        <v>18245.886734800424</v>
      </c>
      <c r="E177" s="2">
        <f t="shared" si="10"/>
        <v>172.48787468325099</v>
      </c>
      <c r="F177" s="2">
        <f t="shared" si="14"/>
        <v>170.89676419636521</v>
      </c>
      <c r="G177" s="2">
        <f t="shared" si="11"/>
        <v>1.5911104868857819</v>
      </c>
    </row>
    <row r="178" spans="1:7" x14ac:dyDescent="0.25">
      <c r="A178" s="1">
        <v>45079</v>
      </c>
      <c r="B178">
        <v>18534.099999999999</v>
      </c>
      <c r="C178" s="2">
        <f t="shared" si="12"/>
        <v>18436.178515716958</v>
      </c>
      <c r="D178" s="2">
        <f t="shared" si="13"/>
        <v>18267.235865555951</v>
      </c>
      <c r="E178" s="2">
        <f t="shared" si="10"/>
        <v>168.9426501610069</v>
      </c>
      <c r="F178" s="2">
        <f t="shared" si="14"/>
        <v>170.50594138929355</v>
      </c>
      <c r="G178" s="2">
        <f t="shared" si="11"/>
        <v>-1.5632912282866585</v>
      </c>
    </row>
    <row r="179" spans="1:7" x14ac:dyDescent="0.25">
      <c r="A179" s="1">
        <v>45082</v>
      </c>
      <c r="B179">
        <v>18593.849999999999</v>
      </c>
      <c r="C179" s="2">
        <f t="shared" si="12"/>
        <v>18460.435667145117</v>
      </c>
      <c r="D179" s="2">
        <f t="shared" si="13"/>
        <v>18291.429505144399</v>
      </c>
      <c r="E179" s="2">
        <f t="shared" si="10"/>
        <v>169.00616200071818</v>
      </c>
      <c r="F179" s="2">
        <f t="shared" si="14"/>
        <v>170.20598551157849</v>
      </c>
      <c r="G179" s="2">
        <f t="shared" si="11"/>
        <v>-1.1998235108603126</v>
      </c>
    </row>
    <row r="180" spans="1:7" x14ac:dyDescent="0.25">
      <c r="A180" s="1">
        <v>45083</v>
      </c>
      <c r="B180">
        <v>18599</v>
      </c>
      <c r="C180" s="2">
        <f t="shared" si="12"/>
        <v>18481.7532568151</v>
      </c>
      <c r="D180" s="2">
        <f t="shared" si="13"/>
        <v>18314.212504763334</v>
      </c>
      <c r="E180" s="2">
        <f t="shared" si="10"/>
        <v>167.54075205176559</v>
      </c>
      <c r="F180" s="2">
        <f t="shared" si="14"/>
        <v>169.67293881961592</v>
      </c>
      <c r="G180" s="2">
        <f t="shared" si="11"/>
        <v>-2.1321867678503281</v>
      </c>
    </row>
    <row r="181" spans="1:7" x14ac:dyDescent="0.25">
      <c r="A181" s="1">
        <v>45084</v>
      </c>
      <c r="B181">
        <v>18726.400000000001</v>
      </c>
      <c r="C181" s="2">
        <f t="shared" si="12"/>
        <v>18519.391217305085</v>
      </c>
      <c r="D181" s="2">
        <f t="shared" si="13"/>
        <v>18344.744911817903</v>
      </c>
      <c r="E181" s="2">
        <f t="shared" si="10"/>
        <v>174.64630548718196</v>
      </c>
      <c r="F181" s="2">
        <f t="shared" si="14"/>
        <v>170.66761215312914</v>
      </c>
      <c r="G181" s="2">
        <f t="shared" si="11"/>
        <v>3.9786933340528208</v>
      </c>
    </row>
    <row r="182" spans="1:7" x14ac:dyDescent="0.25">
      <c r="A182" s="1">
        <v>45085</v>
      </c>
      <c r="B182">
        <v>18634.55</v>
      </c>
      <c r="C182" s="2">
        <f t="shared" si="12"/>
        <v>18537.107953104303</v>
      </c>
      <c r="D182" s="2">
        <f t="shared" si="13"/>
        <v>18366.211955386945</v>
      </c>
      <c r="E182" s="2">
        <f t="shared" si="10"/>
        <v>170.89599771735811</v>
      </c>
      <c r="F182" s="2">
        <f t="shared" si="14"/>
        <v>170.71328926597494</v>
      </c>
      <c r="G182" s="2">
        <f t="shared" si="11"/>
        <v>0.18270845138317782</v>
      </c>
    </row>
    <row r="183" spans="1:7" x14ac:dyDescent="0.25">
      <c r="A183" s="1">
        <v>45086</v>
      </c>
      <c r="B183">
        <v>18563.400000000001</v>
      </c>
      <c r="C183" s="2">
        <f t="shared" si="12"/>
        <v>18541.152883395949</v>
      </c>
      <c r="D183" s="2">
        <f t="shared" si="13"/>
        <v>18380.818477210134</v>
      </c>
      <c r="E183" s="2">
        <f t="shared" si="10"/>
        <v>160.33440618581517</v>
      </c>
      <c r="F183" s="2">
        <f t="shared" si="14"/>
        <v>168.63751264994301</v>
      </c>
      <c r="G183" s="2">
        <f t="shared" si="11"/>
        <v>-8.3031064641278363</v>
      </c>
    </row>
    <row r="184" spans="1:7" x14ac:dyDescent="0.25">
      <c r="A184" s="1">
        <v>45089</v>
      </c>
      <c r="B184">
        <v>18601.5</v>
      </c>
      <c r="C184" s="2">
        <f t="shared" si="12"/>
        <v>18550.437055181188</v>
      </c>
      <c r="D184" s="2">
        <f t="shared" si="13"/>
        <v>18397.165256676053</v>
      </c>
      <c r="E184" s="2">
        <f t="shared" si="10"/>
        <v>153.27179850513494</v>
      </c>
      <c r="F184" s="2">
        <f t="shared" si="14"/>
        <v>165.56436982098143</v>
      </c>
      <c r="G184" s="2">
        <f t="shared" si="11"/>
        <v>-12.292571315846487</v>
      </c>
    </row>
    <row r="185" spans="1:7" x14ac:dyDescent="0.25">
      <c r="A185" s="1">
        <v>45090</v>
      </c>
      <c r="B185">
        <v>18716.150000000001</v>
      </c>
      <c r="C185" s="2">
        <f t="shared" si="12"/>
        <v>18575.931354384084</v>
      </c>
      <c r="D185" s="2">
        <f t="shared" si="13"/>
        <v>18420.793756181534</v>
      </c>
      <c r="E185" s="2">
        <f t="shared" si="10"/>
        <v>155.13759820254927</v>
      </c>
      <c r="F185" s="2">
        <f t="shared" si="14"/>
        <v>163.47901549729502</v>
      </c>
      <c r="G185" s="2">
        <f t="shared" si="11"/>
        <v>-8.341417294745753</v>
      </c>
    </row>
    <row r="186" spans="1:7" x14ac:dyDescent="0.25">
      <c r="A186" s="1">
        <v>45091</v>
      </c>
      <c r="B186">
        <v>18755.900000000001</v>
      </c>
      <c r="C186" s="2">
        <f t="shared" si="12"/>
        <v>18603.618838324994</v>
      </c>
      <c r="D186" s="2">
        <f t="shared" si="13"/>
        <v>18445.616440908827</v>
      </c>
      <c r="E186" s="2">
        <f t="shared" si="10"/>
        <v>158.00239741616679</v>
      </c>
      <c r="F186" s="2">
        <f t="shared" si="14"/>
        <v>162.38369188106938</v>
      </c>
      <c r="G186" s="2">
        <f t="shared" si="11"/>
        <v>-4.3812944649025951</v>
      </c>
    </row>
    <row r="187" spans="1:7" x14ac:dyDescent="0.25">
      <c r="A187" s="1">
        <v>45092</v>
      </c>
      <c r="B187">
        <v>18688.099999999999</v>
      </c>
      <c r="C187" s="2">
        <f t="shared" si="12"/>
        <v>18616.615940121148</v>
      </c>
      <c r="D187" s="2">
        <f t="shared" si="13"/>
        <v>18463.578186026691</v>
      </c>
      <c r="E187" s="2">
        <f t="shared" si="10"/>
        <v>153.03775409445734</v>
      </c>
      <c r="F187" s="2">
        <f t="shared" si="14"/>
        <v>160.51450432374699</v>
      </c>
      <c r="G187" s="2">
        <f t="shared" si="11"/>
        <v>-7.4767502292896495</v>
      </c>
    </row>
    <row r="188" spans="1:7" x14ac:dyDescent="0.25">
      <c r="A188" s="1">
        <v>45093</v>
      </c>
      <c r="B188">
        <v>18826</v>
      </c>
      <c r="C188" s="2">
        <f t="shared" si="12"/>
        <v>18648.828872410202</v>
      </c>
      <c r="D188" s="2">
        <f t="shared" si="13"/>
        <v>18490.42424632101</v>
      </c>
      <c r="E188" s="2">
        <f t="shared" si="10"/>
        <v>158.40462608919188</v>
      </c>
      <c r="F188" s="2">
        <f t="shared" si="14"/>
        <v>160.09252867683597</v>
      </c>
      <c r="G188" s="2">
        <f t="shared" si="11"/>
        <v>-1.6879025876440892</v>
      </c>
    </row>
    <row r="189" spans="1:7" x14ac:dyDescent="0.25">
      <c r="A189" s="1">
        <v>45096</v>
      </c>
      <c r="B189">
        <v>18755.45</v>
      </c>
      <c r="C189" s="2">
        <f t="shared" si="12"/>
        <v>18665.232122808633</v>
      </c>
      <c r="D189" s="2">
        <f t="shared" si="13"/>
        <v>18510.055783630563</v>
      </c>
      <c r="E189" s="2">
        <f t="shared" si="10"/>
        <v>155.17633917806961</v>
      </c>
      <c r="F189" s="2">
        <f t="shared" si="14"/>
        <v>159.10929077708269</v>
      </c>
      <c r="G189" s="2">
        <f t="shared" si="11"/>
        <v>-3.9329515990130801</v>
      </c>
    </row>
    <row r="190" spans="1:7" x14ac:dyDescent="0.25">
      <c r="A190" s="1">
        <v>45097</v>
      </c>
      <c r="B190">
        <v>18816.7</v>
      </c>
      <c r="C190" s="2">
        <f t="shared" si="12"/>
        <v>18688.534873145767</v>
      </c>
      <c r="D190" s="2">
        <f t="shared" si="13"/>
        <v>18532.7701700283</v>
      </c>
      <c r="E190" s="2">
        <f t="shared" si="10"/>
        <v>155.76470311746743</v>
      </c>
      <c r="F190" s="2">
        <f t="shared" si="14"/>
        <v>158.44037324515963</v>
      </c>
      <c r="G190" s="2">
        <f t="shared" si="11"/>
        <v>-2.6756701276922001</v>
      </c>
    </row>
    <row r="191" spans="1:7" x14ac:dyDescent="0.25">
      <c r="A191" s="1">
        <v>45098</v>
      </c>
      <c r="B191">
        <v>18856.849999999999</v>
      </c>
      <c r="C191" s="2">
        <f t="shared" si="12"/>
        <v>18714.429508046418</v>
      </c>
      <c r="D191" s="2">
        <f t="shared" si="13"/>
        <v>18556.776083359535</v>
      </c>
      <c r="E191" s="2">
        <f t="shared" si="10"/>
        <v>157.65342468688323</v>
      </c>
      <c r="F191" s="2">
        <f t="shared" si="14"/>
        <v>158.28298353350436</v>
      </c>
      <c r="G191" s="2">
        <f t="shared" si="11"/>
        <v>-0.62955884662113704</v>
      </c>
    </row>
    <row r="192" spans="1:7" x14ac:dyDescent="0.25">
      <c r="A192" s="1">
        <v>45099</v>
      </c>
      <c r="B192">
        <v>18771.25</v>
      </c>
      <c r="C192" s="2">
        <f t="shared" si="12"/>
        <v>18723.171122193122</v>
      </c>
      <c r="D192" s="2">
        <f t="shared" si="13"/>
        <v>18572.66304014772</v>
      </c>
      <c r="E192" s="2">
        <f t="shared" si="10"/>
        <v>150.50808204540226</v>
      </c>
      <c r="F192" s="2">
        <f t="shared" si="14"/>
        <v>156.72800323588396</v>
      </c>
      <c r="G192" s="2">
        <f t="shared" si="11"/>
        <v>-6.2199211904816991</v>
      </c>
    </row>
    <row r="193" spans="1:7" x14ac:dyDescent="0.25">
      <c r="A193" s="1">
        <v>45100</v>
      </c>
      <c r="B193">
        <v>18665.5</v>
      </c>
      <c r="C193" s="2">
        <f t="shared" si="12"/>
        <v>18714.298641855719</v>
      </c>
      <c r="D193" s="2">
        <f t="shared" si="13"/>
        <v>18579.539851988629</v>
      </c>
      <c r="E193" s="2">
        <f t="shared" si="10"/>
        <v>134.75878986708994</v>
      </c>
      <c r="F193" s="2">
        <f t="shared" si="14"/>
        <v>152.33416056212516</v>
      </c>
      <c r="G193" s="2">
        <f t="shared" si="11"/>
        <v>-17.575370695035218</v>
      </c>
    </row>
    <row r="194" spans="1:7" x14ac:dyDescent="0.25">
      <c r="A194" s="1">
        <v>45103</v>
      </c>
      <c r="B194">
        <v>18691.2</v>
      </c>
      <c r="C194" s="2">
        <f t="shared" si="12"/>
        <v>18710.745004647146</v>
      </c>
      <c r="D194" s="2">
        <f t="shared" si="13"/>
        <v>18587.810974063545</v>
      </c>
      <c r="E194" s="2">
        <f t="shared" ref="E194:E257" si="15">C194-D194</f>
        <v>122.93403058360127</v>
      </c>
      <c r="F194" s="2">
        <f t="shared" si="14"/>
        <v>146.45413456642041</v>
      </c>
      <c r="G194" s="2">
        <f t="shared" ref="G194:G257" si="16">E194-F194</f>
        <v>-23.520103982819137</v>
      </c>
    </row>
    <row r="195" spans="1:7" x14ac:dyDescent="0.25">
      <c r="A195" s="1">
        <v>45104</v>
      </c>
      <c r="B195">
        <v>18817.400000000001</v>
      </c>
      <c r="C195" s="2">
        <f t="shared" si="12"/>
        <v>18727.153465470663</v>
      </c>
      <c r="D195" s="2">
        <f t="shared" si="13"/>
        <v>18604.817568577357</v>
      </c>
      <c r="E195" s="2">
        <f t="shared" si="15"/>
        <v>122.3358968933062</v>
      </c>
      <c r="F195" s="2">
        <f t="shared" si="14"/>
        <v>141.63048703179757</v>
      </c>
      <c r="G195" s="2">
        <f t="shared" si="16"/>
        <v>-19.294590138491372</v>
      </c>
    </row>
    <row r="196" spans="1:7" x14ac:dyDescent="0.25">
      <c r="A196" s="1">
        <v>45105</v>
      </c>
      <c r="B196">
        <v>18972.099999999999</v>
      </c>
      <c r="C196" s="2">
        <f t="shared" si="12"/>
        <v>18764.837547705945</v>
      </c>
      <c r="D196" s="2">
        <f t="shared" si="13"/>
        <v>18632.023674608663</v>
      </c>
      <c r="E196" s="2">
        <f t="shared" si="15"/>
        <v>132.81387309728234</v>
      </c>
      <c r="F196" s="2">
        <f t="shared" si="14"/>
        <v>139.86716424489452</v>
      </c>
      <c r="G196" s="2">
        <f t="shared" si="16"/>
        <v>-7.0532911476121853</v>
      </c>
    </row>
    <row r="197" spans="1:7" x14ac:dyDescent="0.25">
      <c r="A197" s="1">
        <v>45107</v>
      </c>
      <c r="B197">
        <v>19189.05</v>
      </c>
      <c r="C197" s="2">
        <f t="shared" si="12"/>
        <v>18830.10100190503</v>
      </c>
      <c r="D197" s="2">
        <f t="shared" si="13"/>
        <v>18673.284883896911</v>
      </c>
      <c r="E197" s="2">
        <f t="shared" si="15"/>
        <v>156.81611800811879</v>
      </c>
      <c r="F197" s="2">
        <f t="shared" si="14"/>
        <v>143.25695499753937</v>
      </c>
      <c r="G197" s="2">
        <f t="shared" si="16"/>
        <v>13.559163010579425</v>
      </c>
    </row>
    <row r="198" spans="1:7" x14ac:dyDescent="0.25">
      <c r="A198" s="1">
        <v>45110</v>
      </c>
      <c r="B198">
        <v>19322.55</v>
      </c>
      <c r="C198" s="2">
        <f t="shared" si="12"/>
        <v>18905.862386227334</v>
      </c>
      <c r="D198" s="2">
        <f t="shared" si="13"/>
        <v>18721.378596200844</v>
      </c>
      <c r="E198" s="2">
        <f t="shared" si="15"/>
        <v>184.48379002649017</v>
      </c>
      <c r="F198" s="2">
        <f t="shared" si="14"/>
        <v>151.50232200332954</v>
      </c>
      <c r="G198" s="2">
        <f t="shared" si="16"/>
        <v>32.98146802316063</v>
      </c>
    </row>
    <row r="199" spans="1:7" x14ac:dyDescent="0.25">
      <c r="A199" s="1">
        <v>45111</v>
      </c>
      <c r="B199">
        <v>19389</v>
      </c>
      <c r="C199" s="2">
        <f t="shared" si="12"/>
        <v>18980.191249884669</v>
      </c>
      <c r="D199" s="2">
        <f t="shared" si="13"/>
        <v>18770.832033519302</v>
      </c>
      <c r="E199" s="2">
        <f t="shared" si="15"/>
        <v>209.35921636536659</v>
      </c>
      <c r="F199" s="2">
        <f t="shared" si="14"/>
        <v>163.07370087573696</v>
      </c>
      <c r="G199" s="2">
        <f t="shared" si="16"/>
        <v>46.285515489629631</v>
      </c>
    </row>
    <row r="200" spans="1:7" x14ac:dyDescent="0.25">
      <c r="A200" s="1">
        <v>45112</v>
      </c>
      <c r="B200">
        <v>19398.5</v>
      </c>
      <c r="C200" s="2">
        <f t="shared" si="12"/>
        <v>19044.546442210103</v>
      </c>
      <c r="D200" s="2">
        <f t="shared" si="13"/>
        <v>18817.325956962319</v>
      </c>
      <c r="E200" s="2">
        <f t="shared" si="15"/>
        <v>227.22048524778438</v>
      </c>
      <c r="F200" s="2">
        <f t="shared" si="14"/>
        <v>175.90305775014647</v>
      </c>
      <c r="G200" s="2">
        <f t="shared" si="16"/>
        <v>51.317427497637908</v>
      </c>
    </row>
    <row r="201" spans="1:7" x14ac:dyDescent="0.25">
      <c r="A201" s="1">
        <v>45113</v>
      </c>
      <c r="B201">
        <v>19497.3</v>
      </c>
      <c r="C201" s="2">
        <f t="shared" si="12"/>
        <v>19114.200835716241</v>
      </c>
      <c r="D201" s="2">
        <f t="shared" si="13"/>
        <v>18867.694404594738</v>
      </c>
      <c r="E201" s="2">
        <f t="shared" si="15"/>
        <v>246.50643112150283</v>
      </c>
      <c r="F201" s="2">
        <f t="shared" si="14"/>
        <v>190.02373242441774</v>
      </c>
      <c r="G201" s="2">
        <f t="shared" si="16"/>
        <v>56.482698697085084</v>
      </c>
    </row>
    <row r="202" spans="1:7" x14ac:dyDescent="0.25">
      <c r="A202" s="1">
        <v>45114</v>
      </c>
      <c r="B202">
        <v>19331.8</v>
      </c>
      <c r="C202" s="2">
        <f t="shared" si="12"/>
        <v>19147.677630221435</v>
      </c>
      <c r="D202" s="2">
        <f t="shared" si="13"/>
        <v>18902.072596846981</v>
      </c>
      <c r="E202" s="2">
        <f t="shared" si="15"/>
        <v>245.60503337445334</v>
      </c>
      <c r="F202" s="2">
        <f t="shared" si="14"/>
        <v>201.13999261442487</v>
      </c>
      <c r="G202" s="2">
        <f t="shared" si="16"/>
        <v>44.465040760028472</v>
      </c>
    </row>
    <row r="203" spans="1:7" x14ac:dyDescent="0.25">
      <c r="A203" s="1">
        <v>45117</v>
      </c>
      <c r="B203">
        <v>19355.900000000001</v>
      </c>
      <c r="C203" s="2">
        <f t="shared" si="12"/>
        <v>19179.711840956599</v>
      </c>
      <c r="D203" s="2">
        <f t="shared" si="13"/>
        <v>18935.689441524984</v>
      </c>
      <c r="E203" s="2">
        <f t="shared" si="15"/>
        <v>244.02239943161476</v>
      </c>
      <c r="F203" s="2">
        <f t="shared" si="14"/>
        <v>209.71647397786285</v>
      </c>
      <c r="G203" s="2">
        <f t="shared" si="16"/>
        <v>34.305925453751911</v>
      </c>
    </row>
    <row r="204" spans="1:7" x14ac:dyDescent="0.25">
      <c r="A204" s="1">
        <v>45118</v>
      </c>
      <c r="B204">
        <v>19439.400000000001</v>
      </c>
      <c r="C204" s="2">
        <f t="shared" si="12"/>
        <v>19219.663865424816</v>
      </c>
      <c r="D204" s="2">
        <f t="shared" si="13"/>
        <v>18973.001334745357</v>
      </c>
      <c r="E204" s="2">
        <f t="shared" si="15"/>
        <v>246.66253067945945</v>
      </c>
      <c r="F204" s="2">
        <f t="shared" si="14"/>
        <v>217.10568531818217</v>
      </c>
      <c r="G204" s="2">
        <f t="shared" si="16"/>
        <v>29.556845361277283</v>
      </c>
    </row>
    <row r="205" spans="1:7" x14ac:dyDescent="0.25">
      <c r="A205" s="1">
        <v>45119</v>
      </c>
      <c r="B205">
        <v>19384.3</v>
      </c>
      <c r="C205" s="2">
        <f t="shared" si="12"/>
        <v>19244.992501513305</v>
      </c>
      <c r="D205" s="2">
        <f t="shared" si="13"/>
        <v>19003.467902541994</v>
      </c>
      <c r="E205" s="2">
        <f t="shared" si="15"/>
        <v>241.52459897131121</v>
      </c>
      <c r="F205" s="2">
        <f t="shared" si="14"/>
        <v>221.98946804880799</v>
      </c>
      <c r="G205" s="2">
        <f t="shared" si="16"/>
        <v>19.535130922503214</v>
      </c>
    </row>
    <row r="206" spans="1:7" x14ac:dyDescent="0.25">
      <c r="A206" s="1">
        <v>45120</v>
      </c>
      <c r="B206">
        <v>19413.75</v>
      </c>
      <c r="C206" s="2">
        <f t="shared" si="12"/>
        <v>19270.955193588183</v>
      </c>
      <c r="D206" s="2">
        <f t="shared" si="13"/>
        <v>19033.859169020365</v>
      </c>
      <c r="E206" s="2">
        <f t="shared" si="15"/>
        <v>237.09602456781795</v>
      </c>
      <c r="F206" s="2">
        <f t="shared" si="14"/>
        <v>225.01077935261</v>
      </c>
      <c r="G206" s="2">
        <f t="shared" si="16"/>
        <v>12.085245215207948</v>
      </c>
    </row>
    <row r="207" spans="1:7" x14ac:dyDescent="0.25">
      <c r="A207" s="1">
        <v>45121</v>
      </c>
      <c r="B207">
        <v>19564.5</v>
      </c>
      <c r="C207" s="2">
        <f t="shared" ref="C207:C249" si="17">(B207*(2/(12+1))+C206*(1-(2/(12+1))))</f>
        <v>19316.115933036155</v>
      </c>
      <c r="D207" s="2">
        <f t="shared" si="13"/>
        <v>19073.165897241081</v>
      </c>
      <c r="E207" s="2">
        <f t="shared" si="15"/>
        <v>242.95003579507465</v>
      </c>
      <c r="F207" s="2">
        <f t="shared" si="14"/>
        <v>228.59863064110294</v>
      </c>
      <c r="G207" s="2">
        <f t="shared" si="16"/>
        <v>14.351405153971712</v>
      </c>
    </row>
    <row r="208" spans="1:7" x14ac:dyDescent="0.25">
      <c r="A208" s="1">
        <v>45124</v>
      </c>
      <c r="B208">
        <v>19711.45</v>
      </c>
      <c r="C208" s="2">
        <f t="shared" si="17"/>
        <v>19376.9365587229</v>
      </c>
      <c r="D208" s="2">
        <f t="shared" si="13"/>
        <v>19120.446201149149</v>
      </c>
      <c r="E208" s="2">
        <f t="shared" si="15"/>
        <v>256.49035757375168</v>
      </c>
      <c r="F208" s="2">
        <f t="shared" si="14"/>
        <v>234.17697602763272</v>
      </c>
      <c r="G208" s="2">
        <f t="shared" si="16"/>
        <v>22.313381546118961</v>
      </c>
    </row>
    <row r="209" spans="1:7" x14ac:dyDescent="0.25">
      <c r="A209" s="1">
        <v>45125</v>
      </c>
      <c r="B209">
        <v>19749.25</v>
      </c>
      <c r="C209" s="2">
        <f t="shared" si="17"/>
        <v>19434.215549688608</v>
      </c>
      <c r="D209" s="2">
        <f t="shared" si="13"/>
        <v>19167.024260323287</v>
      </c>
      <c r="E209" s="2">
        <f t="shared" si="15"/>
        <v>267.1912893653207</v>
      </c>
      <c r="F209" s="2">
        <f t="shared" si="14"/>
        <v>240.77983869517033</v>
      </c>
      <c r="G209" s="2">
        <f t="shared" si="16"/>
        <v>26.411450670150373</v>
      </c>
    </row>
    <row r="210" spans="1:7" x14ac:dyDescent="0.25">
      <c r="A210" s="1">
        <v>45126</v>
      </c>
      <c r="B210">
        <v>19833.150000000001</v>
      </c>
      <c r="C210" s="2">
        <f t="shared" si="17"/>
        <v>19495.590080505746</v>
      </c>
      <c r="D210" s="2">
        <f t="shared" si="13"/>
        <v>19216.366907706746</v>
      </c>
      <c r="E210" s="2">
        <f t="shared" si="15"/>
        <v>279.22317279900017</v>
      </c>
      <c r="F210" s="2">
        <f t="shared" si="14"/>
        <v>248.4685055159363</v>
      </c>
      <c r="G210" s="2">
        <f t="shared" si="16"/>
        <v>30.754667283063867</v>
      </c>
    </row>
    <row r="211" spans="1:7" x14ac:dyDescent="0.25">
      <c r="A211" s="1">
        <v>45127</v>
      </c>
      <c r="B211">
        <v>19979.150000000001</v>
      </c>
      <c r="C211" s="2">
        <f t="shared" si="17"/>
        <v>19569.983914274093</v>
      </c>
      <c r="D211" s="2">
        <f t="shared" si="13"/>
        <v>19272.869358987729</v>
      </c>
      <c r="E211" s="2">
        <f t="shared" si="15"/>
        <v>297.11455528636361</v>
      </c>
      <c r="F211" s="2">
        <f t="shared" si="14"/>
        <v>258.19771547002176</v>
      </c>
      <c r="G211" s="2">
        <f t="shared" si="16"/>
        <v>38.916839816341849</v>
      </c>
    </row>
    <row r="212" spans="1:7" x14ac:dyDescent="0.25">
      <c r="A212" s="1">
        <v>45128</v>
      </c>
      <c r="B212">
        <v>19745</v>
      </c>
      <c r="C212" s="2">
        <f t="shared" si="17"/>
        <v>19596.909465924233</v>
      </c>
      <c r="D212" s="2">
        <f t="shared" si="13"/>
        <v>19307.841999062712</v>
      </c>
      <c r="E212" s="2">
        <f t="shared" si="15"/>
        <v>289.0674668615211</v>
      </c>
      <c r="F212" s="2">
        <f t="shared" si="14"/>
        <v>264.37166574832162</v>
      </c>
      <c r="G212" s="2">
        <f t="shared" si="16"/>
        <v>24.695801113199479</v>
      </c>
    </row>
    <row r="213" spans="1:7" x14ac:dyDescent="0.25">
      <c r="A213" s="1">
        <v>45131</v>
      </c>
      <c r="B213">
        <v>19672.349999999999</v>
      </c>
      <c r="C213" s="2">
        <f t="shared" si="17"/>
        <v>19608.515701935889</v>
      </c>
      <c r="D213" s="2">
        <f t="shared" si="13"/>
        <v>19334.842591724733</v>
      </c>
      <c r="E213" s="2">
        <f t="shared" si="15"/>
        <v>273.67311021115529</v>
      </c>
      <c r="F213" s="2">
        <f t="shared" si="14"/>
        <v>266.23195464088838</v>
      </c>
      <c r="G213" s="2">
        <f t="shared" si="16"/>
        <v>7.4411555702669148</v>
      </c>
    </row>
    <row r="214" spans="1:7" x14ac:dyDescent="0.25">
      <c r="A214" s="1">
        <v>45132</v>
      </c>
      <c r="B214">
        <v>19680.599999999999</v>
      </c>
      <c r="C214" s="2">
        <f t="shared" si="17"/>
        <v>19619.605593945751</v>
      </c>
      <c r="D214" s="2">
        <f t="shared" si="13"/>
        <v>19360.454251596973</v>
      </c>
      <c r="E214" s="2">
        <f t="shared" si="15"/>
        <v>259.15134234877769</v>
      </c>
      <c r="F214" s="2">
        <f t="shared" si="14"/>
        <v>264.81583218246624</v>
      </c>
      <c r="G214" s="2">
        <f t="shared" si="16"/>
        <v>-5.664489833688549</v>
      </c>
    </row>
    <row r="215" spans="1:7" x14ac:dyDescent="0.25">
      <c r="A215" s="1">
        <v>45133</v>
      </c>
      <c r="B215">
        <v>19778.3</v>
      </c>
      <c r="C215" s="2">
        <f t="shared" si="17"/>
        <v>19644.020117954096</v>
      </c>
      <c r="D215" s="2">
        <f t="shared" si="13"/>
        <v>19391.405788515716</v>
      </c>
      <c r="E215" s="2">
        <f t="shared" si="15"/>
        <v>252.61432943838008</v>
      </c>
      <c r="F215" s="2">
        <f t="shared" si="14"/>
        <v>262.37553163364902</v>
      </c>
      <c r="G215" s="2">
        <f t="shared" si="16"/>
        <v>-9.7612021952689361</v>
      </c>
    </row>
    <row r="216" spans="1:7" x14ac:dyDescent="0.25">
      <c r="A216" s="1">
        <v>45134</v>
      </c>
      <c r="B216">
        <v>19659.900000000001</v>
      </c>
      <c r="C216" s="2">
        <f t="shared" si="17"/>
        <v>19646.463176730387</v>
      </c>
      <c r="D216" s="2">
        <f t="shared" si="13"/>
        <v>19411.294248625662</v>
      </c>
      <c r="E216" s="2">
        <f t="shared" si="15"/>
        <v>235.16892810472564</v>
      </c>
      <c r="F216" s="2">
        <f t="shared" si="14"/>
        <v>256.93421092786434</v>
      </c>
      <c r="G216" s="2">
        <f t="shared" si="16"/>
        <v>-21.765282823138705</v>
      </c>
    </row>
    <row r="217" spans="1:7" x14ac:dyDescent="0.25">
      <c r="A217" s="1">
        <v>45135</v>
      </c>
      <c r="B217">
        <v>19646.05</v>
      </c>
      <c r="C217" s="2">
        <f t="shared" si="17"/>
        <v>19646.39961107956</v>
      </c>
      <c r="D217" s="2">
        <f t="shared" si="13"/>
        <v>19428.683563542279</v>
      </c>
      <c r="E217" s="2">
        <f t="shared" si="15"/>
        <v>217.71604753728025</v>
      </c>
      <c r="F217" s="2">
        <f t="shared" si="14"/>
        <v>249.09057824974755</v>
      </c>
      <c r="G217" s="2">
        <f t="shared" si="16"/>
        <v>-31.374530712467305</v>
      </c>
    </row>
    <row r="218" spans="1:7" x14ac:dyDescent="0.25">
      <c r="A218" s="1">
        <v>45138</v>
      </c>
      <c r="B218">
        <v>19753.8</v>
      </c>
      <c r="C218" s="2">
        <f t="shared" si="17"/>
        <v>19662.92274783655</v>
      </c>
      <c r="D218" s="2">
        <f t="shared" si="13"/>
        <v>19452.766262539149</v>
      </c>
      <c r="E218" s="2">
        <f t="shared" si="15"/>
        <v>210.15648529740065</v>
      </c>
      <c r="F218" s="2">
        <f t="shared" si="14"/>
        <v>241.30375965927817</v>
      </c>
      <c r="G218" s="2">
        <f t="shared" si="16"/>
        <v>-31.147274361877521</v>
      </c>
    </row>
    <row r="219" spans="1:7" x14ac:dyDescent="0.25">
      <c r="A219" s="1">
        <v>45139</v>
      </c>
      <c r="B219">
        <v>19733.55</v>
      </c>
      <c r="C219" s="2">
        <f t="shared" si="17"/>
        <v>19673.788478938619</v>
      </c>
      <c r="D219" s="2">
        <f t="shared" si="13"/>
        <v>19473.56505790662</v>
      </c>
      <c r="E219" s="2">
        <f t="shared" si="15"/>
        <v>200.22342103199844</v>
      </c>
      <c r="F219" s="2">
        <f t="shared" si="14"/>
        <v>233.08769193382224</v>
      </c>
      <c r="G219" s="2">
        <f t="shared" si="16"/>
        <v>-32.864270901823801</v>
      </c>
    </row>
    <row r="220" spans="1:7" x14ac:dyDescent="0.25">
      <c r="A220" s="1">
        <v>45140</v>
      </c>
      <c r="B220">
        <v>19526.55</v>
      </c>
      <c r="C220" s="2">
        <f t="shared" si="17"/>
        <v>19651.136405255755</v>
      </c>
      <c r="D220" s="2">
        <f t="shared" si="13"/>
        <v>19477.489868432058</v>
      </c>
      <c r="E220" s="2">
        <f t="shared" si="15"/>
        <v>173.64653682369681</v>
      </c>
      <c r="F220" s="2">
        <f t="shared" si="14"/>
        <v>221.19946091179716</v>
      </c>
      <c r="G220" s="2">
        <f t="shared" si="16"/>
        <v>-47.552924088100355</v>
      </c>
    </row>
    <row r="221" spans="1:7" x14ac:dyDescent="0.25">
      <c r="A221" s="1">
        <v>45141</v>
      </c>
      <c r="B221">
        <v>19381.650000000001</v>
      </c>
      <c r="C221" s="2">
        <f t="shared" si="17"/>
        <v>19609.67695829333</v>
      </c>
      <c r="D221" s="2">
        <f t="shared" ref="D221:D249" si="18">B221*(2/(26+1)) + D220*(1-(2/(26+1)))</f>
        <v>19470.390618918573</v>
      </c>
      <c r="E221" s="2">
        <f t="shared" si="15"/>
        <v>139.28633937475752</v>
      </c>
      <c r="F221" s="2">
        <f t="shared" si="14"/>
        <v>204.81683660438924</v>
      </c>
      <c r="G221" s="2">
        <f t="shared" si="16"/>
        <v>-65.53049722963172</v>
      </c>
    </row>
    <row r="222" spans="1:7" x14ac:dyDescent="0.25">
      <c r="A222" s="1">
        <v>45142</v>
      </c>
      <c r="B222">
        <v>19517</v>
      </c>
      <c r="C222" s="2">
        <f t="shared" si="17"/>
        <v>19595.418964709737</v>
      </c>
      <c r="D222" s="2">
        <f t="shared" si="18"/>
        <v>19473.843165665345</v>
      </c>
      <c r="E222" s="2">
        <f t="shared" si="15"/>
        <v>121.57579904439262</v>
      </c>
      <c r="F222" s="2">
        <f t="shared" si="14"/>
        <v>188.16862909238992</v>
      </c>
      <c r="G222" s="2">
        <f t="shared" si="16"/>
        <v>-66.592830047997296</v>
      </c>
    </row>
    <row r="223" spans="1:7" x14ac:dyDescent="0.25">
      <c r="A223" s="1">
        <v>45145</v>
      </c>
      <c r="B223">
        <v>19597.3</v>
      </c>
      <c r="C223" s="2">
        <f t="shared" si="17"/>
        <v>19595.708354754392</v>
      </c>
      <c r="D223" s="2">
        <f t="shared" si="18"/>
        <v>19482.988116356802</v>
      </c>
      <c r="E223" s="2">
        <f t="shared" si="15"/>
        <v>112.72023839758913</v>
      </c>
      <c r="F223" s="2">
        <f t="shared" si="14"/>
        <v>173.07895095342977</v>
      </c>
      <c r="G223" s="2">
        <f t="shared" si="16"/>
        <v>-60.35871255584064</v>
      </c>
    </row>
    <row r="224" spans="1:7" x14ac:dyDescent="0.25">
      <c r="A224" s="1">
        <v>45146</v>
      </c>
      <c r="B224">
        <v>19570.849999999999</v>
      </c>
      <c r="C224" s="2">
        <f t="shared" si="17"/>
        <v>19591.883992484487</v>
      </c>
      <c r="D224" s="2">
        <f t="shared" si="18"/>
        <v>19489.496404034078</v>
      </c>
      <c r="E224" s="2">
        <f t="shared" si="15"/>
        <v>102.38758845040866</v>
      </c>
      <c r="F224" s="2">
        <f t="shared" si="14"/>
        <v>158.94067845282555</v>
      </c>
      <c r="G224" s="2">
        <f t="shared" si="16"/>
        <v>-56.553090002416894</v>
      </c>
    </row>
    <row r="225" spans="1:7" x14ac:dyDescent="0.25">
      <c r="A225" s="1">
        <v>45147</v>
      </c>
      <c r="B225">
        <v>19632.55</v>
      </c>
      <c r="C225" s="2">
        <f t="shared" si="17"/>
        <v>19598.140301333027</v>
      </c>
      <c r="D225" s="2">
        <f t="shared" si="18"/>
        <v>19500.092966698219</v>
      </c>
      <c r="E225" s="2">
        <f t="shared" si="15"/>
        <v>98.047334634808067</v>
      </c>
      <c r="F225" s="2">
        <f t="shared" si="14"/>
        <v>146.76200968922205</v>
      </c>
      <c r="G225" s="2">
        <f t="shared" si="16"/>
        <v>-48.714675054413988</v>
      </c>
    </row>
    <row r="226" spans="1:7" x14ac:dyDescent="0.25">
      <c r="A226" s="1">
        <v>45148</v>
      </c>
      <c r="B226">
        <v>19543.099999999999</v>
      </c>
      <c r="C226" s="2">
        <f t="shared" si="17"/>
        <v>19589.672562666405</v>
      </c>
      <c r="D226" s="2">
        <f t="shared" si="18"/>
        <v>19503.278672868721</v>
      </c>
      <c r="E226" s="2">
        <f t="shared" si="15"/>
        <v>86.393889797684096</v>
      </c>
      <c r="F226" s="2">
        <f t="shared" si="14"/>
        <v>134.68838571091447</v>
      </c>
      <c r="G226" s="2">
        <f t="shared" si="16"/>
        <v>-48.294495913230378</v>
      </c>
    </row>
    <row r="227" spans="1:7" x14ac:dyDescent="0.25">
      <c r="A227" s="1">
        <v>45149</v>
      </c>
      <c r="B227">
        <v>19428.3</v>
      </c>
      <c r="C227" s="2">
        <f t="shared" si="17"/>
        <v>19564.846014563882</v>
      </c>
      <c r="D227" s="2">
        <f t="shared" si="18"/>
        <v>19497.724697100668</v>
      </c>
      <c r="E227" s="2">
        <f t="shared" si="15"/>
        <v>67.121317463213927</v>
      </c>
      <c r="F227" s="2">
        <f t="shared" si="14"/>
        <v>121.17497206137438</v>
      </c>
      <c r="G227" s="2">
        <f t="shared" si="16"/>
        <v>-54.053654598160449</v>
      </c>
    </row>
    <row r="228" spans="1:7" x14ac:dyDescent="0.25">
      <c r="A228" s="1">
        <v>45152</v>
      </c>
      <c r="B228">
        <v>19434.55</v>
      </c>
      <c r="C228" s="2">
        <f t="shared" si="17"/>
        <v>19544.800473861746</v>
      </c>
      <c r="D228" s="2">
        <f t="shared" si="18"/>
        <v>19493.045089908024</v>
      </c>
      <c r="E228" s="2">
        <f t="shared" si="15"/>
        <v>51.755383953721321</v>
      </c>
      <c r="F228" s="2">
        <f t="shared" si="14"/>
        <v>107.29105443984378</v>
      </c>
      <c r="G228" s="2">
        <f t="shared" si="16"/>
        <v>-55.535670486122456</v>
      </c>
    </row>
    <row r="229" spans="1:7" x14ac:dyDescent="0.25">
      <c r="A229" s="1">
        <v>45154</v>
      </c>
      <c r="B229">
        <v>19465</v>
      </c>
      <c r="C229" s="2">
        <f t="shared" si="17"/>
        <v>19532.523477883013</v>
      </c>
      <c r="D229" s="2">
        <f t="shared" si="18"/>
        <v>19490.967675840762</v>
      </c>
      <c r="E229" s="2">
        <f t="shared" si="15"/>
        <v>41.555802042250434</v>
      </c>
      <c r="F229" s="2">
        <f t="shared" ref="F229:F249" si="19">(E229*(2/(9+1))+F228*(1-(2/(9+1))))</f>
        <v>94.144003960325122</v>
      </c>
      <c r="G229" s="2">
        <f t="shared" si="16"/>
        <v>-52.588201918074688</v>
      </c>
    </row>
    <row r="230" spans="1:7" x14ac:dyDescent="0.25">
      <c r="A230" s="1">
        <v>45155</v>
      </c>
      <c r="B230">
        <v>19365.25</v>
      </c>
      <c r="C230" s="2">
        <f t="shared" si="17"/>
        <v>19506.78909667024</v>
      </c>
      <c r="D230" s="2">
        <f t="shared" si="18"/>
        <v>19481.655255408114</v>
      </c>
      <c r="E230" s="2">
        <f t="shared" si="15"/>
        <v>25.133841262126225</v>
      </c>
      <c r="F230" s="2">
        <f t="shared" si="19"/>
        <v>80.34197142068534</v>
      </c>
      <c r="G230" s="2">
        <f t="shared" si="16"/>
        <v>-55.208130158559115</v>
      </c>
    </row>
    <row r="231" spans="1:7" x14ac:dyDescent="0.25">
      <c r="A231" s="1">
        <v>45156</v>
      </c>
      <c r="B231">
        <v>19310.150000000001</v>
      </c>
      <c r="C231" s="2">
        <f t="shared" si="17"/>
        <v>19476.53692795174</v>
      </c>
      <c r="D231" s="2">
        <f t="shared" si="18"/>
        <v>19468.951162414924</v>
      </c>
      <c r="E231" s="2">
        <f t="shared" si="15"/>
        <v>7.585765536816325</v>
      </c>
      <c r="F231" s="2">
        <f t="shared" si="19"/>
        <v>65.79073024391154</v>
      </c>
      <c r="G231" s="2">
        <f t="shared" si="16"/>
        <v>-58.204964707095215</v>
      </c>
    </row>
    <row r="232" spans="1:7" x14ac:dyDescent="0.25">
      <c r="A232" s="1">
        <v>45159</v>
      </c>
      <c r="B232">
        <v>19393.599999999999</v>
      </c>
      <c r="C232" s="2">
        <f t="shared" si="17"/>
        <v>19463.777400574552</v>
      </c>
      <c r="D232" s="2">
        <f t="shared" si="18"/>
        <v>19463.369594828633</v>
      </c>
      <c r="E232" s="2">
        <f t="shared" si="15"/>
        <v>0.40780574591917684</v>
      </c>
      <c r="F232" s="2">
        <f t="shared" si="19"/>
        <v>52.714145344313067</v>
      </c>
      <c r="G232" s="2">
        <f t="shared" si="16"/>
        <v>-52.30633959839389</v>
      </c>
    </row>
    <row r="233" spans="1:7" x14ac:dyDescent="0.25">
      <c r="A233" s="1">
        <v>45160</v>
      </c>
      <c r="B233">
        <v>19396.45</v>
      </c>
      <c r="C233" s="2">
        <f t="shared" si="17"/>
        <v>19453.419338947697</v>
      </c>
      <c r="D233" s="2">
        <f t="shared" si="18"/>
        <v>19458.412587804291</v>
      </c>
      <c r="E233" s="2">
        <f t="shared" si="15"/>
        <v>-4.9932488565937092</v>
      </c>
      <c r="F233" s="2">
        <f t="shared" si="19"/>
        <v>41.172666504131719</v>
      </c>
      <c r="G233" s="2">
        <f t="shared" si="16"/>
        <v>-46.165915360725428</v>
      </c>
    </row>
    <row r="234" spans="1:7" x14ac:dyDescent="0.25">
      <c r="A234" s="1">
        <v>45161</v>
      </c>
      <c r="B234">
        <v>19444</v>
      </c>
      <c r="C234" s="2">
        <f t="shared" si="17"/>
        <v>19451.970209878822</v>
      </c>
      <c r="D234" s="2">
        <f t="shared" si="18"/>
        <v>19457.344988707675</v>
      </c>
      <c r="E234" s="2">
        <f t="shared" si="15"/>
        <v>-5.3747788288528682</v>
      </c>
      <c r="F234" s="2">
        <f t="shared" si="19"/>
        <v>31.863177437534802</v>
      </c>
      <c r="G234" s="2">
        <f t="shared" si="16"/>
        <v>-37.23795626638767</v>
      </c>
    </row>
    <row r="235" spans="1:7" x14ac:dyDescent="0.25">
      <c r="A235" s="1">
        <v>45162</v>
      </c>
      <c r="B235">
        <v>19386.7</v>
      </c>
      <c r="C235" s="2">
        <f t="shared" si="17"/>
        <v>19441.928639128233</v>
      </c>
      <c r="D235" s="2">
        <f t="shared" si="18"/>
        <v>19452.112026581181</v>
      </c>
      <c r="E235" s="2">
        <f t="shared" si="15"/>
        <v>-10.1833874529475</v>
      </c>
      <c r="F235" s="2">
        <f t="shared" si="19"/>
        <v>23.453864459438343</v>
      </c>
      <c r="G235" s="2">
        <f t="shared" si="16"/>
        <v>-33.637251912385842</v>
      </c>
    </row>
    <row r="236" spans="1:7" x14ac:dyDescent="0.25">
      <c r="A236" s="1">
        <v>45163</v>
      </c>
      <c r="B236">
        <v>19265.8</v>
      </c>
      <c r="C236" s="2">
        <f t="shared" si="17"/>
        <v>19414.831925416198</v>
      </c>
      <c r="D236" s="2">
        <f t="shared" si="18"/>
        <v>19438.311135723314</v>
      </c>
      <c r="E236" s="2">
        <f t="shared" si="15"/>
        <v>-23.479210307115864</v>
      </c>
      <c r="F236" s="2">
        <f t="shared" si="19"/>
        <v>14.067249506127501</v>
      </c>
      <c r="G236" s="2">
        <f t="shared" si="16"/>
        <v>-37.546459813243366</v>
      </c>
    </row>
    <row r="237" spans="1:7" x14ac:dyDescent="0.25">
      <c r="A237" s="1">
        <v>45166</v>
      </c>
      <c r="B237">
        <v>19306.05</v>
      </c>
      <c r="C237" s="2">
        <f t="shared" si="17"/>
        <v>19398.096244582939</v>
      </c>
      <c r="D237" s="2">
        <f t="shared" si="18"/>
        <v>19428.514014558623</v>
      </c>
      <c r="E237" s="2">
        <f t="shared" si="15"/>
        <v>-30.417769975683768</v>
      </c>
      <c r="F237" s="2">
        <f t="shared" si="19"/>
        <v>5.1702456097652476</v>
      </c>
      <c r="G237" s="2">
        <f t="shared" si="16"/>
        <v>-35.588015585449014</v>
      </c>
    </row>
    <row r="238" spans="1:7" x14ac:dyDescent="0.25">
      <c r="A238" s="1">
        <v>45167</v>
      </c>
      <c r="B238">
        <v>19342.650000000001</v>
      </c>
      <c r="C238" s="2">
        <f t="shared" si="17"/>
        <v>19389.56605310864</v>
      </c>
      <c r="D238" s="2">
        <f t="shared" si="18"/>
        <v>19422.153717183908</v>
      </c>
      <c r="E238" s="2">
        <f t="shared" si="15"/>
        <v>-32.587664075268549</v>
      </c>
      <c r="F238" s="2">
        <f t="shared" si="19"/>
        <v>-2.3813363272415113</v>
      </c>
      <c r="G238" s="2">
        <f t="shared" si="16"/>
        <v>-30.206327748027036</v>
      </c>
    </row>
    <row r="239" spans="1:7" x14ac:dyDescent="0.25">
      <c r="A239" s="1">
        <v>45168</v>
      </c>
      <c r="B239">
        <v>19347.45</v>
      </c>
      <c r="C239" s="2">
        <f t="shared" si="17"/>
        <v>19383.086660322693</v>
      </c>
      <c r="D239" s="2">
        <f t="shared" si="18"/>
        <v>19416.620108503619</v>
      </c>
      <c r="E239" s="2">
        <f t="shared" si="15"/>
        <v>-33.533448180925916</v>
      </c>
      <c r="F239" s="2">
        <f t="shared" si="19"/>
        <v>-8.6117586979783933</v>
      </c>
      <c r="G239" s="2">
        <f t="shared" si="16"/>
        <v>-24.921689482947521</v>
      </c>
    </row>
    <row r="240" spans="1:7" x14ac:dyDescent="0.25">
      <c r="A240" s="1">
        <v>45169</v>
      </c>
      <c r="B240">
        <v>19253.8</v>
      </c>
      <c r="C240" s="2">
        <f t="shared" si="17"/>
        <v>19363.196404888433</v>
      </c>
      <c r="D240" s="2">
        <f t="shared" si="18"/>
        <v>19404.559359725576</v>
      </c>
      <c r="E240" s="2">
        <f t="shared" si="15"/>
        <v>-41.362954837142752</v>
      </c>
      <c r="F240" s="2">
        <f t="shared" si="19"/>
        <v>-15.161997925811265</v>
      </c>
      <c r="G240" s="2">
        <f t="shared" si="16"/>
        <v>-26.200956911331488</v>
      </c>
    </row>
    <row r="241" spans="1:7" x14ac:dyDescent="0.25">
      <c r="A241" s="1">
        <v>45170</v>
      </c>
      <c r="B241">
        <v>19435.3</v>
      </c>
      <c r="C241" s="2">
        <f t="shared" si="17"/>
        <v>19374.289265674826</v>
      </c>
      <c r="D241" s="2">
        <f t="shared" si="18"/>
        <v>19406.83644419035</v>
      </c>
      <c r="E241" s="2">
        <f t="shared" si="15"/>
        <v>-32.547178515524138</v>
      </c>
      <c r="F241" s="2">
        <f t="shared" si="19"/>
        <v>-18.639034043753838</v>
      </c>
      <c r="G241" s="2">
        <f t="shared" si="16"/>
        <v>-13.908144471770299</v>
      </c>
    </row>
    <row r="242" spans="1:7" x14ac:dyDescent="0.25">
      <c r="A242" s="1">
        <v>45173</v>
      </c>
      <c r="B242">
        <v>19528.8</v>
      </c>
      <c r="C242" s="2">
        <f t="shared" si="17"/>
        <v>19398.060147878699</v>
      </c>
      <c r="D242" s="2">
        <f t="shared" si="18"/>
        <v>19415.87078165773</v>
      </c>
      <c r="E242" s="2">
        <f t="shared" si="15"/>
        <v>-17.810633779030468</v>
      </c>
      <c r="F242" s="2">
        <f t="shared" si="19"/>
        <v>-18.473353990809166</v>
      </c>
      <c r="G242" s="2">
        <f t="shared" si="16"/>
        <v>0.66272021177869789</v>
      </c>
    </row>
    <row r="243" spans="1:7" x14ac:dyDescent="0.25">
      <c r="A243" s="1">
        <v>45174</v>
      </c>
      <c r="B243">
        <v>19574.900000000001</v>
      </c>
      <c r="C243" s="2">
        <f t="shared" si="17"/>
        <v>19425.266278974283</v>
      </c>
      <c r="D243" s="2">
        <f t="shared" si="18"/>
        <v>19427.650723757157</v>
      </c>
      <c r="E243" s="2">
        <f t="shared" si="15"/>
        <v>-2.3844447828741977</v>
      </c>
      <c r="F243" s="2">
        <f t="shared" si="19"/>
        <v>-15.255572149222173</v>
      </c>
      <c r="G243" s="2">
        <f t="shared" si="16"/>
        <v>12.871127366347975</v>
      </c>
    </row>
    <row r="244" spans="1:7" x14ac:dyDescent="0.25">
      <c r="A244" s="1">
        <v>45175</v>
      </c>
      <c r="B244">
        <v>19611.05</v>
      </c>
      <c r="C244" s="2">
        <f t="shared" si="17"/>
        <v>19453.848389901315</v>
      </c>
      <c r="D244" s="2">
        <f t="shared" si="18"/>
        <v>19441.235855330702</v>
      </c>
      <c r="E244" s="2">
        <f t="shared" si="15"/>
        <v>12.612534570613207</v>
      </c>
      <c r="F244" s="2">
        <f t="shared" si="19"/>
        <v>-9.6819508052550987</v>
      </c>
      <c r="G244" s="2">
        <f t="shared" si="16"/>
        <v>22.294485375868305</v>
      </c>
    </row>
    <row r="245" spans="1:7" x14ac:dyDescent="0.25">
      <c r="A245" s="1">
        <v>45176</v>
      </c>
      <c r="B245">
        <v>19727.05</v>
      </c>
      <c r="C245" s="2">
        <f t="shared" si="17"/>
        <v>19495.879406839576</v>
      </c>
      <c r="D245" s="2">
        <f t="shared" si="18"/>
        <v>19462.407273454355</v>
      </c>
      <c r="E245" s="2">
        <f t="shared" si="15"/>
        <v>33.472133385221241</v>
      </c>
      <c r="F245" s="2">
        <f t="shared" si="19"/>
        <v>-1.0511339671598314</v>
      </c>
      <c r="G245" s="2">
        <f t="shared" si="16"/>
        <v>34.523267352381069</v>
      </c>
    </row>
    <row r="246" spans="1:7" x14ac:dyDescent="0.25">
      <c r="A246" s="1">
        <v>45177</v>
      </c>
      <c r="B246">
        <v>19819.95</v>
      </c>
      <c r="C246" s="2">
        <f t="shared" si="17"/>
        <v>19545.73642117195</v>
      </c>
      <c r="D246" s="2">
        <f t="shared" si="18"/>
        <v>19488.891919865146</v>
      </c>
      <c r="E246" s="2">
        <f t="shared" si="15"/>
        <v>56.844501306804887</v>
      </c>
      <c r="F246" s="2">
        <f t="shared" si="19"/>
        <v>10.527993087633112</v>
      </c>
      <c r="G246" s="2">
        <f t="shared" si="16"/>
        <v>46.316508219171773</v>
      </c>
    </row>
    <row r="247" spans="1:7" x14ac:dyDescent="0.25">
      <c r="A247" s="1">
        <v>45180</v>
      </c>
      <c r="B247">
        <v>19996.349999999999</v>
      </c>
      <c r="C247" s="2">
        <f t="shared" si="17"/>
        <v>19615.061587145494</v>
      </c>
      <c r="D247" s="2">
        <f t="shared" si="18"/>
        <v>19526.481407282543</v>
      </c>
      <c r="E247" s="2">
        <f t="shared" si="15"/>
        <v>88.580179862950899</v>
      </c>
      <c r="F247" s="2">
        <f t="shared" si="19"/>
        <v>26.13843044269667</v>
      </c>
      <c r="G247" s="2">
        <f t="shared" si="16"/>
        <v>62.441749420254226</v>
      </c>
    </row>
    <row r="248" spans="1:7" x14ac:dyDescent="0.25">
      <c r="A248" s="1">
        <v>45181</v>
      </c>
      <c r="B248">
        <v>19993.2</v>
      </c>
      <c r="C248" s="2">
        <f t="shared" si="17"/>
        <v>19673.236727584652</v>
      </c>
      <c r="D248" s="2">
        <f t="shared" si="18"/>
        <v>19561.053154891244</v>
      </c>
      <c r="E248" s="2">
        <f t="shared" si="15"/>
        <v>112.18357269340777</v>
      </c>
      <c r="F248" s="2">
        <f t="shared" si="19"/>
        <v>43.347458892838894</v>
      </c>
      <c r="G248" s="2">
        <f t="shared" si="16"/>
        <v>68.836113800568882</v>
      </c>
    </row>
    <row r="249" spans="1:7" x14ac:dyDescent="0.25">
      <c r="A249" s="1">
        <v>45182</v>
      </c>
      <c r="B249">
        <v>20070</v>
      </c>
      <c r="C249" s="2">
        <f t="shared" si="17"/>
        <v>19734.277231033167</v>
      </c>
      <c r="D249" s="2">
        <f t="shared" si="18"/>
        <v>19598.752921195599</v>
      </c>
      <c r="E249" s="2">
        <f t="shared" si="15"/>
        <v>135.52430983756858</v>
      </c>
      <c r="F249" s="2">
        <f t="shared" si="19"/>
        <v>61.78282908178484</v>
      </c>
      <c r="G249" s="2">
        <f t="shared" si="16"/>
        <v>73.741480755783741</v>
      </c>
    </row>
    <row r="250" spans="1:7" x14ac:dyDescent="0.25">
      <c r="C250" s="2"/>
      <c r="D250" s="2"/>
      <c r="E250" s="2"/>
      <c r="F250" s="2"/>
      <c r="G250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2023-09-14T09:54:22Z</dcterms:modified>
</cp:coreProperties>
</file>