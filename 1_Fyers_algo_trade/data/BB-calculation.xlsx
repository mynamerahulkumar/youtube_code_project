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eem\Downloads\"/>
    </mc:Choice>
  </mc:AlternateContent>
  <bookViews>
    <workbookView xWindow="240" yWindow="72" windowWidth="20112" windowHeight="7992"/>
  </bookViews>
  <sheets>
    <sheet name="Sheet1" sheetId="1" r:id="rId1"/>
  </sheets>
  <externalReferences>
    <externalReference r:id="rId2"/>
  </externalReferences>
  <definedNames>
    <definedName name="DaysInYear">[1]Parameters!$B$9</definedName>
  </definedNames>
  <calcPr calcId="152511"/>
</workbook>
</file>

<file path=xl/calcChain.xml><?xml version="1.0" encoding="utf-8"?>
<calcChain xmlns="http://schemas.openxmlformats.org/spreadsheetml/2006/main">
  <c r="I21" i="1" l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1" i="1"/>
</calcChain>
</file>

<file path=xl/sharedStrings.xml><?xml version="1.0" encoding="utf-8"?>
<sst xmlns="http://schemas.openxmlformats.org/spreadsheetml/2006/main" count="9" uniqueCount="9">
  <si>
    <t>Date</t>
  </si>
  <si>
    <t>Open</t>
  </si>
  <si>
    <t>High</t>
  </si>
  <si>
    <t>Low</t>
  </si>
  <si>
    <t>Close</t>
  </si>
  <si>
    <t>Std Dev (20)</t>
  </si>
  <si>
    <t>SMA 20</t>
  </si>
  <si>
    <t>Upper Band</t>
  </si>
  <si>
    <t>Lower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</si>
</sst>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Rockwell"/>
      <family val="2"/>
      <scheme val="minor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8" tint="0.59999389629810485"/>
      </left>
      <right style="thin">
        <color theme="8" tint="0.59999389629810485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0" fillId="3" borderId="0" xfId="0" applyNumberFormat="1" applyFill="1"/>
  </cellXfs>
  <cellStyles count="1">
    <cellStyle name="Normal" xfId="0" builtinId="0"/>
  </cellStyles>
  <dxfs count="5">
    <dxf>
      <numFmt numFmtId="2" formatCode="0.00"/>
    </dxf>
    <dxf>
      <numFmt numFmtId="0" formatCode="General"/>
    </dxf>
    <dxf>
      <numFmt numFmtId="20" formatCode="d\-mmm\-yy"/>
    </dxf>
    <dxf>
      <border outline="0">
        <top style="thin">
          <color theme="8" tint="0.59999389629810485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1" tint="0.349986266670735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8" tint="0.59999389629810485"/>
        </left>
        <right style="thin">
          <color theme="8" tint="0.5999938962981048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BB Chart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Sheet1!$B$1</c:f>
              <c:strCache>
                <c:ptCount val="1"/>
                <c:pt idx="0">
                  <c:v>Open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Sheet1!$A$1:$A$100</c:f>
              <c:strCache>
                <c:ptCount val="100"/>
                <c:pt idx="0">
                  <c:v>Date</c:v>
                </c:pt>
                <c:pt idx="1">
                  <c:v>14-Sep-22</c:v>
                </c:pt>
                <c:pt idx="2">
                  <c:v>15-Sep-22</c:v>
                </c:pt>
                <c:pt idx="3">
                  <c:v>16-Sep-22</c:v>
                </c:pt>
                <c:pt idx="4">
                  <c:v>19-Sep-22</c:v>
                </c:pt>
                <c:pt idx="5">
                  <c:v>20-Sep-22</c:v>
                </c:pt>
                <c:pt idx="6">
                  <c:v>21-Sep-22</c:v>
                </c:pt>
                <c:pt idx="7">
                  <c:v>22-Sep-22</c:v>
                </c:pt>
                <c:pt idx="8">
                  <c:v>23-Sep-22</c:v>
                </c:pt>
                <c:pt idx="9">
                  <c:v>26-Sep-22</c:v>
                </c:pt>
                <c:pt idx="10">
                  <c:v>27-Sep-22</c:v>
                </c:pt>
                <c:pt idx="11">
                  <c:v>28-Sep-22</c:v>
                </c:pt>
                <c:pt idx="12">
                  <c:v>29-Sep-22</c:v>
                </c:pt>
                <c:pt idx="13">
                  <c:v>30-Sep-22</c:v>
                </c:pt>
                <c:pt idx="14">
                  <c:v>3-Oct-22</c:v>
                </c:pt>
                <c:pt idx="15">
                  <c:v>4-Oct-22</c:v>
                </c:pt>
                <c:pt idx="16">
                  <c:v>6-Oct-22</c:v>
                </c:pt>
                <c:pt idx="17">
                  <c:v>7-Oct-22</c:v>
                </c:pt>
                <c:pt idx="18">
                  <c:v>10-Oct-22</c:v>
                </c:pt>
                <c:pt idx="19">
                  <c:v>11-Oct-22</c:v>
                </c:pt>
                <c:pt idx="20">
                  <c:v>12-Oct-22</c:v>
                </c:pt>
                <c:pt idx="21">
                  <c:v>13-Oct-22</c:v>
                </c:pt>
                <c:pt idx="22">
                  <c:v>14-Oct-22</c:v>
                </c:pt>
                <c:pt idx="23">
                  <c:v>17-Oct-22</c:v>
                </c:pt>
                <c:pt idx="24">
                  <c:v>18-Oct-22</c:v>
                </c:pt>
                <c:pt idx="25">
                  <c:v>19-Oct-22</c:v>
                </c:pt>
                <c:pt idx="26">
                  <c:v>20-Oct-22</c:v>
                </c:pt>
                <c:pt idx="27">
                  <c:v>21-Oct-22</c:v>
                </c:pt>
                <c:pt idx="28">
                  <c:v>24-Oct-22</c:v>
                </c:pt>
                <c:pt idx="29">
                  <c:v>25-Oct-22</c:v>
                </c:pt>
                <c:pt idx="30">
                  <c:v>27-Oct-22</c:v>
                </c:pt>
                <c:pt idx="31">
                  <c:v>28-Oct-22</c:v>
                </c:pt>
                <c:pt idx="32">
                  <c:v>31-Oct-22</c:v>
                </c:pt>
                <c:pt idx="33">
                  <c:v>1-Nov-22</c:v>
                </c:pt>
                <c:pt idx="34">
                  <c:v>2-Nov-22</c:v>
                </c:pt>
                <c:pt idx="35">
                  <c:v>3-Nov-22</c:v>
                </c:pt>
                <c:pt idx="36">
                  <c:v>4-Nov-22</c:v>
                </c:pt>
                <c:pt idx="37">
                  <c:v>7-Nov-22</c:v>
                </c:pt>
                <c:pt idx="38">
                  <c:v>9-Nov-22</c:v>
                </c:pt>
                <c:pt idx="39">
                  <c:v>10-Nov-22</c:v>
                </c:pt>
                <c:pt idx="40">
                  <c:v>11-Nov-22</c:v>
                </c:pt>
                <c:pt idx="41">
                  <c:v>15-Nov-22</c:v>
                </c:pt>
                <c:pt idx="42">
                  <c:v>16-Nov-22</c:v>
                </c:pt>
                <c:pt idx="43">
                  <c:v>17-Nov-22</c:v>
                </c:pt>
                <c:pt idx="44">
                  <c:v>18-Nov-22</c:v>
                </c:pt>
                <c:pt idx="45">
                  <c:v>21-Nov-22</c:v>
                </c:pt>
                <c:pt idx="46">
                  <c:v>22-Nov-22</c:v>
                </c:pt>
                <c:pt idx="47">
                  <c:v>23-Nov-22</c:v>
                </c:pt>
                <c:pt idx="48">
                  <c:v>24-Nov-22</c:v>
                </c:pt>
                <c:pt idx="49">
                  <c:v>25-Nov-22</c:v>
                </c:pt>
                <c:pt idx="50">
                  <c:v>28-Nov-22</c:v>
                </c:pt>
                <c:pt idx="51">
                  <c:v>29-Nov-22</c:v>
                </c:pt>
                <c:pt idx="52">
                  <c:v>30-Nov-22</c:v>
                </c:pt>
                <c:pt idx="53">
                  <c:v>1-Dec-22</c:v>
                </c:pt>
                <c:pt idx="54">
                  <c:v>2-Dec-22</c:v>
                </c:pt>
                <c:pt idx="55">
                  <c:v>5-Dec-22</c:v>
                </c:pt>
                <c:pt idx="56">
                  <c:v>6-Dec-22</c:v>
                </c:pt>
                <c:pt idx="57">
                  <c:v>7-Dec-22</c:v>
                </c:pt>
                <c:pt idx="58">
                  <c:v>8-Dec-22</c:v>
                </c:pt>
                <c:pt idx="59">
                  <c:v>9-Dec-22</c:v>
                </c:pt>
                <c:pt idx="60">
                  <c:v>12-Dec-22</c:v>
                </c:pt>
                <c:pt idx="61">
                  <c:v>13-Dec-22</c:v>
                </c:pt>
                <c:pt idx="62">
                  <c:v>14-Dec-22</c:v>
                </c:pt>
                <c:pt idx="63">
                  <c:v>15-Dec-22</c:v>
                </c:pt>
                <c:pt idx="64">
                  <c:v>16-Dec-22</c:v>
                </c:pt>
                <c:pt idx="65">
                  <c:v>19-Dec-22</c:v>
                </c:pt>
                <c:pt idx="66">
                  <c:v>20-Dec-22</c:v>
                </c:pt>
                <c:pt idx="67">
                  <c:v>21-Dec-22</c:v>
                </c:pt>
                <c:pt idx="68">
                  <c:v>22-Dec-22</c:v>
                </c:pt>
                <c:pt idx="69">
                  <c:v>23-Dec-22</c:v>
                </c:pt>
                <c:pt idx="70">
                  <c:v>26-Dec-22</c:v>
                </c:pt>
                <c:pt idx="71">
                  <c:v>27-Dec-22</c:v>
                </c:pt>
                <c:pt idx="72">
                  <c:v>28-Dec-22</c:v>
                </c:pt>
                <c:pt idx="73">
                  <c:v>29-Dec-22</c:v>
                </c:pt>
                <c:pt idx="74">
                  <c:v>30-Dec-22</c:v>
                </c:pt>
                <c:pt idx="75">
                  <c:v>2-Jan-23</c:v>
                </c:pt>
                <c:pt idx="76">
                  <c:v>3-Jan-23</c:v>
                </c:pt>
                <c:pt idx="77">
                  <c:v>4-Jan-23</c:v>
                </c:pt>
                <c:pt idx="78">
                  <c:v>5-Jan-23</c:v>
                </c:pt>
                <c:pt idx="79">
                  <c:v>6-Jan-23</c:v>
                </c:pt>
                <c:pt idx="80">
                  <c:v>9-Jan-23</c:v>
                </c:pt>
                <c:pt idx="81">
                  <c:v>10-Jan-23</c:v>
                </c:pt>
                <c:pt idx="82">
                  <c:v>11-Jan-23</c:v>
                </c:pt>
                <c:pt idx="83">
                  <c:v>12-Jan-23</c:v>
                </c:pt>
                <c:pt idx="84">
                  <c:v>13-Jan-23</c:v>
                </c:pt>
                <c:pt idx="85">
                  <c:v>16-Jan-23</c:v>
                </c:pt>
                <c:pt idx="86">
                  <c:v>17-Jan-23</c:v>
                </c:pt>
                <c:pt idx="87">
                  <c:v>18-Jan-23</c:v>
                </c:pt>
                <c:pt idx="88">
                  <c:v>19-Jan-23</c:v>
                </c:pt>
                <c:pt idx="89">
                  <c:v>20-Jan-23</c:v>
                </c:pt>
                <c:pt idx="90">
                  <c:v>23-Jan-23</c:v>
                </c:pt>
                <c:pt idx="91">
                  <c:v>24-Jan-23</c:v>
                </c:pt>
                <c:pt idx="92">
                  <c:v>25-Jan-23</c:v>
                </c:pt>
                <c:pt idx="93">
                  <c:v>27-Jan-23</c:v>
                </c:pt>
                <c:pt idx="94">
                  <c:v>30-Jan-23</c:v>
                </c:pt>
                <c:pt idx="95">
                  <c:v>31-Jan-23</c:v>
                </c:pt>
                <c:pt idx="96">
                  <c:v>1-Feb-23</c:v>
                </c:pt>
                <c:pt idx="97">
                  <c:v>2-Feb-23</c:v>
                </c:pt>
                <c:pt idx="98">
                  <c:v>3-Feb-23</c:v>
                </c:pt>
                <c:pt idx="99">
                  <c:v>6-Feb-23</c:v>
                </c:pt>
              </c:strCache>
            </c:strRef>
          </c:cat>
          <c:val>
            <c:numRef>
              <c:f>Sheet1!$B$2:$B$100</c:f>
              <c:numCache>
                <c:formatCode>General</c:formatCode>
                <c:ptCount val="99"/>
                <c:pt idx="0">
                  <c:v>17771.150000000001</c:v>
                </c:pt>
                <c:pt idx="1">
                  <c:v>18046.349999999999</c:v>
                </c:pt>
                <c:pt idx="2">
                  <c:v>17796.8</c:v>
                </c:pt>
                <c:pt idx="3">
                  <c:v>17540.650000000001</c:v>
                </c:pt>
                <c:pt idx="4">
                  <c:v>17770.400000000001</c:v>
                </c:pt>
                <c:pt idx="5">
                  <c:v>17766.349999999999</c:v>
                </c:pt>
                <c:pt idx="6">
                  <c:v>17609.650000000001</c:v>
                </c:pt>
                <c:pt idx="7">
                  <c:v>17593.849999999999</c:v>
                </c:pt>
                <c:pt idx="8">
                  <c:v>17156.3</c:v>
                </c:pt>
                <c:pt idx="9">
                  <c:v>17110.900000000001</c:v>
                </c:pt>
                <c:pt idx="10">
                  <c:v>16870.55</c:v>
                </c:pt>
                <c:pt idx="11">
                  <c:v>16993.599999999999</c:v>
                </c:pt>
                <c:pt idx="12">
                  <c:v>16798.05</c:v>
                </c:pt>
                <c:pt idx="13">
                  <c:v>17102.099999999999</c:v>
                </c:pt>
                <c:pt idx="14">
                  <c:v>17147.45</c:v>
                </c:pt>
                <c:pt idx="15">
                  <c:v>17379.25</c:v>
                </c:pt>
                <c:pt idx="16">
                  <c:v>17287.2</c:v>
                </c:pt>
                <c:pt idx="17">
                  <c:v>17094.349999999999</c:v>
                </c:pt>
                <c:pt idx="18">
                  <c:v>17256.05</c:v>
                </c:pt>
                <c:pt idx="19">
                  <c:v>17025.55</c:v>
                </c:pt>
                <c:pt idx="20">
                  <c:v>17087.349999999999</c:v>
                </c:pt>
                <c:pt idx="21">
                  <c:v>17322.3</c:v>
                </c:pt>
                <c:pt idx="22">
                  <c:v>17144.8</c:v>
                </c:pt>
                <c:pt idx="23">
                  <c:v>17438.75</c:v>
                </c:pt>
                <c:pt idx="24">
                  <c:v>17568.150000000001</c:v>
                </c:pt>
                <c:pt idx="25">
                  <c:v>17423.099999999999</c:v>
                </c:pt>
                <c:pt idx="26">
                  <c:v>17622.849999999999</c:v>
                </c:pt>
                <c:pt idx="27">
                  <c:v>17736.349999999999</c:v>
                </c:pt>
                <c:pt idx="28">
                  <c:v>17808.3</c:v>
                </c:pt>
                <c:pt idx="29">
                  <c:v>17771.400000000001</c:v>
                </c:pt>
                <c:pt idx="30">
                  <c:v>17756.400000000001</c:v>
                </c:pt>
                <c:pt idx="31">
                  <c:v>17910.2</c:v>
                </c:pt>
                <c:pt idx="32">
                  <c:v>18130.7</c:v>
                </c:pt>
                <c:pt idx="33">
                  <c:v>18177.900000000001</c:v>
                </c:pt>
                <c:pt idx="34">
                  <c:v>17968.349999999999</c:v>
                </c:pt>
                <c:pt idx="35">
                  <c:v>18053.400000000001</c:v>
                </c:pt>
                <c:pt idx="36">
                  <c:v>18211.75</c:v>
                </c:pt>
                <c:pt idx="37">
                  <c:v>18288.25</c:v>
                </c:pt>
                <c:pt idx="38">
                  <c:v>18044.349999999999</c:v>
                </c:pt>
                <c:pt idx="39">
                  <c:v>18272.349999999999</c:v>
                </c:pt>
                <c:pt idx="40">
                  <c:v>18362.75</c:v>
                </c:pt>
                <c:pt idx="41">
                  <c:v>18398.25</c:v>
                </c:pt>
                <c:pt idx="42">
                  <c:v>18358.7</c:v>
                </c:pt>
                <c:pt idx="43">
                  <c:v>18382.95</c:v>
                </c:pt>
                <c:pt idx="44">
                  <c:v>18246.400000000001</c:v>
                </c:pt>
                <c:pt idx="45">
                  <c:v>18179.150000000001</c:v>
                </c:pt>
                <c:pt idx="46">
                  <c:v>18325.2</c:v>
                </c:pt>
                <c:pt idx="47">
                  <c:v>18326.099999999999</c:v>
                </c:pt>
                <c:pt idx="48">
                  <c:v>18528.45</c:v>
                </c:pt>
                <c:pt idx="49">
                  <c:v>18430.55</c:v>
                </c:pt>
                <c:pt idx="50">
                  <c:v>18552.45</c:v>
                </c:pt>
                <c:pt idx="51">
                  <c:v>18625.7</c:v>
                </c:pt>
                <c:pt idx="52">
                  <c:v>18871.95</c:v>
                </c:pt>
                <c:pt idx="53">
                  <c:v>18752.400000000001</c:v>
                </c:pt>
                <c:pt idx="54">
                  <c:v>18719.55</c:v>
                </c:pt>
                <c:pt idx="55">
                  <c:v>18600.650000000001</c:v>
                </c:pt>
                <c:pt idx="56">
                  <c:v>18638.849999999999</c:v>
                </c:pt>
                <c:pt idx="57">
                  <c:v>18570.849999999999</c:v>
                </c:pt>
                <c:pt idx="58">
                  <c:v>18662.400000000001</c:v>
                </c:pt>
                <c:pt idx="59">
                  <c:v>18402.150000000001</c:v>
                </c:pt>
                <c:pt idx="60">
                  <c:v>18524.400000000001</c:v>
                </c:pt>
                <c:pt idx="61">
                  <c:v>18671.25</c:v>
                </c:pt>
                <c:pt idx="62">
                  <c:v>18614.400000000001</c:v>
                </c:pt>
                <c:pt idx="63">
                  <c:v>18319.099999999999</c:v>
                </c:pt>
                <c:pt idx="64">
                  <c:v>18288.099999999999</c:v>
                </c:pt>
                <c:pt idx="65">
                  <c:v>18340.3</c:v>
                </c:pt>
                <c:pt idx="66">
                  <c:v>18435.150000000001</c:v>
                </c:pt>
                <c:pt idx="67">
                  <c:v>18288.8</c:v>
                </c:pt>
                <c:pt idx="68">
                  <c:v>17977.650000000001</c:v>
                </c:pt>
                <c:pt idx="69">
                  <c:v>17830.400000000001</c:v>
                </c:pt>
                <c:pt idx="70">
                  <c:v>18089.8</c:v>
                </c:pt>
                <c:pt idx="71">
                  <c:v>18084.75</c:v>
                </c:pt>
                <c:pt idx="72">
                  <c:v>18045.7</c:v>
                </c:pt>
                <c:pt idx="73">
                  <c:v>18259.099999999999</c:v>
                </c:pt>
                <c:pt idx="74">
                  <c:v>18131.7</c:v>
                </c:pt>
                <c:pt idx="75">
                  <c:v>18163.2</c:v>
                </c:pt>
                <c:pt idx="76">
                  <c:v>18230.650000000001</c:v>
                </c:pt>
                <c:pt idx="77">
                  <c:v>18101.95</c:v>
                </c:pt>
                <c:pt idx="78">
                  <c:v>18008.05</c:v>
                </c:pt>
                <c:pt idx="79">
                  <c:v>17952.55</c:v>
                </c:pt>
                <c:pt idx="80">
                  <c:v>18121.3</c:v>
                </c:pt>
                <c:pt idx="81">
                  <c:v>17924.25</c:v>
                </c:pt>
                <c:pt idx="82">
                  <c:v>17920.849999999999</c:v>
                </c:pt>
                <c:pt idx="83">
                  <c:v>17867.5</c:v>
                </c:pt>
                <c:pt idx="84">
                  <c:v>18033.150000000001</c:v>
                </c:pt>
                <c:pt idx="85">
                  <c:v>17922.8</c:v>
                </c:pt>
                <c:pt idx="86">
                  <c:v>18074.3</c:v>
                </c:pt>
                <c:pt idx="87">
                  <c:v>18119.8</c:v>
                </c:pt>
                <c:pt idx="88">
                  <c:v>18115.599999999999</c:v>
                </c:pt>
                <c:pt idx="89">
                  <c:v>18118.45</c:v>
                </c:pt>
                <c:pt idx="90">
                  <c:v>18183.95</c:v>
                </c:pt>
                <c:pt idx="91">
                  <c:v>18093.349999999999</c:v>
                </c:pt>
                <c:pt idx="92">
                  <c:v>17877.2</c:v>
                </c:pt>
                <c:pt idx="93">
                  <c:v>17541.95</c:v>
                </c:pt>
                <c:pt idx="94">
                  <c:v>17731.45</c:v>
                </c:pt>
                <c:pt idx="95">
                  <c:v>17811.599999999999</c:v>
                </c:pt>
                <c:pt idx="96">
                  <c:v>17517.099999999999</c:v>
                </c:pt>
                <c:pt idx="97">
                  <c:v>17721.75</c:v>
                </c:pt>
                <c:pt idx="98">
                  <c:v>17818.55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High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Sheet1!$A$1:$A$100</c:f>
              <c:strCache>
                <c:ptCount val="100"/>
                <c:pt idx="0">
                  <c:v>Date</c:v>
                </c:pt>
                <c:pt idx="1">
                  <c:v>14-Sep-22</c:v>
                </c:pt>
                <c:pt idx="2">
                  <c:v>15-Sep-22</c:v>
                </c:pt>
                <c:pt idx="3">
                  <c:v>16-Sep-22</c:v>
                </c:pt>
                <c:pt idx="4">
                  <c:v>19-Sep-22</c:v>
                </c:pt>
                <c:pt idx="5">
                  <c:v>20-Sep-22</c:v>
                </c:pt>
                <c:pt idx="6">
                  <c:v>21-Sep-22</c:v>
                </c:pt>
                <c:pt idx="7">
                  <c:v>22-Sep-22</c:v>
                </c:pt>
                <c:pt idx="8">
                  <c:v>23-Sep-22</c:v>
                </c:pt>
                <c:pt idx="9">
                  <c:v>26-Sep-22</c:v>
                </c:pt>
                <c:pt idx="10">
                  <c:v>27-Sep-22</c:v>
                </c:pt>
                <c:pt idx="11">
                  <c:v>28-Sep-22</c:v>
                </c:pt>
                <c:pt idx="12">
                  <c:v>29-Sep-22</c:v>
                </c:pt>
                <c:pt idx="13">
                  <c:v>30-Sep-22</c:v>
                </c:pt>
                <c:pt idx="14">
                  <c:v>3-Oct-22</c:v>
                </c:pt>
                <c:pt idx="15">
                  <c:v>4-Oct-22</c:v>
                </c:pt>
                <c:pt idx="16">
                  <c:v>6-Oct-22</c:v>
                </c:pt>
                <c:pt idx="17">
                  <c:v>7-Oct-22</c:v>
                </c:pt>
                <c:pt idx="18">
                  <c:v>10-Oct-22</c:v>
                </c:pt>
                <c:pt idx="19">
                  <c:v>11-Oct-22</c:v>
                </c:pt>
                <c:pt idx="20">
                  <c:v>12-Oct-22</c:v>
                </c:pt>
                <c:pt idx="21">
                  <c:v>13-Oct-22</c:v>
                </c:pt>
                <c:pt idx="22">
                  <c:v>14-Oct-22</c:v>
                </c:pt>
                <c:pt idx="23">
                  <c:v>17-Oct-22</c:v>
                </c:pt>
                <c:pt idx="24">
                  <c:v>18-Oct-22</c:v>
                </c:pt>
                <c:pt idx="25">
                  <c:v>19-Oct-22</c:v>
                </c:pt>
                <c:pt idx="26">
                  <c:v>20-Oct-22</c:v>
                </c:pt>
                <c:pt idx="27">
                  <c:v>21-Oct-22</c:v>
                </c:pt>
                <c:pt idx="28">
                  <c:v>24-Oct-22</c:v>
                </c:pt>
                <c:pt idx="29">
                  <c:v>25-Oct-22</c:v>
                </c:pt>
                <c:pt idx="30">
                  <c:v>27-Oct-22</c:v>
                </c:pt>
                <c:pt idx="31">
                  <c:v>28-Oct-22</c:v>
                </c:pt>
                <c:pt idx="32">
                  <c:v>31-Oct-22</c:v>
                </c:pt>
                <c:pt idx="33">
                  <c:v>1-Nov-22</c:v>
                </c:pt>
                <c:pt idx="34">
                  <c:v>2-Nov-22</c:v>
                </c:pt>
                <c:pt idx="35">
                  <c:v>3-Nov-22</c:v>
                </c:pt>
                <c:pt idx="36">
                  <c:v>4-Nov-22</c:v>
                </c:pt>
                <c:pt idx="37">
                  <c:v>7-Nov-22</c:v>
                </c:pt>
                <c:pt idx="38">
                  <c:v>9-Nov-22</c:v>
                </c:pt>
                <c:pt idx="39">
                  <c:v>10-Nov-22</c:v>
                </c:pt>
                <c:pt idx="40">
                  <c:v>11-Nov-22</c:v>
                </c:pt>
                <c:pt idx="41">
                  <c:v>15-Nov-22</c:v>
                </c:pt>
                <c:pt idx="42">
                  <c:v>16-Nov-22</c:v>
                </c:pt>
                <c:pt idx="43">
                  <c:v>17-Nov-22</c:v>
                </c:pt>
                <c:pt idx="44">
                  <c:v>18-Nov-22</c:v>
                </c:pt>
                <c:pt idx="45">
                  <c:v>21-Nov-22</c:v>
                </c:pt>
                <c:pt idx="46">
                  <c:v>22-Nov-22</c:v>
                </c:pt>
                <c:pt idx="47">
                  <c:v>23-Nov-22</c:v>
                </c:pt>
                <c:pt idx="48">
                  <c:v>24-Nov-22</c:v>
                </c:pt>
                <c:pt idx="49">
                  <c:v>25-Nov-22</c:v>
                </c:pt>
                <c:pt idx="50">
                  <c:v>28-Nov-22</c:v>
                </c:pt>
                <c:pt idx="51">
                  <c:v>29-Nov-22</c:v>
                </c:pt>
                <c:pt idx="52">
                  <c:v>30-Nov-22</c:v>
                </c:pt>
                <c:pt idx="53">
                  <c:v>1-Dec-22</c:v>
                </c:pt>
                <c:pt idx="54">
                  <c:v>2-Dec-22</c:v>
                </c:pt>
                <c:pt idx="55">
                  <c:v>5-Dec-22</c:v>
                </c:pt>
                <c:pt idx="56">
                  <c:v>6-Dec-22</c:v>
                </c:pt>
                <c:pt idx="57">
                  <c:v>7-Dec-22</c:v>
                </c:pt>
                <c:pt idx="58">
                  <c:v>8-Dec-22</c:v>
                </c:pt>
                <c:pt idx="59">
                  <c:v>9-Dec-22</c:v>
                </c:pt>
                <c:pt idx="60">
                  <c:v>12-Dec-22</c:v>
                </c:pt>
                <c:pt idx="61">
                  <c:v>13-Dec-22</c:v>
                </c:pt>
                <c:pt idx="62">
                  <c:v>14-Dec-22</c:v>
                </c:pt>
                <c:pt idx="63">
                  <c:v>15-Dec-22</c:v>
                </c:pt>
                <c:pt idx="64">
                  <c:v>16-Dec-22</c:v>
                </c:pt>
                <c:pt idx="65">
                  <c:v>19-Dec-22</c:v>
                </c:pt>
                <c:pt idx="66">
                  <c:v>20-Dec-22</c:v>
                </c:pt>
                <c:pt idx="67">
                  <c:v>21-Dec-22</c:v>
                </c:pt>
                <c:pt idx="68">
                  <c:v>22-Dec-22</c:v>
                </c:pt>
                <c:pt idx="69">
                  <c:v>23-Dec-22</c:v>
                </c:pt>
                <c:pt idx="70">
                  <c:v>26-Dec-22</c:v>
                </c:pt>
                <c:pt idx="71">
                  <c:v>27-Dec-22</c:v>
                </c:pt>
                <c:pt idx="72">
                  <c:v>28-Dec-22</c:v>
                </c:pt>
                <c:pt idx="73">
                  <c:v>29-Dec-22</c:v>
                </c:pt>
                <c:pt idx="74">
                  <c:v>30-Dec-22</c:v>
                </c:pt>
                <c:pt idx="75">
                  <c:v>2-Jan-23</c:v>
                </c:pt>
                <c:pt idx="76">
                  <c:v>3-Jan-23</c:v>
                </c:pt>
                <c:pt idx="77">
                  <c:v>4-Jan-23</c:v>
                </c:pt>
                <c:pt idx="78">
                  <c:v>5-Jan-23</c:v>
                </c:pt>
                <c:pt idx="79">
                  <c:v>6-Jan-23</c:v>
                </c:pt>
                <c:pt idx="80">
                  <c:v>9-Jan-23</c:v>
                </c:pt>
                <c:pt idx="81">
                  <c:v>10-Jan-23</c:v>
                </c:pt>
                <c:pt idx="82">
                  <c:v>11-Jan-23</c:v>
                </c:pt>
                <c:pt idx="83">
                  <c:v>12-Jan-23</c:v>
                </c:pt>
                <c:pt idx="84">
                  <c:v>13-Jan-23</c:v>
                </c:pt>
                <c:pt idx="85">
                  <c:v>16-Jan-23</c:v>
                </c:pt>
                <c:pt idx="86">
                  <c:v>17-Jan-23</c:v>
                </c:pt>
                <c:pt idx="87">
                  <c:v>18-Jan-23</c:v>
                </c:pt>
                <c:pt idx="88">
                  <c:v>19-Jan-23</c:v>
                </c:pt>
                <c:pt idx="89">
                  <c:v>20-Jan-23</c:v>
                </c:pt>
                <c:pt idx="90">
                  <c:v>23-Jan-23</c:v>
                </c:pt>
                <c:pt idx="91">
                  <c:v>24-Jan-23</c:v>
                </c:pt>
                <c:pt idx="92">
                  <c:v>25-Jan-23</c:v>
                </c:pt>
                <c:pt idx="93">
                  <c:v>27-Jan-23</c:v>
                </c:pt>
                <c:pt idx="94">
                  <c:v>30-Jan-23</c:v>
                </c:pt>
                <c:pt idx="95">
                  <c:v>31-Jan-23</c:v>
                </c:pt>
                <c:pt idx="96">
                  <c:v>1-Feb-23</c:v>
                </c:pt>
                <c:pt idx="97">
                  <c:v>2-Feb-23</c:v>
                </c:pt>
                <c:pt idx="98">
                  <c:v>3-Feb-23</c:v>
                </c:pt>
                <c:pt idx="99">
                  <c:v>6-Feb-23</c:v>
                </c:pt>
              </c:strCache>
            </c:strRef>
          </c:cat>
          <c:val>
            <c:numRef>
              <c:f>Sheet1!$C$2:$C$100</c:f>
              <c:numCache>
                <c:formatCode>General</c:formatCode>
                <c:ptCount val="99"/>
                <c:pt idx="0">
                  <c:v>18091.55</c:v>
                </c:pt>
                <c:pt idx="1">
                  <c:v>18096.150000000001</c:v>
                </c:pt>
                <c:pt idx="2">
                  <c:v>17820.05</c:v>
                </c:pt>
                <c:pt idx="3">
                  <c:v>17667.2</c:v>
                </c:pt>
                <c:pt idx="4">
                  <c:v>17919.3</c:v>
                </c:pt>
                <c:pt idx="5">
                  <c:v>17838.7</c:v>
                </c:pt>
                <c:pt idx="6">
                  <c:v>17722.75</c:v>
                </c:pt>
                <c:pt idx="7">
                  <c:v>17642.150000000001</c:v>
                </c:pt>
                <c:pt idx="8">
                  <c:v>17196.400000000001</c:v>
                </c:pt>
                <c:pt idx="9">
                  <c:v>17176.45</c:v>
                </c:pt>
                <c:pt idx="10">
                  <c:v>17037.599999999999</c:v>
                </c:pt>
                <c:pt idx="11">
                  <c:v>17026.05</c:v>
                </c:pt>
                <c:pt idx="12">
                  <c:v>17187.099999999999</c:v>
                </c:pt>
                <c:pt idx="13">
                  <c:v>17114.650000000001</c:v>
                </c:pt>
                <c:pt idx="14">
                  <c:v>17287.3</c:v>
                </c:pt>
                <c:pt idx="15">
                  <c:v>17428.8</c:v>
                </c:pt>
                <c:pt idx="16">
                  <c:v>17337.349999999999</c:v>
                </c:pt>
                <c:pt idx="17">
                  <c:v>17280.150000000001</c:v>
                </c:pt>
                <c:pt idx="18">
                  <c:v>17261.8</c:v>
                </c:pt>
                <c:pt idx="19">
                  <c:v>17142.349999999999</c:v>
                </c:pt>
                <c:pt idx="20">
                  <c:v>17112.349999999999</c:v>
                </c:pt>
                <c:pt idx="21">
                  <c:v>17348.55</c:v>
                </c:pt>
                <c:pt idx="22">
                  <c:v>17328.55</c:v>
                </c:pt>
                <c:pt idx="23">
                  <c:v>17527.8</c:v>
                </c:pt>
                <c:pt idx="24">
                  <c:v>17607.599999999999</c:v>
                </c:pt>
                <c:pt idx="25">
                  <c:v>17584.150000000001</c:v>
                </c:pt>
                <c:pt idx="26">
                  <c:v>17670.150000000001</c:v>
                </c:pt>
                <c:pt idx="27">
                  <c:v>17777.55</c:v>
                </c:pt>
                <c:pt idx="28">
                  <c:v>17811.5</c:v>
                </c:pt>
                <c:pt idx="29">
                  <c:v>17783.900000000001</c:v>
                </c:pt>
                <c:pt idx="30">
                  <c:v>17838.900000000001</c:v>
                </c:pt>
                <c:pt idx="31">
                  <c:v>18022.8</c:v>
                </c:pt>
                <c:pt idx="32">
                  <c:v>18175.8</c:v>
                </c:pt>
                <c:pt idx="33">
                  <c:v>18178.75</c:v>
                </c:pt>
                <c:pt idx="34">
                  <c:v>18106.3</c:v>
                </c:pt>
                <c:pt idx="35">
                  <c:v>18135.099999999999</c:v>
                </c:pt>
                <c:pt idx="36">
                  <c:v>18255.5</c:v>
                </c:pt>
                <c:pt idx="37">
                  <c:v>18296.400000000001</c:v>
                </c:pt>
                <c:pt idx="38">
                  <c:v>18103.099999999999</c:v>
                </c:pt>
                <c:pt idx="39">
                  <c:v>18362.3</c:v>
                </c:pt>
                <c:pt idx="40">
                  <c:v>18427.95</c:v>
                </c:pt>
                <c:pt idx="41">
                  <c:v>18442.150000000001</c:v>
                </c:pt>
                <c:pt idx="42">
                  <c:v>18417.599999999999</c:v>
                </c:pt>
                <c:pt idx="43">
                  <c:v>18394.599999999999</c:v>
                </c:pt>
                <c:pt idx="44">
                  <c:v>18262.3</c:v>
                </c:pt>
                <c:pt idx="45">
                  <c:v>18261.849999999999</c:v>
                </c:pt>
                <c:pt idx="46">
                  <c:v>18325.400000000001</c:v>
                </c:pt>
                <c:pt idx="47">
                  <c:v>18529.7</c:v>
                </c:pt>
                <c:pt idx="48">
                  <c:v>18534.900000000001</c:v>
                </c:pt>
                <c:pt idx="49">
                  <c:v>18614.25</c:v>
                </c:pt>
                <c:pt idx="50">
                  <c:v>18678.099999999999</c:v>
                </c:pt>
                <c:pt idx="51">
                  <c:v>18816.05</c:v>
                </c:pt>
                <c:pt idx="52">
                  <c:v>18887.599999999999</c:v>
                </c:pt>
                <c:pt idx="53">
                  <c:v>18781.95</c:v>
                </c:pt>
                <c:pt idx="54">
                  <c:v>18728.599999999999</c:v>
                </c:pt>
                <c:pt idx="55">
                  <c:v>18654.900000000001</c:v>
                </c:pt>
                <c:pt idx="56">
                  <c:v>18668.3</c:v>
                </c:pt>
                <c:pt idx="57">
                  <c:v>18625</c:v>
                </c:pt>
                <c:pt idx="58">
                  <c:v>18664.7</c:v>
                </c:pt>
                <c:pt idx="59">
                  <c:v>18521.55</c:v>
                </c:pt>
                <c:pt idx="60">
                  <c:v>18617.25</c:v>
                </c:pt>
                <c:pt idx="61">
                  <c:v>18696.099999999999</c:v>
                </c:pt>
                <c:pt idx="62">
                  <c:v>18652.900000000001</c:v>
                </c:pt>
                <c:pt idx="63">
                  <c:v>18440.95</c:v>
                </c:pt>
                <c:pt idx="64">
                  <c:v>18431.650000000001</c:v>
                </c:pt>
                <c:pt idx="65">
                  <c:v>18404.900000000001</c:v>
                </c:pt>
                <c:pt idx="66">
                  <c:v>18473.349999999999</c:v>
                </c:pt>
                <c:pt idx="67">
                  <c:v>18318.75</c:v>
                </c:pt>
                <c:pt idx="68">
                  <c:v>18050.45</c:v>
                </c:pt>
                <c:pt idx="69">
                  <c:v>18084.099999999999</c:v>
                </c:pt>
                <c:pt idx="70">
                  <c:v>18149.25</c:v>
                </c:pt>
                <c:pt idx="71">
                  <c:v>18173.099999999999</c:v>
                </c:pt>
                <c:pt idx="72">
                  <c:v>18229.7</c:v>
                </c:pt>
                <c:pt idx="73">
                  <c:v>18265.25</c:v>
                </c:pt>
                <c:pt idx="74">
                  <c:v>18215.150000000001</c:v>
                </c:pt>
                <c:pt idx="75">
                  <c:v>18251.95</c:v>
                </c:pt>
                <c:pt idx="76">
                  <c:v>18243</c:v>
                </c:pt>
                <c:pt idx="77">
                  <c:v>18120.3</c:v>
                </c:pt>
                <c:pt idx="78">
                  <c:v>18047.400000000001</c:v>
                </c:pt>
                <c:pt idx="79">
                  <c:v>18141.400000000001</c:v>
                </c:pt>
                <c:pt idx="80">
                  <c:v>18127.599999999999</c:v>
                </c:pt>
                <c:pt idx="81">
                  <c:v>17976.349999999999</c:v>
                </c:pt>
                <c:pt idx="82">
                  <c:v>17945.8</c:v>
                </c:pt>
                <c:pt idx="83">
                  <c:v>17999.349999999999</c:v>
                </c:pt>
                <c:pt idx="84">
                  <c:v>18049.650000000001</c:v>
                </c:pt>
                <c:pt idx="85">
                  <c:v>18072.05</c:v>
                </c:pt>
                <c:pt idx="86">
                  <c:v>18183.75</c:v>
                </c:pt>
                <c:pt idx="87">
                  <c:v>18155.2</c:v>
                </c:pt>
                <c:pt idx="88">
                  <c:v>18145.45</c:v>
                </c:pt>
                <c:pt idx="89">
                  <c:v>18162.599999999999</c:v>
                </c:pt>
                <c:pt idx="90">
                  <c:v>18201.25</c:v>
                </c:pt>
                <c:pt idx="91">
                  <c:v>18100.599999999999</c:v>
                </c:pt>
                <c:pt idx="92">
                  <c:v>17884.75</c:v>
                </c:pt>
                <c:pt idx="93">
                  <c:v>17709.150000000001</c:v>
                </c:pt>
                <c:pt idx="94">
                  <c:v>17735.7</c:v>
                </c:pt>
                <c:pt idx="95">
                  <c:v>17972.2</c:v>
                </c:pt>
                <c:pt idx="96">
                  <c:v>17653.900000000001</c:v>
                </c:pt>
                <c:pt idx="97">
                  <c:v>17870.3</c:v>
                </c:pt>
                <c:pt idx="98">
                  <c:v>17823.7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Low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Sheet1!$A$1:$A$100</c:f>
              <c:strCache>
                <c:ptCount val="100"/>
                <c:pt idx="0">
                  <c:v>Date</c:v>
                </c:pt>
                <c:pt idx="1">
                  <c:v>14-Sep-22</c:v>
                </c:pt>
                <c:pt idx="2">
                  <c:v>15-Sep-22</c:v>
                </c:pt>
                <c:pt idx="3">
                  <c:v>16-Sep-22</c:v>
                </c:pt>
                <c:pt idx="4">
                  <c:v>19-Sep-22</c:v>
                </c:pt>
                <c:pt idx="5">
                  <c:v>20-Sep-22</c:v>
                </c:pt>
                <c:pt idx="6">
                  <c:v>21-Sep-22</c:v>
                </c:pt>
                <c:pt idx="7">
                  <c:v>22-Sep-22</c:v>
                </c:pt>
                <c:pt idx="8">
                  <c:v>23-Sep-22</c:v>
                </c:pt>
                <c:pt idx="9">
                  <c:v>26-Sep-22</c:v>
                </c:pt>
                <c:pt idx="10">
                  <c:v>27-Sep-22</c:v>
                </c:pt>
                <c:pt idx="11">
                  <c:v>28-Sep-22</c:v>
                </c:pt>
                <c:pt idx="12">
                  <c:v>29-Sep-22</c:v>
                </c:pt>
                <c:pt idx="13">
                  <c:v>30-Sep-22</c:v>
                </c:pt>
                <c:pt idx="14">
                  <c:v>3-Oct-22</c:v>
                </c:pt>
                <c:pt idx="15">
                  <c:v>4-Oct-22</c:v>
                </c:pt>
                <c:pt idx="16">
                  <c:v>6-Oct-22</c:v>
                </c:pt>
                <c:pt idx="17">
                  <c:v>7-Oct-22</c:v>
                </c:pt>
                <c:pt idx="18">
                  <c:v>10-Oct-22</c:v>
                </c:pt>
                <c:pt idx="19">
                  <c:v>11-Oct-22</c:v>
                </c:pt>
                <c:pt idx="20">
                  <c:v>12-Oct-22</c:v>
                </c:pt>
                <c:pt idx="21">
                  <c:v>13-Oct-22</c:v>
                </c:pt>
                <c:pt idx="22">
                  <c:v>14-Oct-22</c:v>
                </c:pt>
                <c:pt idx="23">
                  <c:v>17-Oct-22</c:v>
                </c:pt>
                <c:pt idx="24">
                  <c:v>18-Oct-22</c:v>
                </c:pt>
                <c:pt idx="25">
                  <c:v>19-Oct-22</c:v>
                </c:pt>
                <c:pt idx="26">
                  <c:v>20-Oct-22</c:v>
                </c:pt>
                <c:pt idx="27">
                  <c:v>21-Oct-22</c:v>
                </c:pt>
                <c:pt idx="28">
                  <c:v>24-Oct-22</c:v>
                </c:pt>
                <c:pt idx="29">
                  <c:v>25-Oct-22</c:v>
                </c:pt>
                <c:pt idx="30">
                  <c:v>27-Oct-22</c:v>
                </c:pt>
                <c:pt idx="31">
                  <c:v>28-Oct-22</c:v>
                </c:pt>
                <c:pt idx="32">
                  <c:v>31-Oct-22</c:v>
                </c:pt>
                <c:pt idx="33">
                  <c:v>1-Nov-22</c:v>
                </c:pt>
                <c:pt idx="34">
                  <c:v>2-Nov-22</c:v>
                </c:pt>
                <c:pt idx="35">
                  <c:v>3-Nov-22</c:v>
                </c:pt>
                <c:pt idx="36">
                  <c:v>4-Nov-22</c:v>
                </c:pt>
                <c:pt idx="37">
                  <c:v>7-Nov-22</c:v>
                </c:pt>
                <c:pt idx="38">
                  <c:v>9-Nov-22</c:v>
                </c:pt>
                <c:pt idx="39">
                  <c:v>10-Nov-22</c:v>
                </c:pt>
                <c:pt idx="40">
                  <c:v>11-Nov-22</c:v>
                </c:pt>
                <c:pt idx="41">
                  <c:v>15-Nov-22</c:v>
                </c:pt>
                <c:pt idx="42">
                  <c:v>16-Nov-22</c:v>
                </c:pt>
                <c:pt idx="43">
                  <c:v>17-Nov-22</c:v>
                </c:pt>
                <c:pt idx="44">
                  <c:v>18-Nov-22</c:v>
                </c:pt>
                <c:pt idx="45">
                  <c:v>21-Nov-22</c:v>
                </c:pt>
                <c:pt idx="46">
                  <c:v>22-Nov-22</c:v>
                </c:pt>
                <c:pt idx="47">
                  <c:v>23-Nov-22</c:v>
                </c:pt>
                <c:pt idx="48">
                  <c:v>24-Nov-22</c:v>
                </c:pt>
                <c:pt idx="49">
                  <c:v>25-Nov-22</c:v>
                </c:pt>
                <c:pt idx="50">
                  <c:v>28-Nov-22</c:v>
                </c:pt>
                <c:pt idx="51">
                  <c:v>29-Nov-22</c:v>
                </c:pt>
                <c:pt idx="52">
                  <c:v>30-Nov-22</c:v>
                </c:pt>
                <c:pt idx="53">
                  <c:v>1-Dec-22</c:v>
                </c:pt>
                <c:pt idx="54">
                  <c:v>2-Dec-22</c:v>
                </c:pt>
                <c:pt idx="55">
                  <c:v>5-Dec-22</c:v>
                </c:pt>
                <c:pt idx="56">
                  <c:v>6-Dec-22</c:v>
                </c:pt>
                <c:pt idx="57">
                  <c:v>7-Dec-22</c:v>
                </c:pt>
                <c:pt idx="58">
                  <c:v>8-Dec-22</c:v>
                </c:pt>
                <c:pt idx="59">
                  <c:v>9-Dec-22</c:v>
                </c:pt>
                <c:pt idx="60">
                  <c:v>12-Dec-22</c:v>
                </c:pt>
                <c:pt idx="61">
                  <c:v>13-Dec-22</c:v>
                </c:pt>
                <c:pt idx="62">
                  <c:v>14-Dec-22</c:v>
                </c:pt>
                <c:pt idx="63">
                  <c:v>15-Dec-22</c:v>
                </c:pt>
                <c:pt idx="64">
                  <c:v>16-Dec-22</c:v>
                </c:pt>
                <c:pt idx="65">
                  <c:v>19-Dec-22</c:v>
                </c:pt>
                <c:pt idx="66">
                  <c:v>20-Dec-22</c:v>
                </c:pt>
                <c:pt idx="67">
                  <c:v>21-Dec-22</c:v>
                </c:pt>
                <c:pt idx="68">
                  <c:v>22-Dec-22</c:v>
                </c:pt>
                <c:pt idx="69">
                  <c:v>23-Dec-22</c:v>
                </c:pt>
                <c:pt idx="70">
                  <c:v>26-Dec-22</c:v>
                </c:pt>
                <c:pt idx="71">
                  <c:v>27-Dec-22</c:v>
                </c:pt>
                <c:pt idx="72">
                  <c:v>28-Dec-22</c:v>
                </c:pt>
                <c:pt idx="73">
                  <c:v>29-Dec-22</c:v>
                </c:pt>
                <c:pt idx="74">
                  <c:v>30-Dec-22</c:v>
                </c:pt>
                <c:pt idx="75">
                  <c:v>2-Jan-23</c:v>
                </c:pt>
                <c:pt idx="76">
                  <c:v>3-Jan-23</c:v>
                </c:pt>
                <c:pt idx="77">
                  <c:v>4-Jan-23</c:v>
                </c:pt>
                <c:pt idx="78">
                  <c:v>5-Jan-23</c:v>
                </c:pt>
                <c:pt idx="79">
                  <c:v>6-Jan-23</c:v>
                </c:pt>
                <c:pt idx="80">
                  <c:v>9-Jan-23</c:v>
                </c:pt>
                <c:pt idx="81">
                  <c:v>10-Jan-23</c:v>
                </c:pt>
                <c:pt idx="82">
                  <c:v>11-Jan-23</c:v>
                </c:pt>
                <c:pt idx="83">
                  <c:v>12-Jan-23</c:v>
                </c:pt>
                <c:pt idx="84">
                  <c:v>13-Jan-23</c:v>
                </c:pt>
                <c:pt idx="85">
                  <c:v>16-Jan-23</c:v>
                </c:pt>
                <c:pt idx="86">
                  <c:v>17-Jan-23</c:v>
                </c:pt>
                <c:pt idx="87">
                  <c:v>18-Jan-23</c:v>
                </c:pt>
                <c:pt idx="88">
                  <c:v>19-Jan-23</c:v>
                </c:pt>
                <c:pt idx="89">
                  <c:v>20-Jan-23</c:v>
                </c:pt>
                <c:pt idx="90">
                  <c:v>23-Jan-23</c:v>
                </c:pt>
                <c:pt idx="91">
                  <c:v>24-Jan-23</c:v>
                </c:pt>
                <c:pt idx="92">
                  <c:v>25-Jan-23</c:v>
                </c:pt>
                <c:pt idx="93">
                  <c:v>27-Jan-23</c:v>
                </c:pt>
                <c:pt idx="94">
                  <c:v>30-Jan-23</c:v>
                </c:pt>
                <c:pt idx="95">
                  <c:v>31-Jan-23</c:v>
                </c:pt>
                <c:pt idx="96">
                  <c:v>1-Feb-23</c:v>
                </c:pt>
                <c:pt idx="97">
                  <c:v>2-Feb-23</c:v>
                </c:pt>
                <c:pt idx="98">
                  <c:v>3-Feb-23</c:v>
                </c:pt>
                <c:pt idx="99">
                  <c:v>6-Feb-23</c:v>
                </c:pt>
              </c:strCache>
            </c:strRef>
          </c:cat>
          <c:val>
            <c:numRef>
              <c:f>Sheet1!$D$2:$D$100</c:f>
              <c:numCache>
                <c:formatCode>General</c:formatCode>
                <c:ptCount val="99"/>
                <c:pt idx="0">
                  <c:v>17771.150000000001</c:v>
                </c:pt>
                <c:pt idx="1">
                  <c:v>17861.5</c:v>
                </c:pt>
                <c:pt idx="2">
                  <c:v>17497.25</c:v>
                </c:pt>
                <c:pt idx="3">
                  <c:v>17429.7</c:v>
                </c:pt>
                <c:pt idx="4">
                  <c:v>17744.400000000001</c:v>
                </c:pt>
                <c:pt idx="5">
                  <c:v>17663.599999999999</c:v>
                </c:pt>
                <c:pt idx="6">
                  <c:v>17532.45</c:v>
                </c:pt>
                <c:pt idx="7">
                  <c:v>17291.650000000001</c:v>
                </c:pt>
                <c:pt idx="8">
                  <c:v>16978.3</c:v>
                </c:pt>
                <c:pt idx="9">
                  <c:v>16942.349999999999</c:v>
                </c:pt>
                <c:pt idx="10">
                  <c:v>16820.400000000001</c:v>
                </c:pt>
                <c:pt idx="11">
                  <c:v>16788.599999999999</c:v>
                </c:pt>
                <c:pt idx="12">
                  <c:v>16747.7</c:v>
                </c:pt>
                <c:pt idx="13">
                  <c:v>16855.55</c:v>
                </c:pt>
                <c:pt idx="14">
                  <c:v>17117.3</c:v>
                </c:pt>
                <c:pt idx="15">
                  <c:v>17315.650000000001</c:v>
                </c:pt>
                <c:pt idx="16">
                  <c:v>17216.95</c:v>
                </c:pt>
                <c:pt idx="17">
                  <c:v>17064.7</c:v>
                </c:pt>
                <c:pt idx="18">
                  <c:v>16950.3</c:v>
                </c:pt>
                <c:pt idx="19">
                  <c:v>16960.05</c:v>
                </c:pt>
                <c:pt idx="20">
                  <c:v>16956.95</c:v>
                </c:pt>
                <c:pt idx="21">
                  <c:v>17169.75</c:v>
                </c:pt>
                <c:pt idx="22">
                  <c:v>17098.55</c:v>
                </c:pt>
                <c:pt idx="23">
                  <c:v>17434.05</c:v>
                </c:pt>
                <c:pt idx="24">
                  <c:v>17472.849999999999</c:v>
                </c:pt>
                <c:pt idx="25">
                  <c:v>17421</c:v>
                </c:pt>
                <c:pt idx="26">
                  <c:v>17520.75</c:v>
                </c:pt>
                <c:pt idx="27">
                  <c:v>17707.400000000001</c:v>
                </c:pt>
                <c:pt idx="28">
                  <c:v>17637</c:v>
                </c:pt>
                <c:pt idx="29">
                  <c:v>17654.5</c:v>
                </c:pt>
                <c:pt idx="30">
                  <c:v>17723.7</c:v>
                </c:pt>
                <c:pt idx="31">
                  <c:v>17899.900000000001</c:v>
                </c:pt>
                <c:pt idx="32">
                  <c:v>18060.150000000001</c:v>
                </c:pt>
                <c:pt idx="33">
                  <c:v>18048.650000000001</c:v>
                </c:pt>
                <c:pt idx="34">
                  <c:v>17959.2</c:v>
                </c:pt>
                <c:pt idx="35">
                  <c:v>18017.150000000001</c:v>
                </c:pt>
                <c:pt idx="36">
                  <c:v>18064.75</c:v>
                </c:pt>
                <c:pt idx="37">
                  <c:v>18117.5</c:v>
                </c:pt>
                <c:pt idx="38">
                  <c:v>17969.400000000001</c:v>
                </c:pt>
                <c:pt idx="39">
                  <c:v>18259.349999999999</c:v>
                </c:pt>
                <c:pt idx="40">
                  <c:v>18282</c:v>
                </c:pt>
                <c:pt idx="41">
                  <c:v>18344.150000000001</c:v>
                </c:pt>
                <c:pt idx="42">
                  <c:v>18312.95</c:v>
                </c:pt>
                <c:pt idx="43">
                  <c:v>18209.8</c:v>
                </c:pt>
                <c:pt idx="44">
                  <c:v>18133.349999999999</c:v>
                </c:pt>
                <c:pt idx="45">
                  <c:v>18137.7</c:v>
                </c:pt>
                <c:pt idx="46">
                  <c:v>18246</c:v>
                </c:pt>
                <c:pt idx="47">
                  <c:v>18294.25</c:v>
                </c:pt>
                <c:pt idx="48">
                  <c:v>18445.099999999999</c:v>
                </c:pt>
                <c:pt idx="49">
                  <c:v>18365.599999999999</c:v>
                </c:pt>
                <c:pt idx="50">
                  <c:v>18552.150000000001</c:v>
                </c:pt>
                <c:pt idx="51">
                  <c:v>18616.55</c:v>
                </c:pt>
                <c:pt idx="52">
                  <c:v>18778.2</c:v>
                </c:pt>
                <c:pt idx="53">
                  <c:v>18639.2</c:v>
                </c:pt>
                <c:pt idx="54">
                  <c:v>18591.349999999999</c:v>
                </c:pt>
                <c:pt idx="55">
                  <c:v>18577.900000000001</c:v>
                </c:pt>
                <c:pt idx="56">
                  <c:v>18528.400000000001</c:v>
                </c:pt>
                <c:pt idx="57">
                  <c:v>18536.95</c:v>
                </c:pt>
                <c:pt idx="58">
                  <c:v>18410.099999999999</c:v>
                </c:pt>
                <c:pt idx="59">
                  <c:v>18345.7</c:v>
                </c:pt>
                <c:pt idx="60">
                  <c:v>18490.2</c:v>
                </c:pt>
                <c:pt idx="61">
                  <c:v>18632.900000000001</c:v>
                </c:pt>
                <c:pt idx="62">
                  <c:v>18387.7</c:v>
                </c:pt>
                <c:pt idx="63">
                  <c:v>18255.150000000001</c:v>
                </c:pt>
                <c:pt idx="64">
                  <c:v>18244.55</c:v>
                </c:pt>
                <c:pt idx="65">
                  <c:v>18202.650000000001</c:v>
                </c:pt>
                <c:pt idx="66">
                  <c:v>18162.75</c:v>
                </c:pt>
                <c:pt idx="67">
                  <c:v>18068.599999999999</c:v>
                </c:pt>
                <c:pt idx="68">
                  <c:v>17779.5</c:v>
                </c:pt>
                <c:pt idx="69">
                  <c:v>17774.25</c:v>
                </c:pt>
                <c:pt idx="70">
                  <c:v>17967.45</c:v>
                </c:pt>
                <c:pt idx="71">
                  <c:v>18068.349999999999</c:v>
                </c:pt>
                <c:pt idx="72">
                  <c:v>17992.8</c:v>
                </c:pt>
                <c:pt idx="73">
                  <c:v>18080.3</c:v>
                </c:pt>
                <c:pt idx="74">
                  <c:v>18086.5</c:v>
                </c:pt>
                <c:pt idx="75">
                  <c:v>18149.8</c:v>
                </c:pt>
                <c:pt idx="76">
                  <c:v>18020.599999999999</c:v>
                </c:pt>
                <c:pt idx="77">
                  <c:v>17892.599999999999</c:v>
                </c:pt>
                <c:pt idx="78">
                  <c:v>17795.55</c:v>
                </c:pt>
                <c:pt idx="79">
                  <c:v>17936.150000000001</c:v>
                </c:pt>
                <c:pt idx="80">
                  <c:v>17856</c:v>
                </c:pt>
                <c:pt idx="81">
                  <c:v>17824.349999999999</c:v>
                </c:pt>
                <c:pt idx="82">
                  <c:v>17761.650000000001</c:v>
                </c:pt>
                <c:pt idx="83">
                  <c:v>17774.25</c:v>
                </c:pt>
                <c:pt idx="84">
                  <c:v>17853.650000000001</c:v>
                </c:pt>
                <c:pt idx="85">
                  <c:v>17886.95</c:v>
                </c:pt>
                <c:pt idx="86">
                  <c:v>18032.45</c:v>
                </c:pt>
                <c:pt idx="87">
                  <c:v>18063.75</c:v>
                </c:pt>
                <c:pt idx="88">
                  <c:v>18016.2</c:v>
                </c:pt>
                <c:pt idx="89">
                  <c:v>18063.45</c:v>
                </c:pt>
                <c:pt idx="90">
                  <c:v>18078.650000000001</c:v>
                </c:pt>
                <c:pt idx="91">
                  <c:v>17846.150000000001</c:v>
                </c:pt>
                <c:pt idx="92">
                  <c:v>17493.55</c:v>
                </c:pt>
                <c:pt idx="93">
                  <c:v>17405.55</c:v>
                </c:pt>
                <c:pt idx="94">
                  <c:v>17537.55</c:v>
                </c:pt>
                <c:pt idx="95">
                  <c:v>17353.400000000001</c:v>
                </c:pt>
                <c:pt idx="96">
                  <c:v>17445.95</c:v>
                </c:pt>
                <c:pt idx="97">
                  <c:v>17584.2</c:v>
                </c:pt>
                <c:pt idx="98">
                  <c:v>17698.349999999999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Close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Sheet1!$A$1:$A$100</c:f>
              <c:strCache>
                <c:ptCount val="100"/>
                <c:pt idx="0">
                  <c:v>Date</c:v>
                </c:pt>
                <c:pt idx="1">
                  <c:v>14-Sep-22</c:v>
                </c:pt>
                <c:pt idx="2">
                  <c:v>15-Sep-22</c:v>
                </c:pt>
                <c:pt idx="3">
                  <c:v>16-Sep-22</c:v>
                </c:pt>
                <c:pt idx="4">
                  <c:v>19-Sep-22</c:v>
                </c:pt>
                <c:pt idx="5">
                  <c:v>20-Sep-22</c:v>
                </c:pt>
                <c:pt idx="6">
                  <c:v>21-Sep-22</c:v>
                </c:pt>
                <c:pt idx="7">
                  <c:v>22-Sep-22</c:v>
                </c:pt>
                <c:pt idx="8">
                  <c:v>23-Sep-22</c:v>
                </c:pt>
                <c:pt idx="9">
                  <c:v>26-Sep-22</c:v>
                </c:pt>
                <c:pt idx="10">
                  <c:v>27-Sep-22</c:v>
                </c:pt>
                <c:pt idx="11">
                  <c:v>28-Sep-22</c:v>
                </c:pt>
                <c:pt idx="12">
                  <c:v>29-Sep-22</c:v>
                </c:pt>
                <c:pt idx="13">
                  <c:v>30-Sep-22</c:v>
                </c:pt>
                <c:pt idx="14">
                  <c:v>3-Oct-22</c:v>
                </c:pt>
                <c:pt idx="15">
                  <c:v>4-Oct-22</c:v>
                </c:pt>
                <c:pt idx="16">
                  <c:v>6-Oct-22</c:v>
                </c:pt>
                <c:pt idx="17">
                  <c:v>7-Oct-22</c:v>
                </c:pt>
                <c:pt idx="18">
                  <c:v>10-Oct-22</c:v>
                </c:pt>
                <c:pt idx="19">
                  <c:v>11-Oct-22</c:v>
                </c:pt>
                <c:pt idx="20">
                  <c:v>12-Oct-22</c:v>
                </c:pt>
                <c:pt idx="21">
                  <c:v>13-Oct-22</c:v>
                </c:pt>
                <c:pt idx="22">
                  <c:v>14-Oct-22</c:v>
                </c:pt>
                <c:pt idx="23">
                  <c:v>17-Oct-22</c:v>
                </c:pt>
                <c:pt idx="24">
                  <c:v>18-Oct-22</c:v>
                </c:pt>
                <c:pt idx="25">
                  <c:v>19-Oct-22</c:v>
                </c:pt>
                <c:pt idx="26">
                  <c:v>20-Oct-22</c:v>
                </c:pt>
                <c:pt idx="27">
                  <c:v>21-Oct-22</c:v>
                </c:pt>
                <c:pt idx="28">
                  <c:v>24-Oct-22</c:v>
                </c:pt>
                <c:pt idx="29">
                  <c:v>25-Oct-22</c:v>
                </c:pt>
                <c:pt idx="30">
                  <c:v>27-Oct-22</c:v>
                </c:pt>
                <c:pt idx="31">
                  <c:v>28-Oct-22</c:v>
                </c:pt>
                <c:pt idx="32">
                  <c:v>31-Oct-22</c:v>
                </c:pt>
                <c:pt idx="33">
                  <c:v>1-Nov-22</c:v>
                </c:pt>
                <c:pt idx="34">
                  <c:v>2-Nov-22</c:v>
                </c:pt>
                <c:pt idx="35">
                  <c:v>3-Nov-22</c:v>
                </c:pt>
                <c:pt idx="36">
                  <c:v>4-Nov-22</c:v>
                </c:pt>
                <c:pt idx="37">
                  <c:v>7-Nov-22</c:v>
                </c:pt>
                <c:pt idx="38">
                  <c:v>9-Nov-22</c:v>
                </c:pt>
                <c:pt idx="39">
                  <c:v>10-Nov-22</c:v>
                </c:pt>
                <c:pt idx="40">
                  <c:v>11-Nov-22</c:v>
                </c:pt>
                <c:pt idx="41">
                  <c:v>15-Nov-22</c:v>
                </c:pt>
                <c:pt idx="42">
                  <c:v>16-Nov-22</c:v>
                </c:pt>
                <c:pt idx="43">
                  <c:v>17-Nov-22</c:v>
                </c:pt>
                <c:pt idx="44">
                  <c:v>18-Nov-22</c:v>
                </c:pt>
                <c:pt idx="45">
                  <c:v>21-Nov-22</c:v>
                </c:pt>
                <c:pt idx="46">
                  <c:v>22-Nov-22</c:v>
                </c:pt>
                <c:pt idx="47">
                  <c:v>23-Nov-22</c:v>
                </c:pt>
                <c:pt idx="48">
                  <c:v>24-Nov-22</c:v>
                </c:pt>
                <c:pt idx="49">
                  <c:v>25-Nov-22</c:v>
                </c:pt>
                <c:pt idx="50">
                  <c:v>28-Nov-22</c:v>
                </c:pt>
                <c:pt idx="51">
                  <c:v>29-Nov-22</c:v>
                </c:pt>
                <c:pt idx="52">
                  <c:v>30-Nov-22</c:v>
                </c:pt>
                <c:pt idx="53">
                  <c:v>1-Dec-22</c:v>
                </c:pt>
                <c:pt idx="54">
                  <c:v>2-Dec-22</c:v>
                </c:pt>
                <c:pt idx="55">
                  <c:v>5-Dec-22</c:v>
                </c:pt>
                <c:pt idx="56">
                  <c:v>6-Dec-22</c:v>
                </c:pt>
                <c:pt idx="57">
                  <c:v>7-Dec-22</c:v>
                </c:pt>
                <c:pt idx="58">
                  <c:v>8-Dec-22</c:v>
                </c:pt>
                <c:pt idx="59">
                  <c:v>9-Dec-22</c:v>
                </c:pt>
                <c:pt idx="60">
                  <c:v>12-Dec-22</c:v>
                </c:pt>
                <c:pt idx="61">
                  <c:v>13-Dec-22</c:v>
                </c:pt>
                <c:pt idx="62">
                  <c:v>14-Dec-22</c:v>
                </c:pt>
                <c:pt idx="63">
                  <c:v>15-Dec-22</c:v>
                </c:pt>
                <c:pt idx="64">
                  <c:v>16-Dec-22</c:v>
                </c:pt>
                <c:pt idx="65">
                  <c:v>19-Dec-22</c:v>
                </c:pt>
                <c:pt idx="66">
                  <c:v>20-Dec-22</c:v>
                </c:pt>
                <c:pt idx="67">
                  <c:v>21-Dec-22</c:v>
                </c:pt>
                <c:pt idx="68">
                  <c:v>22-Dec-22</c:v>
                </c:pt>
                <c:pt idx="69">
                  <c:v>23-Dec-22</c:v>
                </c:pt>
                <c:pt idx="70">
                  <c:v>26-Dec-22</c:v>
                </c:pt>
                <c:pt idx="71">
                  <c:v>27-Dec-22</c:v>
                </c:pt>
                <c:pt idx="72">
                  <c:v>28-Dec-22</c:v>
                </c:pt>
                <c:pt idx="73">
                  <c:v>29-Dec-22</c:v>
                </c:pt>
                <c:pt idx="74">
                  <c:v>30-Dec-22</c:v>
                </c:pt>
                <c:pt idx="75">
                  <c:v>2-Jan-23</c:v>
                </c:pt>
                <c:pt idx="76">
                  <c:v>3-Jan-23</c:v>
                </c:pt>
                <c:pt idx="77">
                  <c:v>4-Jan-23</c:v>
                </c:pt>
                <c:pt idx="78">
                  <c:v>5-Jan-23</c:v>
                </c:pt>
                <c:pt idx="79">
                  <c:v>6-Jan-23</c:v>
                </c:pt>
                <c:pt idx="80">
                  <c:v>9-Jan-23</c:v>
                </c:pt>
                <c:pt idx="81">
                  <c:v>10-Jan-23</c:v>
                </c:pt>
                <c:pt idx="82">
                  <c:v>11-Jan-23</c:v>
                </c:pt>
                <c:pt idx="83">
                  <c:v>12-Jan-23</c:v>
                </c:pt>
                <c:pt idx="84">
                  <c:v>13-Jan-23</c:v>
                </c:pt>
                <c:pt idx="85">
                  <c:v>16-Jan-23</c:v>
                </c:pt>
                <c:pt idx="86">
                  <c:v>17-Jan-23</c:v>
                </c:pt>
                <c:pt idx="87">
                  <c:v>18-Jan-23</c:v>
                </c:pt>
                <c:pt idx="88">
                  <c:v>19-Jan-23</c:v>
                </c:pt>
                <c:pt idx="89">
                  <c:v>20-Jan-23</c:v>
                </c:pt>
                <c:pt idx="90">
                  <c:v>23-Jan-23</c:v>
                </c:pt>
                <c:pt idx="91">
                  <c:v>24-Jan-23</c:v>
                </c:pt>
                <c:pt idx="92">
                  <c:v>25-Jan-23</c:v>
                </c:pt>
                <c:pt idx="93">
                  <c:v>27-Jan-23</c:v>
                </c:pt>
                <c:pt idx="94">
                  <c:v>30-Jan-23</c:v>
                </c:pt>
                <c:pt idx="95">
                  <c:v>31-Jan-23</c:v>
                </c:pt>
                <c:pt idx="96">
                  <c:v>1-Feb-23</c:v>
                </c:pt>
                <c:pt idx="97">
                  <c:v>2-Feb-23</c:v>
                </c:pt>
                <c:pt idx="98">
                  <c:v>3-Feb-23</c:v>
                </c:pt>
                <c:pt idx="99">
                  <c:v>6-Feb-23</c:v>
                </c:pt>
              </c:strCache>
            </c:strRef>
          </c:cat>
          <c:val>
            <c:numRef>
              <c:f>Sheet1!$E$2:$E$100</c:f>
              <c:numCache>
                <c:formatCode>General</c:formatCode>
                <c:ptCount val="99"/>
                <c:pt idx="0">
                  <c:v>18003.75</c:v>
                </c:pt>
                <c:pt idx="1">
                  <c:v>17877.400000000001</c:v>
                </c:pt>
                <c:pt idx="2">
                  <c:v>17530.849999999999</c:v>
                </c:pt>
                <c:pt idx="3">
                  <c:v>17622.25</c:v>
                </c:pt>
                <c:pt idx="4">
                  <c:v>17816.25</c:v>
                </c:pt>
                <c:pt idx="5">
                  <c:v>17718.349999999999</c:v>
                </c:pt>
                <c:pt idx="6">
                  <c:v>17629.8</c:v>
                </c:pt>
                <c:pt idx="7">
                  <c:v>17327.349999999999</c:v>
                </c:pt>
                <c:pt idx="8">
                  <c:v>17016.3</c:v>
                </c:pt>
                <c:pt idx="9">
                  <c:v>17007.400000000001</c:v>
                </c:pt>
                <c:pt idx="10">
                  <c:v>16858.599999999999</c:v>
                </c:pt>
                <c:pt idx="11">
                  <c:v>16818.099999999999</c:v>
                </c:pt>
                <c:pt idx="12">
                  <c:v>17094.349999999999</c:v>
                </c:pt>
                <c:pt idx="13">
                  <c:v>16887.349999999999</c:v>
                </c:pt>
                <c:pt idx="14">
                  <c:v>17274.3</c:v>
                </c:pt>
                <c:pt idx="15">
                  <c:v>17331.8</c:v>
                </c:pt>
                <c:pt idx="16">
                  <c:v>17314.650000000001</c:v>
                </c:pt>
                <c:pt idx="17">
                  <c:v>17241</c:v>
                </c:pt>
                <c:pt idx="18">
                  <c:v>16983.55</c:v>
                </c:pt>
                <c:pt idx="19">
                  <c:v>17123.599999999999</c:v>
                </c:pt>
                <c:pt idx="20">
                  <c:v>17014.349999999999</c:v>
                </c:pt>
                <c:pt idx="21">
                  <c:v>17185.7</c:v>
                </c:pt>
                <c:pt idx="22">
                  <c:v>17311.8</c:v>
                </c:pt>
                <c:pt idx="23">
                  <c:v>17486.95</c:v>
                </c:pt>
                <c:pt idx="24">
                  <c:v>17512.25</c:v>
                </c:pt>
                <c:pt idx="25">
                  <c:v>17563.95</c:v>
                </c:pt>
                <c:pt idx="26">
                  <c:v>17576.3</c:v>
                </c:pt>
                <c:pt idx="27">
                  <c:v>17730.75</c:v>
                </c:pt>
                <c:pt idx="28">
                  <c:v>17656.349999999999</c:v>
                </c:pt>
                <c:pt idx="29">
                  <c:v>17736.95</c:v>
                </c:pt>
                <c:pt idx="30">
                  <c:v>17786.8</c:v>
                </c:pt>
                <c:pt idx="31">
                  <c:v>18012.2</c:v>
                </c:pt>
                <c:pt idx="32">
                  <c:v>18145.400000000001</c:v>
                </c:pt>
                <c:pt idx="33">
                  <c:v>18082.849999999999</c:v>
                </c:pt>
                <c:pt idx="34">
                  <c:v>18052.7</c:v>
                </c:pt>
                <c:pt idx="35">
                  <c:v>18117.150000000001</c:v>
                </c:pt>
                <c:pt idx="36">
                  <c:v>18202.8</c:v>
                </c:pt>
                <c:pt idx="37">
                  <c:v>18157</c:v>
                </c:pt>
                <c:pt idx="38">
                  <c:v>18028.2</c:v>
                </c:pt>
                <c:pt idx="39">
                  <c:v>18349.7</c:v>
                </c:pt>
                <c:pt idx="40">
                  <c:v>18403.400000000001</c:v>
                </c:pt>
                <c:pt idx="41">
                  <c:v>18409.650000000001</c:v>
                </c:pt>
                <c:pt idx="42">
                  <c:v>18343.900000000001</c:v>
                </c:pt>
                <c:pt idx="43">
                  <c:v>18307.650000000001</c:v>
                </c:pt>
                <c:pt idx="44">
                  <c:v>18159.95</c:v>
                </c:pt>
                <c:pt idx="45">
                  <c:v>18244.2</c:v>
                </c:pt>
                <c:pt idx="46">
                  <c:v>18267.25</c:v>
                </c:pt>
                <c:pt idx="47">
                  <c:v>18484.099999999999</c:v>
                </c:pt>
                <c:pt idx="48">
                  <c:v>18512.75</c:v>
                </c:pt>
                <c:pt idx="49">
                  <c:v>18562.75</c:v>
                </c:pt>
                <c:pt idx="50">
                  <c:v>18618.05</c:v>
                </c:pt>
                <c:pt idx="51">
                  <c:v>18758.349999999999</c:v>
                </c:pt>
                <c:pt idx="52">
                  <c:v>18812.5</c:v>
                </c:pt>
                <c:pt idx="53">
                  <c:v>18696.099999999999</c:v>
                </c:pt>
                <c:pt idx="54">
                  <c:v>18701.05</c:v>
                </c:pt>
                <c:pt idx="55">
                  <c:v>18642.75</c:v>
                </c:pt>
                <c:pt idx="56">
                  <c:v>18560.5</c:v>
                </c:pt>
                <c:pt idx="57">
                  <c:v>18609.349999999999</c:v>
                </c:pt>
                <c:pt idx="58">
                  <c:v>18496.599999999999</c:v>
                </c:pt>
                <c:pt idx="59">
                  <c:v>18497.150000000001</c:v>
                </c:pt>
                <c:pt idx="60">
                  <c:v>18608</c:v>
                </c:pt>
                <c:pt idx="61">
                  <c:v>18660.3</c:v>
                </c:pt>
                <c:pt idx="62">
                  <c:v>18414.900000000001</c:v>
                </c:pt>
                <c:pt idx="63">
                  <c:v>18269</c:v>
                </c:pt>
                <c:pt idx="64">
                  <c:v>18420.45</c:v>
                </c:pt>
                <c:pt idx="65">
                  <c:v>18385.3</c:v>
                </c:pt>
                <c:pt idx="66">
                  <c:v>18199.099999999999</c:v>
                </c:pt>
                <c:pt idx="67">
                  <c:v>18127.349999999999</c:v>
                </c:pt>
                <c:pt idx="68">
                  <c:v>17806.8</c:v>
                </c:pt>
                <c:pt idx="69">
                  <c:v>18014.599999999999</c:v>
                </c:pt>
                <c:pt idx="70">
                  <c:v>18132.3</c:v>
                </c:pt>
                <c:pt idx="71">
                  <c:v>18122.5</c:v>
                </c:pt>
                <c:pt idx="72">
                  <c:v>18191</c:v>
                </c:pt>
                <c:pt idx="73">
                  <c:v>18105.3</c:v>
                </c:pt>
                <c:pt idx="74">
                  <c:v>18197.45</c:v>
                </c:pt>
                <c:pt idx="75">
                  <c:v>18232.55</c:v>
                </c:pt>
                <c:pt idx="76">
                  <c:v>18042.95</c:v>
                </c:pt>
                <c:pt idx="77">
                  <c:v>17992.150000000001</c:v>
                </c:pt>
                <c:pt idx="78">
                  <c:v>17859.45</c:v>
                </c:pt>
                <c:pt idx="79">
                  <c:v>18101.2</c:v>
                </c:pt>
                <c:pt idx="80">
                  <c:v>17914.150000000001</c:v>
                </c:pt>
                <c:pt idx="81">
                  <c:v>17895.7</c:v>
                </c:pt>
                <c:pt idx="82">
                  <c:v>17858.2</c:v>
                </c:pt>
                <c:pt idx="83">
                  <c:v>17956.599999999999</c:v>
                </c:pt>
                <c:pt idx="84">
                  <c:v>17894.849999999999</c:v>
                </c:pt>
                <c:pt idx="85">
                  <c:v>18053.3</c:v>
                </c:pt>
                <c:pt idx="86">
                  <c:v>18165.349999999999</c:v>
                </c:pt>
                <c:pt idx="87">
                  <c:v>18107.849999999999</c:v>
                </c:pt>
                <c:pt idx="88">
                  <c:v>18027.650000000001</c:v>
                </c:pt>
                <c:pt idx="89">
                  <c:v>18118.55</c:v>
                </c:pt>
                <c:pt idx="90">
                  <c:v>18118.3</c:v>
                </c:pt>
                <c:pt idx="91">
                  <c:v>17891.95</c:v>
                </c:pt>
                <c:pt idx="92">
                  <c:v>17604.349999999999</c:v>
                </c:pt>
                <c:pt idx="93">
                  <c:v>17648.95</c:v>
                </c:pt>
                <c:pt idx="94">
                  <c:v>17662.150000000001</c:v>
                </c:pt>
                <c:pt idx="95">
                  <c:v>17616.3</c:v>
                </c:pt>
                <c:pt idx="96">
                  <c:v>17610.400000000001</c:v>
                </c:pt>
                <c:pt idx="97">
                  <c:v>17854.05</c:v>
                </c:pt>
                <c:pt idx="98">
                  <c:v>17764.599999999999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Sheet1!$G$1</c:f>
              <c:strCache>
                <c:ptCount val="1"/>
                <c:pt idx="0">
                  <c:v>SMA 20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Sheet1!$A$1:$A$100</c:f>
              <c:strCache>
                <c:ptCount val="100"/>
                <c:pt idx="0">
                  <c:v>Date</c:v>
                </c:pt>
                <c:pt idx="1">
                  <c:v>14-Sep-22</c:v>
                </c:pt>
                <c:pt idx="2">
                  <c:v>15-Sep-22</c:v>
                </c:pt>
                <c:pt idx="3">
                  <c:v>16-Sep-22</c:v>
                </c:pt>
                <c:pt idx="4">
                  <c:v>19-Sep-22</c:v>
                </c:pt>
                <c:pt idx="5">
                  <c:v>20-Sep-22</c:v>
                </c:pt>
                <c:pt idx="6">
                  <c:v>21-Sep-22</c:v>
                </c:pt>
                <c:pt idx="7">
                  <c:v>22-Sep-22</c:v>
                </c:pt>
                <c:pt idx="8">
                  <c:v>23-Sep-22</c:v>
                </c:pt>
                <c:pt idx="9">
                  <c:v>26-Sep-22</c:v>
                </c:pt>
                <c:pt idx="10">
                  <c:v>27-Sep-22</c:v>
                </c:pt>
                <c:pt idx="11">
                  <c:v>28-Sep-22</c:v>
                </c:pt>
                <c:pt idx="12">
                  <c:v>29-Sep-22</c:v>
                </c:pt>
                <c:pt idx="13">
                  <c:v>30-Sep-22</c:v>
                </c:pt>
                <c:pt idx="14">
                  <c:v>3-Oct-22</c:v>
                </c:pt>
                <c:pt idx="15">
                  <c:v>4-Oct-22</c:v>
                </c:pt>
                <c:pt idx="16">
                  <c:v>6-Oct-22</c:v>
                </c:pt>
                <c:pt idx="17">
                  <c:v>7-Oct-22</c:v>
                </c:pt>
                <c:pt idx="18">
                  <c:v>10-Oct-22</c:v>
                </c:pt>
                <c:pt idx="19">
                  <c:v>11-Oct-22</c:v>
                </c:pt>
                <c:pt idx="20">
                  <c:v>12-Oct-22</c:v>
                </c:pt>
                <c:pt idx="21">
                  <c:v>13-Oct-22</c:v>
                </c:pt>
                <c:pt idx="22">
                  <c:v>14-Oct-22</c:v>
                </c:pt>
                <c:pt idx="23">
                  <c:v>17-Oct-22</c:v>
                </c:pt>
                <c:pt idx="24">
                  <c:v>18-Oct-22</c:v>
                </c:pt>
                <c:pt idx="25">
                  <c:v>19-Oct-22</c:v>
                </c:pt>
                <c:pt idx="26">
                  <c:v>20-Oct-22</c:v>
                </c:pt>
                <c:pt idx="27">
                  <c:v>21-Oct-22</c:v>
                </c:pt>
                <c:pt idx="28">
                  <c:v>24-Oct-22</c:v>
                </c:pt>
                <c:pt idx="29">
                  <c:v>25-Oct-22</c:v>
                </c:pt>
                <c:pt idx="30">
                  <c:v>27-Oct-22</c:v>
                </c:pt>
                <c:pt idx="31">
                  <c:v>28-Oct-22</c:v>
                </c:pt>
                <c:pt idx="32">
                  <c:v>31-Oct-22</c:v>
                </c:pt>
                <c:pt idx="33">
                  <c:v>1-Nov-22</c:v>
                </c:pt>
                <c:pt idx="34">
                  <c:v>2-Nov-22</c:v>
                </c:pt>
                <c:pt idx="35">
                  <c:v>3-Nov-22</c:v>
                </c:pt>
                <c:pt idx="36">
                  <c:v>4-Nov-22</c:v>
                </c:pt>
                <c:pt idx="37">
                  <c:v>7-Nov-22</c:v>
                </c:pt>
                <c:pt idx="38">
                  <c:v>9-Nov-22</c:v>
                </c:pt>
                <c:pt idx="39">
                  <c:v>10-Nov-22</c:v>
                </c:pt>
                <c:pt idx="40">
                  <c:v>11-Nov-22</c:v>
                </c:pt>
                <c:pt idx="41">
                  <c:v>15-Nov-22</c:v>
                </c:pt>
                <c:pt idx="42">
                  <c:v>16-Nov-22</c:v>
                </c:pt>
                <c:pt idx="43">
                  <c:v>17-Nov-22</c:v>
                </c:pt>
                <c:pt idx="44">
                  <c:v>18-Nov-22</c:v>
                </c:pt>
                <c:pt idx="45">
                  <c:v>21-Nov-22</c:v>
                </c:pt>
                <c:pt idx="46">
                  <c:v>22-Nov-22</c:v>
                </c:pt>
                <c:pt idx="47">
                  <c:v>23-Nov-22</c:v>
                </c:pt>
                <c:pt idx="48">
                  <c:v>24-Nov-22</c:v>
                </c:pt>
                <c:pt idx="49">
                  <c:v>25-Nov-22</c:v>
                </c:pt>
                <c:pt idx="50">
                  <c:v>28-Nov-22</c:v>
                </c:pt>
                <c:pt idx="51">
                  <c:v>29-Nov-22</c:v>
                </c:pt>
                <c:pt idx="52">
                  <c:v>30-Nov-22</c:v>
                </c:pt>
                <c:pt idx="53">
                  <c:v>1-Dec-22</c:v>
                </c:pt>
                <c:pt idx="54">
                  <c:v>2-Dec-22</c:v>
                </c:pt>
                <c:pt idx="55">
                  <c:v>5-Dec-22</c:v>
                </c:pt>
                <c:pt idx="56">
                  <c:v>6-Dec-22</c:v>
                </c:pt>
                <c:pt idx="57">
                  <c:v>7-Dec-22</c:v>
                </c:pt>
                <c:pt idx="58">
                  <c:v>8-Dec-22</c:v>
                </c:pt>
                <c:pt idx="59">
                  <c:v>9-Dec-22</c:v>
                </c:pt>
                <c:pt idx="60">
                  <c:v>12-Dec-22</c:v>
                </c:pt>
                <c:pt idx="61">
                  <c:v>13-Dec-22</c:v>
                </c:pt>
                <c:pt idx="62">
                  <c:v>14-Dec-22</c:v>
                </c:pt>
                <c:pt idx="63">
                  <c:v>15-Dec-22</c:v>
                </c:pt>
                <c:pt idx="64">
                  <c:v>16-Dec-22</c:v>
                </c:pt>
                <c:pt idx="65">
                  <c:v>19-Dec-22</c:v>
                </c:pt>
                <c:pt idx="66">
                  <c:v>20-Dec-22</c:v>
                </c:pt>
                <c:pt idx="67">
                  <c:v>21-Dec-22</c:v>
                </c:pt>
                <c:pt idx="68">
                  <c:v>22-Dec-22</c:v>
                </c:pt>
                <c:pt idx="69">
                  <c:v>23-Dec-22</c:v>
                </c:pt>
                <c:pt idx="70">
                  <c:v>26-Dec-22</c:v>
                </c:pt>
                <c:pt idx="71">
                  <c:v>27-Dec-22</c:v>
                </c:pt>
                <c:pt idx="72">
                  <c:v>28-Dec-22</c:v>
                </c:pt>
                <c:pt idx="73">
                  <c:v>29-Dec-22</c:v>
                </c:pt>
                <c:pt idx="74">
                  <c:v>30-Dec-22</c:v>
                </c:pt>
                <c:pt idx="75">
                  <c:v>2-Jan-23</c:v>
                </c:pt>
                <c:pt idx="76">
                  <c:v>3-Jan-23</c:v>
                </c:pt>
                <c:pt idx="77">
                  <c:v>4-Jan-23</c:v>
                </c:pt>
                <c:pt idx="78">
                  <c:v>5-Jan-23</c:v>
                </c:pt>
                <c:pt idx="79">
                  <c:v>6-Jan-23</c:v>
                </c:pt>
                <c:pt idx="80">
                  <c:v>9-Jan-23</c:v>
                </c:pt>
                <c:pt idx="81">
                  <c:v>10-Jan-23</c:v>
                </c:pt>
                <c:pt idx="82">
                  <c:v>11-Jan-23</c:v>
                </c:pt>
                <c:pt idx="83">
                  <c:v>12-Jan-23</c:v>
                </c:pt>
                <c:pt idx="84">
                  <c:v>13-Jan-23</c:v>
                </c:pt>
                <c:pt idx="85">
                  <c:v>16-Jan-23</c:v>
                </c:pt>
                <c:pt idx="86">
                  <c:v>17-Jan-23</c:v>
                </c:pt>
                <c:pt idx="87">
                  <c:v>18-Jan-23</c:v>
                </c:pt>
                <c:pt idx="88">
                  <c:v>19-Jan-23</c:v>
                </c:pt>
                <c:pt idx="89">
                  <c:v>20-Jan-23</c:v>
                </c:pt>
                <c:pt idx="90">
                  <c:v>23-Jan-23</c:v>
                </c:pt>
                <c:pt idx="91">
                  <c:v>24-Jan-23</c:v>
                </c:pt>
                <c:pt idx="92">
                  <c:v>25-Jan-23</c:v>
                </c:pt>
                <c:pt idx="93">
                  <c:v>27-Jan-23</c:v>
                </c:pt>
                <c:pt idx="94">
                  <c:v>30-Jan-23</c:v>
                </c:pt>
                <c:pt idx="95">
                  <c:v>31-Jan-23</c:v>
                </c:pt>
                <c:pt idx="96">
                  <c:v>1-Feb-23</c:v>
                </c:pt>
                <c:pt idx="97">
                  <c:v>2-Feb-23</c:v>
                </c:pt>
                <c:pt idx="98">
                  <c:v>3-Feb-23</c:v>
                </c:pt>
                <c:pt idx="99">
                  <c:v>6-Feb-23</c:v>
                </c:pt>
              </c:strCache>
            </c:strRef>
          </c:cat>
          <c:val>
            <c:numRef>
              <c:f>Sheet1!$G$2:$G$100</c:f>
              <c:numCache>
                <c:formatCode>General</c:formatCode>
                <c:ptCount val="99"/>
                <c:pt idx="19">
                  <c:v>17323.849999999999</c:v>
                </c:pt>
                <c:pt idx="20">
                  <c:v>17274.379999999997</c:v>
                </c:pt>
                <c:pt idx="21">
                  <c:v>17239.794999999998</c:v>
                </c:pt>
                <c:pt idx="22">
                  <c:v>17228.842499999999</c:v>
                </c:pt>
                <c:pt idx="23">
                  <c:v>17222.077499999999</c:v>
                </c:pt>
                <c:pt idx="24">
                  <c:v>17206.877499999999</c:v>
                </c:pt>
                <c:pt idx="25">
                  <c:v>17199.157500000001</c:v>
                </c:pt>
                <c:pt idx="26">
                  <c:v>17196.482500000002</c:v>
                </c:pt>
                <c:pt idx="27">
                  <c:v>17216.6525</c:v>
                </c:pt>
                <c:pt idx="28">
                  <c:v>17248.654999999999</c:v>
                </c:pt>
                <c:pt idx="29">
                  <c:v>17285.1325</c:v>
                </c:pt>
                <c:pt idx="30">
                  <c:v>17331.5425</c:v>
                </c:pt>
                <c:pt idx="31">
                  <c:v>17391.247500000001</c:v>
                </c:pt>
                <c:pt idx="32">
                  <c:v>17443.800000000003</c:v>
                </c:pt>
                <c:pt idx="33">
                  <c:v>17503.575000000001</c:v>
                </c:pt>
                <c:pt idx="34">
                  <c:v>17542.495000000003</c:v>
                </c:pt>
                <c:pt idx="35">
                  <c:v>17581.762500000004</c:v>
                </c:pt>
                <c:pt idx="36">
                  <c:v>17626.170000000002</c:v>
                </c:pt>
                <c:pt idx="37">
                  <c:v>17671.97</c:v>
                </c:pt>
                <c:pt idx="38">
                  <c:v>17724.202500000003</c:v>
                </c:pt>
                <c:pt idx="39">
                  <c:v>17785.5075</c:v>
                </c:pt>
                <c:pt idx="40">
                  <c:v>17854.960000000003</c:v>
                </c:pt>
                <c:pt idx="41">
                  <c:v>17916.157500000005</c:v>
                </c:pt>
                <c:pt idx="42">
                  <c:v>17967.762500000004</c:v>
                </c:pt>
                <c:pt idx="43">
                  <c:v>18008.797500000008</c:v>
                </c:pt>
                <c:pt idx="44">
                  <c:v>18041.182500000006</c:v>
                </c:pt>
                <c:pt idx="45">
                  <c:v>18075.195000000007</c:v>
                </c:pt>
                <c:pt idx="46">
                  <c:v>18109.742500000004</c:v>
                </c:pt>
                <c:pt idx="47">
                  <c:v>18147.410000000003</c:v>
                </c:pt>
                <c:pt idx="48">
                  <c:v>18190.230000000003</c:v>
                </c:pt>
                <c:pt idx="49">
                  <c:v>18231.52</c:v>
                </c:pt>
                <c:pt idx="50">
                  <c:v>18273.082499999997</c:v>
                </c:pt>
                <c:pt idx="51">
                  <c:v>18310.39</c:v>
                </c:pt>
                <c:pt idx="52">
                  <c:v>18343.744999999999</c:v>
                </c:pt>
                <c:pt idx="53">
                  <c:v>18374.407499999998</c:v>
                </c:pt>
                <c:pt idx="54">
                  <c:v>18406.824999999997</c:v>
                </c:pt>
                <c:pt idx="55">
                  <c:v>18433.105</c:v>
                </c:pt>
                <c:pt idx="56">
                  <c:v>18450.989999999998</c:v>
                </c:pt>
                <c:pt idx="57">
                  <c:v>18473.607499999998</c:v>
                </c:pt>
                <c:pt idx="58">
                  <c:v>18497.027499999997</c:v>
                </c:pt>
                <c:pt idx="59">
                  <c:v>18504.400000000001</c:v>
                </c:pt>
                <c:pt idx="60">
                  <c:v>18514.629999999997</c:v>
                </c:pt>
                <c:pt idx="61">
                  <c:v>18527.162499999999</c:v>
                </c:pt>
                <c:pt idx="62">
                  <c:v>18530.712500000001</c:v>
                </c:pt>
                <c:pt idx="63">
                  <c:v>18528.780000000002</c:v>
                </c:pt>
                <c:pt idx="64">
                  <c:v>18541.805</c:v>
                </c:pt>
                <c:pt idx="65">
                  <c:v>18548.86</c:v>
                </c:pt>
                <c:pt idx="66">
                  <c:v>18545.452499999999</c:v>
                </c:pt>
                <c:pt idx="67">
                  <c:v>18527.614999999998</c:v>
                </c:pt>
                <c:pt idx="68">
                  <c:v>18492.317499999997</c:v>
                </c:pt>
                <c:pt idx="69">
                  <c:v>18464.909999999996</c:v>
                </c:pt>
                <c:pt idx="70">
                  <c:v>18440.622499999994</c:v>
                </c:pt>
                <c:pt idx="71">
                  <c:v>18408.829999999994</c:v>
                </c:pt>
                <c:pt idx="72">
                  <c:v>18377.754999999997</c:v>
                </c:pt>
                <c:pt idx="73">
                  <c:v>18348.214999999997</c:v>
                </c:pt>
                <c:pt idx="74">
                  <c:v>18323.035</c:v>
                </c:pt>
                <c:pt idx="75">
                  <c:v>18302.525000000001</c:v>
                </c:pt>
                <c:pt idx="76">
                  <c:v>18276.647499999999</c:v>
                </c:pt>
                <c:pt idx="77">
                  <c:v>18245.787499999999</c:v>
                </c:pt>
                <c:pt idx="78">
                  <c:v>18213.93</c:v>
                </c:pt>
                <c:pt idx="79">
                  <c:v>18194.1325</c:v>
                </c:pt>
                <c:pt idx="80">
                  <c:v>18159.440000000002</c:v>
                </c:pt>
                <c:pt idx="81">
                  <c:v>18121.210000000003</c:v>
                </c:pt>
                <c:pt idx="82">
                  <c:v>18093.375000000004</c:v>
                </c:pt>
                <c:pt idx="83">
                  <c:v>18077.755000000001</c:v>
                </c:pt>
                <c:pt idx="84">
                  <c:v>18051.474999999999</c:v>
                </c:pt>
                <c:pt idx="85">
                  <c:v>18034.875</c:v>
                </c:pt>
                <c:pt idx="86">
                  <c:v>18033.187499999996</c:v>
                </c:pt>
                <c:pt idx="87">
                  <c:v>18032.212499999998</c:v>
                </c:pt>
                <c:pt idx="88">
                  <c:v>18043.254999999997</c:v>
                </c:pt>
                <c:pt idx="89">
                  <c:v>18048.452499999999</c:v>
                </c:pt>
                <c:pt idx="90">
                  <c:v>18047.752499999999</c:v>
                </c:pt>
                <c:pt idx="91">
                  <c:v>18036.224999999999</c:v>
                </c:pt>
                <c:pt idx="92">
                  <c:v>18006.892499999998</c:v>
                </c:pt>
                <c:pt idx="93">
                  <c:v>17984.075000000001</c:v>
                </c:pt>
                <c:pt idx="94">
                  <c:v>17957.310000000001</c:v>
                </c:pt>
                <c:pt idx="95">
                  <c:v>17926.497500000001</c:v>
                </c:pt>
                <c:pt idx="96">
                  <c:v>17904.870000000003</c:v>
                </c:pt>
                <c:pt idx="97">
                  <c:v>17897.965</c:v>
                </c:pt>
                <c:pt idx="98">
                  <c:v>17893.2225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Sheet1!$H$1</c:f>
              <c:strCache>
                <c:ptCount val="1"/>
                <c:pt idx="0">
                  <c:v>Upper Band</c:v>
                </c:pt>
              </c:strCache>
            </c:strRef>
          </c:tx>
          <c:spPr>
            <a:ln w="254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Sheet1!$A$1:$A$100</c:f>
              <c:strCache>
                <c:ptCount val="100"/>
                <c:pt idx="0">
                  <c:v>Date</c:v>
                </c:pt>
                <c:pt idx="1">
                  <c:v>14-Sep-22</c:v>
                </c:pt>
                <c:pt idx="2">
                  <c:v>15-Sep-22</c:v>
                </c:pt>
                <c:pt idx="3">
                  <c:v>16-Sep-22</c:v>
                </c:pt>
                <c:pt idx="4">
                  <c:v>19-Sep-22</c:v>
                </c:pt>
                <c:pt idx="5">
                  <c:v>20-Sep-22</c:v>
                </c:pt>
                <c:pt idx="6">
                  <c:v>21-Sep-22</c:v>
                </c:pt>
                <c:pt idx="7">
                  <c:v>22-Sep-22</c:v>
                </c:pt>
                <c:pt idx="8">
                  <c:v>23-Sep-22</c:v>
                </c:pt>
                <c:pt idx="9">
                  <c:v>26-Sep-22</c:v>
                </c:pt>
                <c:pt idx="10">
                  <c:v>27-Sep-22</c:v>
                </c:pt>
                <c:pt idx="11">
                  <c:v>28-Sep-22</c:v>
                </c:pt>
                <c:pt idx="12">
                  <c:v>29-Sep-22</c:v>
                </c:pt>
                <c:pt idx="13">
                  <c:v>30-Sep-22</c:v>
                </c:pt>
                <c:pt idx="14">
                  <c:v>3-Oct-22</c:v>
                </c:pt>
                <c:pt idx="15">
                  <c:v>4-Oct-22</c:v>
                </c:pt>
                <c:pt idx="16">
                  <c:v>6-Oct-22</c:v>
                </c:pt>
                <c:pt idx="17">
                  <c:v>7-Oct-22</c:v>
                </c:pt>
                <c:pt idx="18">
                  <c:v>10-Oct-22</c:v>
                </c:pt>
                <c:pt idx="19">
                  <c:v>11-Oct-22</c:v>
                </c:pt>
                <c:pt idx="20">
                  <c:v>12-Oct-22</c:v>
                </c:pt>
                <c:pt idx="21">
                  <c:v>13-Oct-22</c:v>
                </c:pt>
                <c:pt idx="22">
                  <c:v>14-Oct-22</c:v>
                </c:pt>
                <c:pt idx="23">
                  <c:v>17-Oct-22</c:v>
                </c:pt>
                <c:pt idx="24">
                  <c:v>18-Oct-22</c:v>
                </c:pt>
                <c:pt idx="25">
                  <c:v>19-Oct-22</c:v>
                </c:pt>
                <c:pt idx="26">
                  <c:v>20-Oct-22</c:v>
                </c:pt>
                <c:pt idx="27">
                  <c:v>21-Oct-22</c:v>
                </c:pt>
                <c:pt idx="28">
                  <c:v>24-Oct-22</c:v>
                </c:pt>
                <c:pt idx="29">
                  <c:v>25-Oct-22</c:v>
                </c:pt>
                <c:pt idx="30">
                  <c:v>27-Oct-22</c:v>
                </c:pt>
                <c:pt idx="31">
                  <c:v>28-Oct-22</c:v>
                </c:pt>
                <c:pt idx="32">
                  <c:v>31-Oct-22</c:v>
                </c:pt>
                <c:pt idx="33">
                  <c:v>1-Nov-22</c:v>
                </c:pt>
                <c:pt idx="34">
                  <c:v>2-Nov-22</c:v>
                </c:pt>
                <c:pt idx="35">
                  <c:v>3-Nov-22</c:v>
                </c:pt>
                <c:pt idx="36">
                  <c:v>4-Nov-22</c:v>
                </c:pt>
                <c:pt idx="37">
                  <c:v>7-Nov-22</c:v>
                </c:pt>
                <c:pt idx="38">
                  <c:v>9-Nov-22</c:v>
                </c:pt>
                <c:pt idx="39">
                  <c:v>10-Nov-22</c:v>
                </c:pt>
                <c:pt idx="40">
                  <c:v>11-Nov-22</c:v>
                </c:pt>
                <c:pt idx="41">
                  <c:v>15-Nov-22</c:v>
                </c:pt>
                <c:pt idx="42">
                  <c:v>16-Nov-22</c:v>
                </c:pt>
                <c:pt idx="43">
                  <c:v>17-Nov-22</c:v>
                </c:pt>
                <c:pt idx="44">
                  <c:v>18-Nov-22</c:v>
                </c:pt>
                <c:pt idx="45">
                  <c:v>21-Nov-22</c:v>
                </c:pt>
                <c:pt idx="46">
                  <c:v>22-Nov-22</c:v>
                </c:pt>
                <c:pt idx="47">
                  <c:v>23-Nov-22</c:v>
                </c:pt>
                <c:pt idx="48">
                  <c:v>24-Nov-22</c:v>
                </c:pt>
                <c:pt idx="49">
                  <c:v>25-Nov-22</c:v>
                </c:pt>
                <c:pt idx="50">
                  <c:v>28-Nov-22</c:v>
                </c:pt>
                <c:pt idx="51">
                  <c:v>29-Nov-22</c:v>
                </c:pt>
                <c:pt idx="52">
                  <c:v>30-Nov-22</c:v>
                </c:pt>
                <c:pt idx="53">
                  <c:v>1-Dec-22</c:v>
                </c:pt>
                <c:pt idx="54">
                  <c:v>2-Dec-22</c:v>
                </c:pt>
                <c:pt idx="55">
                  <c:v>5-Dec-22</c:v>
                </c:pt>
                <c:pt idx="56">
                  <c:v>6-Dec-22</c:v>
                </c:pt>
                <c:pt idx="57">
                  <c:v>7-Dec-22</c:v>
                </c:pt>
                <c:pt idx="58">
                  <c:v>8-Dec-22</c:v>
                </c:pt>
                <c:pt idx="59">
                  <c:v>9-Dec-22</c:v>
                </c:pt>
                <c:pt idx="60">
                  <c:v>12-Dec-22</c:v>
                </c:pt>
                <c:pt idx="61">
                  <c:v>13-Dec-22</c:v>
                </c:pt>
                <c:pt idx="62">
                  <c:v>14-Dec-22</c:v>
                </c:pt>
                <c:pt idx="63">
                  <c:v>15-Dec-22</c:v>
                </c:pt>
                <c:pt idx="64">
                  <c:v>16-Dec-22</c:v>
                </c:pt>
                <c:pt idx="65">
                  <c:v>19-Dec-22</c:v>
                </c:pt>
                <c:pt idx="66">
                  <c:v>20-Dec-22</c:v>
                </c:pt>
                <c:pt idx="67">
                  <c:v>21-Dec-22</c:v>
                </c:pt>
                <c:pt idx="68">
                  <c:v>22-Dec-22</c:v>
                </c:pt>
                <c:pt idx="69">
                  <c:v>23-Dec-22</c:v>
                </c:pt>
                <c:pt idx="70">
                  <c:v>26-Dec-22</c:v>
                </c:pt>
                <c:pt idx="71">
                  <c:v>27-Dec-22</c:v>
                </c:pt>
                <c:pt idx="72">
                  <c:v>28-Dec-22</c:v>
                </c:pt>
                <c:pt idx="73">
                  <c:v>29-Dec-22</c:v>
                </c:pt>
                <c:pt idx="74">
                  <c:v>30-Dec-22</c:v>
                </c:pt>
                <c:pt idx="75">
                  <c:v>2-Jan-23</c:v>
                </c:pt>
                <c:pt idx="76">
                  <c:v>3-Jan-23</c:v>
                </c:pt>
                <c:pt idx="77">
                  <c:v>4-Jan-23</c:v>
                </c:pt>
                <c:pt idx="78">
                  <c:v>5-Jan-23</c:v>
                </c:pt>
                <c:pt idx="79">
                  <c:v>6-Jan-23</c:v>
                </c:pt>
                <c:pt idx="80">
                  <c:v>9-Jan-23</c:v>
                </c:pt>
                <c:pt idx="81">
                  <c:v>10-Jan-23</c:v>
                </c:pt>
                <c:pt idx="82">
                  <c:v>11-Jan-23</c:v>
                </c:pt>
                <c:pt idx="83">
                  <c:v>12-Jan-23</c:v>
                </c:pt>
                <c:pt idx="84">
                  <c:v>13-Jan-23</c:v>
                </c:pt>
                <c:pt idx="85">
                  <c:v>16-Jan-23</c:v>
                </c:pt>
                <c:pt idx="86">
                  <c:v>17-Jan-23</c:v>
                </c:pt>
                <c:pt idx="87">
                  <c:v>18-Jan-23</c:v>
                </c:pt>
                <c:pt idx="88">
                  <c:v>19-Jan-23</c:v>
                </c:pt>
                <c:pt idx="89">
                  <c:v>20-Jan-23</c:v>
                </c:pt>
                <c:pt idx="90">
                  <c:v>23-Jan-23</c:v>
                </c:pt>
                <c:pt idx="91">
                  <c:v>24-Jan-23</c:v>
                </c:pt>
                <c:pt idx="92">
                  <c:v>25-Jan-23</c:v>
                </c:pt>
                <c:pt idx="93">
                  <c:v>27-Jan-23</c:v>
                </c:pt>
                <c:pt idx="94">
                  <c:v>30-Jan-23</c:v>
                </c:pt>
                <c:pt idx="95">
                  <c:v>31-Jan-23</c:v>
                </c:pt>
                <c:pt idx="96">
                  <c:v>1-Feb-23</c:v>
                </c:pt>
                <c:pt idx="97">
                  <c:v>2-Feb-23</c:v>
                </c:pt>
                <c:pt idx="98">
                  <c:v>3-Feb-23</c:v>
                </c:pt>
                <c:pt idx="99">
                  <c:v>6-Feb-23</c:v>
                </c:pt>
              </c:strCache>
            </c:strRef>
          </c:cat>
          <c:val>
            <c:numRef>
              <c:f>Sheet1!$H$2:$H$100</c:f>
              <c:numCache>
                <c:formatCode>General</c:formatCode>
                <c:ptCount val="99"/>
                <c:pt idx="19">
                  <c:v>18026.391227971711</c:v>
                </c:pt>
                <c:pt idx="20">
                  <c:v>17915.067366349609</c:v>
                </c:pt>
                <c:pt idx="21">
                  <c:v>17818.191072687219</c:v>
                </c:pt>
                <c:pt idx="22">
                  <c:v>17792.896158152307</c:v>
                </c:pt>
                <c:pt idx="23">
                  <c:v>17770.113513848541</c:v>
                </c:pt>
                <c:pt idx="24">
                  <c:v>17702.509557553785</c:v>
                </c:pt>
                <c:pt idx="25">
                  <c:v>17666.695812093247</c:v>
                </c:pt>
                <c:pt idx="26">
                  <c:v>17654.65293911082</c:v>
                </c:pt>
                <c:pt idx="27">
                  <c:v>17728.468802470918</c:v>
                </c:pt>
                <c:pt idx="28">
                  <c:v>17785.774950197345</c:v>
                </c:pt>
                <c:pt idx="29">
                  <c:v>17850.128973683688</c:v>
                </c:pt>
                <c:pt idx="30">
                  <c:v>17901.238492854962</c:v>
                </c:pt>
                <c:pt idx="31">
                  <c:v>17983.049039770725</c:v>
                </c:pt>
                <c:pt idx="32">
                  <c:v>18103.573881720098</c:v>
                </c:pt>
                <c:pt idx="33">
                  <c:v>18167.471853810894</c:v>
                </c:pt>
                <c:pt idx="34">
                  <c:v>18238.551186597033</c:v>
                </c:pt>
                <c:pt idx="35">
                  <c:v>18313.536827149434</c:v>
                </c:pt>
                <c:pt idx="36">
                  <c:v>18394.592578663593</c:v>
                </c:pt>
                <c:pt idx="37">
                  <c:v>18452.205612747843</c:v>
                </c:pt>
                <c:pt idx="38">
                  <c:v>18451.148315363844</c:v>
                </c:pt>
                <c:pt idx="39">
                  <c:v>18506.286077841352</c:v>
                </c:pt>
                <c:pt idx="40">
                  <c:v>18531.4573093812</c:v>
                </c:pt>
                <c:pt idx="41">
                  <c:v>18560.06935986516</c:v>
                </c:pt>
                <c:pt idx="42">
                  <c:v>18573.991261174368</c:v>
                </c:pt>
                <c:pt idx="43">
                  <c:v>18589.870986294987</c:v>
                </c:pt>
                <c:pt idx="44">
                  <c:v>18578.498771180213</c:v>
                </c:pt>
                <c:pt idx="45">
                  <c:v>18571.958951892655</c:v>
                </c:pt>
                <c:pt idx="46">
                  <c:v>18556.506515197067</c:v>
                </c:pt>
                <c:pt idx="47">
                  <c:v>18586.98293774754</c:v>
                </c:pt>
                <c:pt idx="48">
                  <c:v>18595.639467575689</c:v>
                </c:pt>
                <c:pt idx="49">
                  <c:v>18611.255511112671</c:v>
                </c:pt>
                <c:pt idx="50">
                  <c:v>18630.31520465482</c:v>
                </c:pt>
                <c:pt idx="51">
                  <c:v>18704.766445290537</c:v>
                </c:pt>
                <c:pt idx="52">
                  <c:v>18786.532880254188</c:v>
                </c:pt>
                <c:pt idx="53">
                  <c:v>18825.537104742358</c:v>
                </c:pt>
                <c:pt idx="54">
                  <c:v>18853.987458732838</c:v>
                </c:pt>
                <c:pt idx="55">
                  <c:v>18870.759556585439</c:v>
                </c:pt>
                <c:pt idx="56">
                  <c:v>18878.65790457082</c:v>
                </c:pt>
                <c:pt idx="57">
                  <c:v>18884.196327508736</c:v>
                </c:pt>
                <c:pt idx="58">
                  <c:v>18853.141754804547</c:v>
                </c:pt>
                <c:pt idx="59">
                  <c:v>18854.055361749251</c:v>
                </c:pt>
                <c:pt idx="60">
                  <c:v>18863.838608714042</c:v>
                </c:pt>
                <c:pt idx="61">
                  <c:v>18878.386342976239</c:v>
                </c:pt>
                <c:pt idx="62">
                  <c:v>18875.837582940952</c:v>
                </c:pt>
                <c:pt idx="63">
                  <c:v>18879.270649518643</c:v>
                </c:pt>
                <c:pt idx="64">
                  <c:v>18853.742584942884</c:v>
                </c:pt>
                <c:pt idx="65">
                  <c:v>18839.189090171825</c:v>
                </c:pt>
                <c:pt idx="66">
                  <c:v>18850.165659340058</c:v>
                </c:pt>
                <c:pt idx="67">
                  <c:v>18882.278950945114</c:v>
                </c:pt>
                <c:pt idx="68">
                  <c:v>18966.314887413682</c:v>
                </c:pt>
                <c:pt idx="69">
                  <c:v>18980.971521138708</c:v>
                </c:pt>
                <c:pt idx="70">
                  <c:v>18971.08972186672</c:v>
                </c:pt>
                <c:pt idx="71">
                  <c:v>18935.520282234251</c:v>
                </c:pt>
                <c:pt idx="72">
                  <c:v>18878.194925365671</c:v>
                </c:pt>
                <c:pt idx="73">
                  <c:v>18839.669280783062</c:v>
                </c:pt>
                <c:pt idx="74">
                  <c:v>18790.623162916898</c:v>
                </c:pt>
                <c:pt idx="75">
                  <c:v>18747.665450307541</c:v>
                </c:pt>
                <c:pt idx="76">
                  <c:v>18718.956279559032</c:v>
                </c:pt>
                <c:pt idx="77">
                  <c:v>18676.922366225175</c:v>
                </c:pt>
                <c:pt idx="78">
                  <c:v>18660.12236031111</c:v>
                </c:pt>
                <c:pt idx="79">
                  <c:v>18623.106572963625</c:v>
                </c:pt>
                <c:pt idx="80">
                  <c:v>18560.22080742471</c:v>
                </c:pt>
                <c:pt idx="81">
                  <c:v>18465.475498707034</c:v>
                </c:pt>
                <c:pt idx="82">
                  <c:v>18428.044498909003</c:v>
                </c:pt>
                <c:pt idx="83">
                  <c:v>18407.300729603649</c:v>
                </c:pt>
                <c:pt idx="84">
                  <c:v>18349.871899280133</c:v>
                </c:pt>
                <c:pt idx="85">
                  <c:v>18291.100114889232</c:v>
                </c:pt>
                <c:pt idx="86">
                  <c:v>18285.478391383334</c:v>
                </c:pt>
                <c:pt idx="87">
                  <c:v>18283.187546319346</c:v>
                </c:pt>
                <c:pt idx="88">
                  <c:v>18272.040338035458</c:v>
                </c:pt>
                <c:pt idx="89">
                  <c:v>18279.113117520632</c:v>
                </c:pt>
                <c:pt idx="90">
                  <c:v>18277.474102107855</c:v>
                </c:pt>
                <c:pt idx="91">
                  <c:v>18272.821550059376</c:v>
                </c:pt>
                <c:pt idx="92">
                  <c:v>18298.523239592039</c:v>
                </c:pt>
                <c:pt idx="93">
                  <c:v>18310.65377227401</c:v>
                </c:pt>
                <c:pt idx="94">
                  <c:v>18297.029879606715</c:v>
                </c:pt>
                <c:pt idx="95">
                  <c:v>18272.500546915777</c:v>
                </c:pt>
                <c:pt idx="96">
                  <c:v>18272.454551362</c:v>
                </c:pt>
                <c:pt idx="97">
                  <c:v>18263.916719629789</c:v>
                </c:pt>
                <c:pt idx="98">
                  <c:v>18263.480868541483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Sheet1!$I$1</c:f>
              <c:strCache>
                <c:ptCount val="1"/>
                <c:pt idx="0">
                  <c:v>Lower Band</c:v>
                </c:pt>
              </c:strCache>
            </c:strRef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Sheet1!$A$1:$A$100</c:f>
              <c:strCache>
                <c:ptCount val="100"/>
                <c:pt idx="0">
                  <c:v>Date</c:v>
                </c:pt>
                <c:pt idx="1">
                  <c:v>14-Sep-22</c:v>
                </c:pt>
                <c:pt idx="2">
                  <c:v>15-Sep-22</c:v>
                </c:pt>
                <c:pt idx="3">
                  <c:v>16-Sep-22</c:v>
                </c:pt>
                <c:pt idx="4">
                  <c:v>19-Sep-22</c:v>
                </c:pt>
                <c:pt idx="5">
                  <c:v>20-Sep-22</c:v>
                </c:pt>
                <c:pt idx="6">
                  <c:v>21-Sep-22</c:v>
                </c:pt>
                <c:pt idx="7">
                  <c:v>22-Sep-22</c:v>
                </c:pt>
                <c:pt idx="8">
                  <c:v>23-Sep-22</c:v>
                </c:pt>
                <c:pt idx="9">
                  <c:v>26-Sep-22</c:v>
                </c:pt>
                <c:pt idx="10">
                  <c:v>27-Sep-22</c:v>
                </c:pt>
                <c:pt idx="11">
                  <c:v>28-Sep-22</c:v>
                </c:pt>
                <c:pt idx="12">
                  <c:v>29-Sep-22</c:v>
                </c:pt>
                <c:pt idx="13">
                  <c:v>30-Sep-22</c:v>
                </c:pt>
                <c:pt idx="14">
                  <c:v>3-Oct-22</c:v>
                </c:pt>
                <c:pt idx="15">
                  <c:v>4-Oct-22</c:v>
                </c:pt>
                <c:pt idx="16">
                  <c:v>6-Oct-22</c:v>
                </c:pt>
                <c:pt idx="17">
                  <c:v>7-Oct-22</c:v>
                </c:pt>
                <c:pt idx="18">
                  <c:v>10-Oct-22</c:v>
                </c:pt>
                <c:pt idx="19">
                  <c:v>11-Oct-22</c:v>
                </c:pt>
                <c:pt idx="20">
                  <c:v>12-Oct-22</c:v>
                </c:pt>
                <c:pt idx="21">
                  <c:v>13-Oct-22</c:v>
                </c:pt>
                <c:pt idx="22">
                  <c:v>14-Oct-22</c:v>
                </c:pt>
                <c:pt idx="23">
                  <c:v>17-Oct-22</c:v>
                </c:pt>
                <c:pt idx="24">
                  <c:v>18-Oct-22</c:v>
                </c:pt>
                <c:pt idx="25">
                  <c:v>19-Oct-22</c:v>
                </c:pt>
                <c:pt idx="26">
                  <c:v>20-Oct-22</c:v>
                </c:pt>
                <c:pt idx="27">
                  <c:v>21-Oct-22</c:v>
                </c:pt>
                <c:pt idx="28">
                  <c:v>24-Oct-22</c:v>
                </c:pt>
                <c:pt idx="29">
                  <c:v>25-Oct-22</c:v>
                </c:pt>
                <c:pt idx="30">
                  <c:v>27-Oct-22</c:v>
                </c:pt>
                <c:pt idx="31">
                  <c:v>28-Oct-22</c:v>
                </c:pt>
                <c:pt idx="32">
                  <c:v>31-Oct-22</c:v>
                </c:pt>
                <c:pt idx="33">
                  <c:v>1-Nov-22</c:v>
                </c:pt>
                <c:pt idx="34">
                  <c:v>2-Nov-22</c:v>
                </c:pt>
                <c:pt idx="35">
                  <c:v>3-Nov-22</c:v>
                </c:pt>
                <c:pt idx="36">
                  <c:v>4-Nov-22</c:v>
                </c:pt>
                <c:pt idx="37">
                  <c:v>7-Nov-22</c:v>
                </c:pt>
                <c:pt idx="38">
                  <c:v>9-Nov-22</c:v>
                </c:pt>
                <c:pt idx="39">
                  <c:v>10-Nov-22</c:v>
                </c:pt>
                <c:pt idx="40">
                  <c:v>11-Nov-22</c:v>
                </c:pt>
                <c:pt idx="41">
                  <c:v>15-Nov-22</c:v>
                </c:pt>
                <c:pt idx="42">
                  <c:v>16-Nov-22</c:v>
                </c:pt>
                <c:pt idx="43">
                  <c:v>17-Nov-22</c:v>
                </c:pt>
                <c:pt idx="44">
                  <c:v>18-Nov-22</c:v>
                </c:pt>
                <c:pt idx="45">
                  <c:v>21-Nov-22</c:v>
                </c:pt>
                <c:pt idx="46">
                  <c:v>22-Nov-22</c:v>
                </c:pt>
                <c:pt idx="47">
                  <c:v>23-Nov-22</c:v>
                </c:pt>
                <c:pt idx="48">
                  <c:v>24-Nov-22</c:v>
                </c:pt>
                <c:pt idx="49">
                  <c:v>25-Nov-22</c:v>
                </c:pt>
                <c:pt idx="50">
                  <c:v>28-Nov-22</c:v>
                </c:pt>
                <c:pt idx="51">
                  <c:v>29-Nov-22</c:v>
                </c:pt>
                <c:pt idx="52">
                  <c:v>30-Nov-22</c:v>
                </c:pt>
                <c:pt idx="53">
                  <c:v>1-Dec-22</c:v>
                </c:pt>
                <c:pt idx="54">
                  <c:v>2-Dec-22</c:v>
                </c:pt>
                <c:pt idx="55">
                  <c:v>5-Dec-22</c:v>
                </c:pt>
                <c:pt idx="56">
                  <c:v>6-Dec-22</c:v>
                </c:pt>
                <c:pt idx="57">
                  <c:v>7-Dec-22</c:v>
                </c:pt>
                <c:pt idx="58">
                  <c:v>8-Dec-22</c:v>
                </c:pt>
                <c:pt idx="59">
                  <c:v>9-Dec-22</c:v>
                </c:pt>
                <c:pt idx="60">
                  <c:v>12-Dec-22</c:v>
                </c:pt>
                <c:pt idx="61">
                  <c:v>13-Dec-22</c:v>
                </c:pt>
                <c:pt idx="62">
                  <c:v>14-Dec-22</c:v>
                </c:pt>
                <c:pt idx="63">
                  <c:v>15-Dec-22</c:v>
                </c:pt>
                <c:pt idx="64">
                  <c:v>16-Dec-22</c:v>
                </c:pt>
                <c:pt idx="65">
                  <c:v>19-Dec-22</c:v>
                </c:pt>
                <c:pt idx="66">
                  <c:v>20-Dec-22</c:v>
                </c:pt>
                <c:pt idx="67">
                  <c:v>21-Dec-22</c:v>
                </c:pt>
                <c:pt idx="68">
                  <c:v>22-Dec-22</c:v>
                </c:pt>
                <c:pt idx="69">
                  <c:v>23-Dec-22</c:v>
                </c:pt>
                <c:pt idx="70">
                  <c:v>26-Dec-22</c:v>
                </c:pt>
                <c:pt idx="71">
                  <c:v>27-Dec-22</c:v>
                </c:pt>
                <c:pt idx="72">
                  <c:v>28-Dec-22</c:v>
                </c:pt>
                <c:pt idx="73">
                  <c:v>29-Dec-22</c:v>
                </c:pt>
                <c:pt idx="74">
                  <c:v>30-Dec-22</c:v>
                </c:pt>
                <c:pt idx="75">
                  <c:v>2-Jan-23</c:v>
                </c:pt>
                <c:pt idx="76">
                  <c:v>3-Jan-23</c:v>
                </c:pt>
                <c:pt idx="77">
                  <c:v>4-Jan-23</c:v>
                </c:pt>
                <c:pt idx="78">
                  <c:v>5-Jan-23</c:v>
                </c:pt>
                <c:pt idx="79">
                  <c:v>6-Jan-23</c:v>
                </c:pt>
                <c:pt idx="80">
                  <c:v>9-Jan-23</c:v>
                </c:pt>
                <c:pt idx="81">
                  <c:v>10-Jan-23</c:v>
                </c:pt>
                <c:pt idx="82">
                  <c:v>11-Jan-23</c:v>
                </c:pt>
                <c:pt idx="83">
                  <c:v>12-Jan-23</c:v>
                </c:pt>
                <c:pt idx="84">
                  <c:v>13-Jan-23</c:v>
                </c:pt>
                <c:pt idx="85">
                  <c:v>16-Jan-23</c:v>
                </c:pt>
                <c:pt idx="86">
                  <c:v>17-Jan-23</c:v>
                </c:pt>
                <c:pt idx="87">
                  <c:v>18-Jan-23</c:v>
                </c:pt>
                <c:pt idx="88">
                  <c:v>19-Jan-23</c:v>
                </c:pt>
                <c:pt idx="89">
                  <c:v>20-Jan-23</c:v>
                </c:pt>
                <c:pt idx="90">
                  <c:v>23-Jan-23</c:v>
                </c:pt>
                <c:pt idx="91">
                  <c:v>24-Jan-23</c:v>
                </c:pt>
                <c:pt idx="92">
                  <c:v>25-Jan-23</c:v>
                </c:pt>
                <c:pt idx="93">
                  <c:v>27-Jan-23</c:v>
                </c:pt>
                <c:pt idx="94">
                  <c:v>30-Jan-23</c:v>
                </c:pt>
                <c:pt idx="95">
                  <c:v>31-Jan-23</c:v>
                </c:pt>
                <c:pt idx="96">
                  <c:v>1-Feb-23</c:v>
                </c:pt>
                <c:pt idx="97">
                  <c:v>2-Feb-23</c:v>
                </c:pt>
                <c:pt idx="98">
                  <c:v>3-Feb-23</c:v>
                </c:pt>
                <c:pt idx="99">
                  <c:v>6-Feb-23</c:v>
                </c:pt>
              </c:strCache>
            </c:strRef>
          </c:cat>
          <c:val>
            <c:numRef>
              <c:f>Sheet1!$I$2:$I$100</c:f>
              <c:numCache>
                <c:formatCode>0.00</c:formatCode>
                <c:ptCount val="99"/>
                <c:pt idx="19">
                  <c:v>16621.308772028286</c:v>
                </c:pt>
                <c:pt idx="20">
                  <c:v>16633.692633650386</c:v>
                </c:pt>
                <c:pt idx="21">
                  <c:v>16661.398927312777</c:v>
                </c:pt>
                <c:pt idx="22">
                  <c:v>16664.78884184769</c:v>
                </c:pt>
                <c:pt idx="23">
                  <c:v>16674.041486151458</c:v>
                </c:pt>
                <c:pt idx="24">
                  <c:v>16711.245442446212</c:v>
                </c:pt>
                <c:pt idx="25">
                  <c:v>16731.619187906756</c:v>
                </c:pt>
                <c:pt idx="26">
                  <c:v>16738.312060889184</c:v>
                </c:pt>
                <c:pt idx="27">
                  <c:v>16704.836197529083</c:v>
                </c:pt>
                <c:pt idx="28">
                  <c:v>16711.535049802653</c:v>
                </c:pt>
                <c:pt idx="29">
                  <c:v>16720.136026316311</c:v>
                </c:pt>
                <c:pt idx="30">
                  <c:v>16761.846507145037</c:v>
                </c:pt>
                <c:pt idx="31">
                  <c:v>16799.445960229277</c:v>
                </c:pt>
                <c:pt idx="32">
                  <c:v>16784.026118279908</c:v>
                </c:pt>
                <c:pt idx="33">
                  <c:v>16839.678146189108</c:v>
                </c:pt>
                <c:pt idx="34">
                  <c:v>16846.438813402972</c:v>
                </c:pt>
                <c:pt idx="35">
                  <c:v>16849.988172850575</c:v>
                </c:pt>
                <c:pt idx="36">
                  <c:v>16857.747421336411</c:v>
                </c:pt>
                <c:pt idx="37">
                  <c:v>16891.73438725216</c:v>
                </c:pt>
                <c:pt idx="38">
                  <c:v>16997.256684636162</c:v>
                </c:pt>
                <c:pt idx="39">
                  <c:v>17064.728922158647</c:v>
                </c:pt>
                <c:pt idx="40">
                  <c:v>17178.462690618806</c:v>
                </c:pt>
                <c:pt idx="41">
                  <c:v>17272.24564013485</c:v>
                </c:pt>
                <c:pt idx="42">
                  <c:v>17361.533738825641</c:v>
                </c:pt>
                <c:pt idx="43">
                  <c:v>17427.724013705028</c:v>
                </c:pt>
                <c:pt idx="44">
                  <c:v>17503.866228819799</c:v>
                </c:pt>
                <c:pt idx="45">
                  <c:v>17578.431048107359</c:v>
                </c:pt>
                <c:pt idx="46">
                  <c:v>17662.978484802941</c:v>
                </c:pt>
                <c:pt idx="47">
                  <c:v>17707.837062252467</c:v>
                </c:pt>
                <c:pt idx="48">
                  <c:v>17784.820532424317</c:v>
                </c:pt>
                <c:pt idx="49">
                  <c:v>17851.78448888733</c:v>
                </c:pt>
                <c:pt idx="50">
                  <c:v>17915.849795345173</c:v>
                </c:pt>
                <c:pt idx="51">
                  <c:v>17916.013554709461</c:v>
                </c:pt>
                <c:pt idx="52">
                  <c:v>17900.95711974581</c:v>
                </c:pt>
                <c:pt idx="53">
                  <c:v>17923.277895257637</c:v>
                </c:pt>
                <c:pt idx="54">
                  <c:v>17959.662541267156</c:v>
                </c:pt>
                <c:pt idx="55">
                  <c:v>17995.45044341456</c:v>
                </c:pt>
                <c:pt idx="56">
                  <c:v>18023.322095429176</c:v>
                </c:pt>
                <c:pt idx="57">
                  <c:v>18063.01867249126</c:v>
                </c:pt>
                <c:pt idx="58">
                  <c:v>18140.913245195447</c:v>
                </c:pt>
                <c:pt idx="59">
                  <c:v>18154.744638250751</c:v>
                </c:pt>
                <c:pt idx="60">
                  <c:v>18165.421391285952</c:v>
                </c:pt>
                <c:pt idx="61">
                  <c:v>18175.938657023758</c:v>
                </c:pt>
                <c:pt idx="62">
                  <c:v>18185.58741705905</c:v>
                </c:pt>
                <c:pt idx="63">
                  <c:v>18178.289350481362</c:v>
                </c:pt>
                <c:pt idx="64">
                  <c:v>18229.867415057117</c:v>
                </c:pt>
                <c:pt idx="65">
                  <c:v>18258.530909828176</c:v>
                </c:pt>
                <c:pt idx="66">
                  <c:v>18240.73934065994</c:v>
                </c:pt>
                <c:pt idx="67">
                  <c:v>18172.951049054882</c:v>
                </c:pt>
                <c:pt idx="68">
                  <c:v>18018.320112586312</c:v>
                </c:pt>
                <c:pt idx="69">
                  <c:v>17948.848478861284</c:v>
                </c:pt>
                <c:pt idx="70">
                  <c:v>17910.155278133268</c:v>
                </c:pt>
                <c:pt idx="71">
                  <c:v>17882.139717765738</c:v>
                </c:pt>
                <c:pt idx="72">
                  <c:v>17877.315074634324</c:v>
                </c:pt>
                <c:pt idx="73">
                  <c:v>17856.760719216931</c:v>
                </c:pt>
                <c:pt idx="74">
                  <c:v>17855.446837083102</c:v>
                </c:pt>
                <c:pt idx="75">
                  <c:v>17857.384549692462</c:v>
                </c:pt>
                <c:pt idx="76">
                  <c:v>17834.338720440966</c:v>
                </c:pt>
                <c:pt idx="77">
                  <c:v>17814.652633774822</c:v>
                </c:pt>
                <c:pt idx="78">
                  <c:v>17767.73763968889</c:v>
                </c:pt>
                <c:pt idx="79">
                  <c:v>17765.158427036375</c:v>
                </c:pt>
                <c:pt idx="80">
                  <c:v>17758.659192575295</c:v>
                </c:pt>
                <c:pt idx="81">
                  <c:v>17776.944501292972</c:v>
                </c:pt>
                <c:pt idx="82">
                  <c:v>17758.705501091004</c:v>
                </c:pt>
                <c:pt idx="83">
                  <c:v>17748.209270396354</c:v>
                </c:pt>
                <c:pt idx="84">
                  <c:v>17753.078100719864</c:v>
                </c:pt>
                <c:pt idx="85">
                  <c:v>17778.649885110768</c:v>
                </c:pt>
                <c:pt idx="86">
                  <c:v>17780.896608616658</c:v>
                </c:pt>
                <c:pt idx="87">
                  <c:v>17781.237453680649</c:v>
                </c:pt>
                <c:pt idx="88">
                  <c:v>17814.469661964536</c:v>
                </c:pt>
                <c:pt idx="89">
                  <c:v>17817.791882479367</c:v>
                </c:pt>
                <c:pt idx="90">
                  <c:v>17818.030897892142</c:v>
                </c:pt>
                <c:pt idx="91">
                  <c:v>17799.628449940621</c:v>
                </c:pt>
                <c:pt idx="92">
                  <c:v>17715.261760407957</c:v>
                </c:pt>
                <c:pt idx="93">
                  <c:v>17657.496227725991</c:v>
                </c:pt>
                <c:pt idx="94">
                  <c:v>17617.590120393288</c:v>
                </c:pt>
                <c:pt idx="95">
                  <c:v>17580.494453084226</c:v>
                </c:pt>
                <c:pt idx="96">
                  <c:v>17537.285448638006</c:v>
                </c:pt>
                <c:pt idx="97">
                  <c:v>17532.013280370211</c:v>
                </c:pt>
                <c:pt idx="98">
                  <c:v>17522.964131458517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358510344"/>
        <c:axId val="358507208"/>
      </c:stockChart>
      <c:catAx>
        <c:axId val="358510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07208"/>
        <c:crosses val="autoZero"/>
        <c:auto val="1"/>
        <c:lblAlgn val="ctr"/>
        <c:lblOffset val="100"/>
        <c:noMultiLvlLbl val="0"/>
      </c:catAx>
      <c:valAx>
        <c:axId val="358507208"/>
        <c:scaling>
          <c:orientation val="minMax"/>
          <c:max val="19200"/>
          <c:min val="16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10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</xdr:colOff>
      <xdr:row>3</xdr:row>
      <xdr:rowOff>0</xdr:rowOff>
    </xdr:from>
    <xdr:to>
      <xdr:col>19</xdr:col>
      <xdr:colOff>132522</xdr:colOff>
      <xdr:row>28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%20market/nse%20pgp%20gfm/ronak/Unprotected_RSI-ATR-MACD-EMA-HV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ata"/>
    </sheetNames>
    <sheetDataSet>
      <sheetData sheetId="0">
        <row r="9">
          <cell r="B9">
            <v>252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id="1" name="Table1" displayName="Table1" ref="A1:I249" totalsRowShown="0" headerRowDxfId="4" tableBorderDxfId="3">
  <autoFilter ref="A1:I249"/>
  <tableColumns count="9">
    <tableColumn id="1" name="Date" dataDxfId="2"/>
    <tableColumn id="2" name="Open"/>
    <tableColumn id="3" name="High"/>
    <tableColumn id="4" name="Low"/>
    <tableColumn id="5" name="Close"/>
    <tableColumn id="6" name="Std Dev (20)">
      <calculatedColumnFormula>E2-E1</calculatedColumnFormula>
    </tableColumn>
    <tableColumn id="7" name="SMA 20">
      <calculatedColumnFormula>IF(F2&gt;0,F2,0)</calculatedColumnFormula>
    </tableColumn>
    <tableColumn id="8" name="Upper Band" dataDxfId="1">
      <calculatedColumnFormula>G4+(F4*2)</calculatedColumnFormula>
    </tableColumn>
    <tableColumn id="9" name="Lower Band" dataDxfId="0">
      <calculatedColumnFormula>G2-(F2*2)</calculatedColumnFormula>
    </tableColumn>
  </tableColumns>
  <tableStyleInfo name="TableStyleLight8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9"/>
  <sheetViews>
    <sheetView tabSelected="1" zoomScale="85" zoomScaleNormal="85" workbookViewId="0">
      <pane ySplit="1" topLeftCell="A2" activePane="bottomLeft" state="frozen"/>
      <selection pane="bottomLeft" activeCell="U15" sqref="U15"/>
    </sheetView>
  </sheetViews>
  <sheetFormatPr defaultRowHeight="13.8" x14ac:dyDescent="0.25"/>
  <cols>
    <col min="1" max="5" width="12.59765625" customWidth="1"/>
    <col min="6" max="6" width="13.19921875" customWidth="1"/>
    <col min="9" max="9" width="11.8984375" customWidth="1"/>
  </cols>
  <sheetData>
    <row r="1" spans="1:9" ht="31.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44818</v>
      </c>
      <c r="B2">
        <v>17771.150000000001</v>
      </c>
      <c r="C2">
        <v>18091.55</v>
      </c>
      <c r="D2">
        <v>17771.150000000001</v>
      </c>
      <c r="E2">
        <v>18003.75</v>
      </c>
      <c r="I2" s="2"/>
    </row>
    <row r="3" spans="1:9" x14ac:dyDescent="0.25">
      <c r="A3" s="1">
        <v>44819</v>
      </c>
      <c r="B3">
        <v>18046.349999999999</v>
      </c>
      <c r="C3">
        <v>18096.150000000001</v>
      </c>
      <c r="D3">
        <v>17861.5</v>
      </c>
      <c r="E3">
        <v>17877.400000000001</v>
      </c>
      <c r="I3" s="2"/>
    </row>
    <row r="4" spans="1:9" x14ac:dyDescent="0.25">
      <c r="A4" s="1">
        <v>44820</v>
      </c>
      <c r="B4">
        <v>17796.8</v>
      </c>
      <c r="C4">
        <v>17820.05</v>
      </c>
      <c r="D4">
        <v>17497.25</v>
      </c>
      <c r="E4">
        <v>17530.849999999999</v>
      </c>
      <c r="I4" s="2"/>
    </row>
    <row r="5" spans="1:9" x14ac:dyDescent="0.25">
      <c r="A5" s="1">
        <v>44823</v>
      </c>
      <c r="B5">
        <v>17540.650000000001</v>
      </c>
      <c r="C5">
        <v>17667.2</v>
      </c>
      <c r="D5">
        <v>17429.7</v>
      </c>
      <c r="E5">
        <v>17622.25</v>
      </c>
      <c r="I5" s="2"/>
    </row>
    <row r="6" spans="1:9" x14ac:dyDescent="0.25">
      <c r="A6" s="1">
        <v>44824</v>
      </c>
      <c r="B6">
        <v>17770.400000000001</v>
      </c>
      <c r="C6">
        <v>17919.3</v>
      </c>
      <c r="D6">
        <v>17744.400000000001</v>
      </c>
      <c r="E6">
        <v>17816.25</v>
      </c>
      <c r="I6" s="2"/>
    </row>
    <row r="7" spans="1:9" x14ac:dyDescent="0.25">
      <c r="A7" s="1">
        <v>44825</v>
      </c>
      <c r="B7">
        <v>17766.349999999999</v>
      </c>
      <c r="C7">
        <v>17838.7</v>
      </c>
      <c r="D7">
        <v>17663.599999999999</v>
      </c>
      <c r="E7">
        <v>17718.349999999999</v>
      </c>
      <c r="I7" s="2"/>
    </row>
    <row r="8" spans="1:9" x14ac:dyDescent="0.25">
      <c r="A8" s="1">
        <v>44826</v>
      </c>
      <c r="B8">
        <v>17609.650000000001</v>
      </c>
      <c r="C8">
        <v>17722.75</v>
      </c>
      <c r="D8">
        <v>17532.45</v>
      </c>
      <c r="E8">
        <v>17629.8</v>
      </c>
      <c r="I8" s="2"/>
    </row>
    <row r="9" spans="1:9" x14ac:dyDescent="0.25">
      <c r="A9" s="1">
        <v>44827</v>
      </c>
      <c r="B9">
        <v>17593.849999999999</v>
      </c>
      <c r="C9">
        <v>17642.150000000001</v>
      </c>
      <c r="D9">
        <v>17291.650000000001</v>
      </c>
      <c r="E9">
        <v>17327.349999999999</v>
      </c>
      <c r="I9" s="2"/>
    </row>
    <row r="10" spans="1:9" x14ac:dyDescent="0.25">
      <c r="A10" s="1">
        <v>44830</v>
      </c>
      <c r="B10">
        <v>17156.3</v>
      </c>
      <c r="C10">
        <v>17196.400000000001</v>
      </c>
      <c r="D10">
        <v>16978.3</v>
      </c>
      <c r="E10">
        <v>17016.3</v>
      </c>
      <c r="I10" s="2"/>
    </row>
    <row r="11" spans="1:9" x14ac:dyDescent="0.25">
      <c r="A11" s="1">
        <v>44831</v>
      </c>
      <c r="B11">
        <v>17110.900000000001</v>
      </c>
      <c r="C11">
        <v>17176.45</v>
      </c>
      <c r="D11">
        <v>16942.349999999999</v>
      </c>
      <c r="E11">
        <v>17007.400000000001</v>
      </c>
      <c r="I11" s="2"/>
    </row>
    <row r="12" spans="1:9" x14ac:dyDescent="0.25">
      <c r="A12" s="1">
        <v>44832</v>
      </c>
      <c r="B12">
        <v>16870.55</v>
      </c>
      <c r="C12">
        <v>17037.599999999999</v>
      </c>
      <c r="D12">
        <v>16820.400000000001</v>
      </c>
      <c r="E12">
        <v>16858.599999999999</v>
      </c>
      <c r="I12" s="2"/>
    </row>
    <row r="13" spans="1:9" x14ac:dyDescent="0.25">
      <c r="A13" s="1">
        <v>44833</v>
      </c>
      <c r="B13">
        <v>16993.599999999999</v>
      </c>
      <c r="C13">
        <v>17026.05</v>
      </c>
      <c r="D13">
        <v>16788.599999999999</v>
      </c>
      <c r="E13">
        <v>16818.099999999999</v>
      </c>
      <c r="I13" s="2"/>
    </row>
    <row r="14" spans="1:9" x14ac:dyDescent="0.25">
      <c r="A14" s="1">
        <v>44834</v>
      </c>
      <c r="B14">
        <v>16798.05</v>
      </c>
      <c r="C14">
        <v>17187.099999999999</v>
      </c>
      <c r="D14">
        <v>16747.7</v>
      </c>
      <c r="E14">
        <v>17094.349999999999</v>
      </c>
      <c r="I14" s="2"/>
    </row>
    <row r="15" spans="1:9" x14ac:dyDescent="0.25">
      <c r="A15" s="1">
        <v>44837</v>
      </c>
      <c r="B15">
        <v>17102.099999999999</v>
      </c>
      <c r="C15">
        <v>17114.650000000001</v>
      </c>
      <c r="D15">
        <v>16855.55</v>
      </c>
      <c r="E15">
        <v>16887.349999999999</v>
      </c>
      <c r="I15" s="2"/>
    </row>
    <row r="16" spans="1:9" x14ac:dyDescent="0.25">
      <c r="A16" s="1">
        <v>44838</v>
      </c>
      <c r="B16">
        <v>17147.45</v>
      </c>
      <c r="C16">
        <v>17287.3</v>
      </c>
      <c r="D16">
        <v>17117.3</v>
      </c>
      <c r="E16">
        <v>17274.3</v>
      </c>
      <c r="I16" s="2"/>
    </row>
    <row r="17" spans="1:9" x14ac:dyDescent="0.25">
      <c r="A17" s="1">
        <v>44840</v>
      </c>
      <c r="B17">
        <v>17379.25</v>
      </c>
      <c r="C17">
        <v>17428.8</v>
      </c>
      <c r="D17">
        <v>17315.650000000001</v>
      </c>
      <c r="E17">
        <v>17331.8</v>
      </c>
      <c r="I17" s="2"/>
    </row>
    <row r="18" spans="1:9" x14ac:dyDescent="0.25">
      <c r="A18" s="1">
        <v>44841</v>
      </c>
      <c r="B18">
        <v>17287.2</v>
      </c>
      <c r="C18">
        <v>17337.349999999999</v>
      </c>
      <c r="D18">
        <v>17216.95</v>
      </c>
      <c r="E18">
        <v>17314.650000000001</v>
      </c>
      <c r="I18" s="2"/>
    </row>
    <row r="19" spans="1:9" x14ac:dyDescent="0.25">
      <c r="A19" s="1">
        <v>44844</v>
      </c>
      <c r="B19">
        <v>17094.349999999999</v>
      </c>
      <c r="C19">
        <v>17280.150000000001</v>
      </c>
      <c r="D19">
        <v>17064.7</v>
      </c>
      <c r="E19">
        <v>17241</v>
      </c>
      <c r="I19" s="2"/>
    </row>
    <row r="20" spans="1:9" x14ac:dyDescent="0.25">
      <c r="A20" s="1">
        <v>44845</v>
      </c>
      <c r="B20">
        <v>17256.05</v>
      </c>
      <c r="C20">
        <v>17261.8</v>
      </c>
      <c r="D20">
        <v>16950.3</v>
      </c>
      <c r="E20">
        <v>16983.55</v>
      </c>
      <c r="I20" s="2"/>
    </row>
    <row r="21" spans="1:9" x14ac:dyDescent="0.25">
      <c r="A21" s="1">
        <v>44846</v>
      </c>
      <c r="B21">
        <v>17025.55</v>
      </c>
      <c r="C21">
        <v>17142.349999999999</v>
      </c>
      <c r="D21">
        <v>16960.05</v>
      </c>
      <c r="E21">
        <v>17123.599999999999</v>
      </c>
      <c r="F21" s="4">
        <f t="shared" ref="F21:F84" si="0">STDEVPA(E2:E21)</f>
        <v>351.27061398585602</v>
      </c>
      <c r="G21">
        <f>AVERAGE(E2:E21)</f>
        <v>17323.849999999999</v>
      </c>
      <c r="H21">
        <f>G21+(F21*2)</f>
        <v>18026.391227971711</v>
      </c>
      <c r="I21" s="2">
        <f t="shared" ref="I21:I65" si="1">G21-(F21*2)</f>
        <v>16621.308772028286</v>
      </c>
    </row>
    <row r="22" spans="1:9" x14ac:dyDescent="0.25">
      <c r="A22" s="1">
        <v>44847</v>
      </c>
      <c r="B22">
        <v>17087.349999999999</v>
      </c>
      <c r="C22">
        <v>17112.349999999999</v>
      </c>
      <c r="D22">
        <v>16956.95</v>
      </c>
      <c r="E22">
        <v>17014.349999999999</v>
      </c>
      <c r="F22" s="4">
        <f t="shared" si="0"/>
        <v>320.34368317480562</v>
      </c>
      <c r="G22">
        <f t="shared" ref="G22:G85" si="2">AVERAGE(E3:E22)</f>
        <v>17274.379999999997</v>
      </c>
      <c r="H22">
        <f t="shared" ref="H22:H85" si="3">G22+(F22*2)</f>
        <v>17915.067366349609</v>
      </c>
      <c r="I22" s="2">
        <f t="shared" si="1"/>
        <v>16633.692633650386</v>
      </c>
    </row>
    <row r="23" spans="1:9" x14ac:dyDescent="0.25">
      <c r="A23" s="1">
        <v>44848</v>
      </c>
      <c r="B23">
        <v>17322.3</v>
      </c>
      <c r="C23">
        <v>17348.55</v>
      </c>
      <c r="D23">
        <v>17169.75</v>
      </c>
      <c r="E23">
        <v>17185.7</v>
      </c>
      <c r="F23" s="4">
        <f t="shared" si="0"/>
        <v>289.19803634361017</v>
      </c>
      <c r="G23">
        <f t="shared" si="2"/>
        <v>17239.794999999998</v>
      </c>
      <c r="H23">
        <f t="shared" si="3"/>
        <v>17818.191072687219</v>
      </c>
      <c r="I23" s="2">
        <f t="shared" si="1"/>
        <v>16661.398927312777</v>
      </c>
    </row>
    <row r="24" spans="1:9" x14ac:dyDescent="0.25">
      <c r="A24" s="1">
        <v>44851</v>
      </c>
      <c r="B24">
        <v>17144.8</v>
      </c>
      <c r="C24">
        <v>17328.55</v>
      </c>
      <c r="D24">
        <v>17098.55</v>
      </c>
      <c r="E24">
        <v>17311.8</v>
      </c>
      <c r="F24" s="4">
        <f t="shared" si="0"/>
        <v>282.02682907615389</v>
      </c>
      <c r="G24">
        <f t="shared" si="2"/>
        <v>17228.842499999999</v>
      </c>
      <c r="H24">
        <f t="shared" si="3"/>
        <v>17792.896158152307</v>
      </c>
      <c r="I24" s="2">
        <f t="shared" si="1"/>
        <v>16664.78884184769</v>
      </c>
    </row>
    <row r="25" spans="1:9" x14ac:dyDescent="0.25">
      <c r="A25" s="1">
        <v>44852</v>
      </c>
      <c r="B25">
        <v>17438.75</v>
      </c>
      <c r="C25">
        <v>17527.8</v>
      </c>
      <c r="D25">
        <v>17434.05</v>
      </c>
      <c r="E25">
        <v>17486.95</v>
      </c>
      <c r="F25" s="4">
        <f t="shared" si="0"/>
        <v>274.0180069242715</v>
      </c>
      <c r="G25">
        <f t="shared" si="2"/>
        <v>17222.077499999999</v>
      </c>
      <c r="H25">
        <f t="shared" si="3"/>
        <v>17770.113513848541</v>
      </c>
      <c r="I25" s="2">
        <f t="shared" si="1"/>
        <v>16674.041486151458</v>
      </c>
    </row>
    <row r="26" spans="1:9" x14ac:dyDescent="0.25">
      <c r="A26" s="1">
        <v>44853</v>
      </c>
      <c r="B26">
        <v>17568.150000000001</v>
      </c>
      <c r="C26">
        <v>17607.599999999999</v>
      </c>
      <c r="D26">
        <v>17472.849999999999</v>
      </c>
      <c r="E26">
        <v>17512.25</v>
      </c>
      <c r="F26" s="4">
        <f t="shared" si="0"/>
        <v>247.81602877689346</v>
      </c>
      <c r="G26">
        <f t="shared" si="2"/>
        <v>17206.877499999999</v>
      </c>
      <c r="H26">
        <f t="shared" si="3"/>
        <v>17702.509557553785</v>
      </c>
      <c r="I26" s="2">
        <f t="shared" si="1"/>
        <v>16711.245442446212</v>
      </c>
    </row>
    <row r="27" spans="1:9" x14ac:dyDescent="0.25">
      <c r="A27" s="1">
        <v>44854</v>
      </c>
      <c r="B27">
        <v>17423.099999999999</v>
      </c>
      <c r="C27">
        <v>17584.150000000001</v>
      </c>
      <c r="D27">
        <v>17421</v>
      </c>
      <c r="E27">
        <v>17563.95</v>
      </c>
      <c r="F27" s="4">
        <f t="shared" si="0"/>
        <v>233.76915604662261</v>
      </c>
      <c r="G27">
        <f t="shared" si="2"/>
        <v>17199.157500000001</v>
      </c>
      <c r="H27">
        <f t="shared" si="3"/>
        <v>17666.695812093247</v>
      </c>
      <c r="I27" s="2">
        <f t="shared" si="1"/>
        <v>16731.619187906756</v>
      </c>
    </row>
    <row r="28" spans="1:9" x14ac:dyDescent="0.25">
      <c r="A28" s="1">
        <v>44855</v>
      </c>
      <c r="B28">
        <v>17622.849999999999</v>
      </c>
      <c r="C28">
        <v>17670.150000000001</v>
      </c>
      <c r="D28">
        <v>17520.75</v>
      </c>
      <c r="E28">
        <v>17576.3</v>
      </c>
      <c r="F28" s="4">
        <f t="shared" si="0"/>
        <v>229.08521955540957</v>
      </c>
      <c r="G28">
        <f t="shared" si="2"/>
        <v>17196.482500000002</v>
      </c>
      <c r="H28">
        <f t="shared" si="3"/>
        <v>17654.65293911082</v>
      </c>
      <c r="I28" s="2">
        <f t="shared" si="1"/>
        <v>16738.312060889184</v>
      </c>
    </row>
    <row r="29" spans="1:9" x14ac:dyDescent="0.25">
      <c r="A29" s="1">
        <v>44858</v>
      </c>
      <c r="B29">
        <v>17736.349999999999</v>
      </c>
      <c r="C29">
        <v>17777.55</v>
      </c>
      <c r="D29">
        <v>17707.400000000001</v>
      </c>
      <c r="E29">
        <v>17730.75</v>
      </c>
      <c r="F29" s="4">
        <f t="shared" si="0"/>
        <v>255.90815123545835</v>
      </c>
      <c r="G29">
        <f t="shared" si="2"/>
        <v>17216.6525</v>
      </c>
      <c r="H29">
        <f t="shared" si="3"/>
        <v>17728.468802470918</v>
      </c>
      <c r="I29" s="2">
        <f t="shared" si="1"/>
        <v>16704.836197529083</v>
      </c>
    </row>
    <row r="30" spans="1:9" x14ac:dyDescent="0.25">
      <c r="A30" s="1">
        <v>44859</v>
      </c>
      <c r="B30">
        <v>17808.3</v>
      </c>
      <c r="C30">
        <v>17811.5</v>
      </c>
      <c r="D30">
        <v>17637</v>
      </c>
      <c r="E30">
        <v>17656.349999999999</v>
      </c>
      <c r="F30" s="4">
        <f t="shared" si="0"/>
        <v>268.55997509867359</v>
      </c>
      <c r="G30">
        <f t="shared" si="2"/>
        <v>17248.654999999999</v>
      </c>
      <c r="H30">
        <f t="shared" si="3"/>
        <v>17785.774950197345</v>
      </c>
      <c r="I30" s="2">
        <f t="shared" si="1"/>
        <v>16711.535049802653</v>
      </c>
    </row>
    <row r="31" spans="1:9" x14ac:dyDescent="0.25">
      <c r="A31" s="1">
        <v>44861</v>
      </c>
      <c r="B31">
        <v>17771.400000000001</v>
      </c>
      <c r="C31">
        <v>17783.900000000001</v>
      </c>
      <c r="D31">
        <v>17654.5</v>
      </c>
      <c r="E31">
        <v>17736.95</v>
      </c>
      <c r="F31" s="4">
        <f t="shared" si="0"/>
        <v>282.49823684184349</v>
      </c>
      <c r="G31">
        <f t="shared" si="2"/>
        <v>17285.1325</v>
      </c>
      <c r="H31">
        <f t="shared" si="3"/>
        <v>17850.128973683688</v>
      </c>
      <c r="I31" s="2">
        <f t="shared" si="1"/>
        <v>16720.136026316311</v>
      </c>
    </row>
    <row r="32" spans="1:9" x14ac:dyDescent="0.25">
      <c r="A32" s="1">
        <v>44862</v>
      </c>
      <c r="B32">
        <v>17756.400000000001</v>
      </c>
      <c r="C32">
        <v>17838.900000000001</v>
      </c>
      <c r="D32">
        <v>17723.7</v>
      </c>
      <c r="E32">
        <v>17786.8</v>
      </c>
      <c r="F32" s="4">
        <f t="shared" si="0"/>
        <v>284.84799642748095</v>
      </c>
      <c r="G32">
        <f t="shared" si="2"/>
        <v>17331.5425</v>
      </c>
      <c r="H32">
        <f t="shared" si="3"/>
        <v>17901.238492854962</v>
      </c>
      <c r="I32" s="2">
        <f t="shared" si="1"/>
        <v>16761.846507145037</v>
      </c>
    </row>
    <row r="33" spans="1:9" x14ac:dyDescent="0.25">
      <c r="A33" s="1">
        <v>44865</v>
      </c>
      <c r="B33">
        <v>17910.2</v>
      </c>
      <c r="C33">
        <v>18022.8</v>
      </c>
      <c r="D33">
        <v>17899.900000000001</v>
      </c>
      <c r="E33">
        <v>18012.2</v>
      </c>
      <c r="F33" s="4">
        <f t="shared" si="0"/>
        <v>295.90076988536242</v>
      </c>
      <c r="G33">
        <f t="shared" si="2"/>
        <v>17391.247500000001</v>
      </c>
      <c r="H33">
        <f t="shared" si="3"/>
        <v>17983.049039770725</v>
      </c>
      <c r="I33" s="2">
        <f t="shared" si="1"/>
        <v>16799.445960229277</v>
      </c>
    </row>
    <row r="34" spans="1:9" x14ac:dyDescent="0.25">
      <c r="A34" s="1">
        <v>44866</v>
      </c>
      <c r="B34">
        <v>18130.7</v>
      </c>
      <c r="C34">
        <v>18175.8</v>
      </c>
      <c r="D34">
        <v>18060.150000000001</v>
      </c>
      <c r="E34">
        <v>18145.400000000001</v>
      </c>
      <c r="F34" s="4">
        <f t="shared" si="0"/>
        <v>329.88694086004728</v>
      </c>
      <c r="G34">
        <f t="shared" si="2"/>
        <v>17443.800000000003</v>
      </c>
      <c r="H34">
        <f t="shared" si="3"/>
        <v>18103.573881720098</v>
      </c>
      <c r="I34" s="2">
        <f t="shared" si="1"/>
        <v>16784.026118279908</v>
      </c>
    </row>
    <row r="35" spans="1:9" x14ac:dyDescent="0.25">
      <c r="A35" s="1">
        <v>44867</v>
      </c>
      <c r="B35">
        <v>18177.900000000001</v>
      </c>
      <c r="C35">
        <v>18178.75</v>
      </c>
      <c r="D35">
        <v>18048.650000000001</v>
      </c>
      <c r="E35">
        <v>18082.849999999999</v>
      </c>
      <c r="F35" s="4">
        <f t="shared" si="0"/>
        <v>331.9484269054459</v>
      </c>
      <c r="G35">
        <f t="shared" si="2"/>
        <v>17503.575000000001</v>
      </c>
      <c r="H35">
        <f t="shared" si="3"/>
        <v>18167.471853810894</v>
      </c>
      <c r="I35" s="2">
        <f t="shared" si="1"/>
        <v>16839.678146189108</v>
      </c>
    </row>
    <row r="36" spans="1:9" x14ac:dyDescent="0.25">
      <c r="A36" s="1">
        <v>44868</v>
      </c>
      <c r="B36">
        <v>17968.349999999999</v>
      </c>
      <c r="C36">
        <v>18106.3</v>
      </c>
      <c r="D36">
        <v>17959.2</v>
      </c>
      <c r="E36">
        <v>18052.7</v>
      </c>
      <c r="F36" s="4">
        <f t="shared" si="0"/>
        <v>348.0280932985155</v>
      </c>
      <c r="G36">
        <f t="shared" si="2"/>
        <v>17542.495000000003</v>
      </c>
      <c r="H36">
        <f t="shared" si="3"/>
        <v>18238.551186597033</v>
      </c>
      <c r="I36" s="2">
        <f t="shared" si="1"/>
        <v>16846.438813402972</v>
      </c>
    </row>
    <row r="37" spans="1:9" x14ac:dyDescent="0.25">
      <c r="A37" s="1">
        <v>44869</v>
      </c>
      <c r="B37">
        <v>18053.400000000001</v>
      </c>
      <c r="C37">
        <v>18135.099999999999</v>
      </c>
      <c r="D37">
        <v>18017.150000000001</v>
      </c>
      <c r="E37">
        <v>18117.150000000001</v>
      </c>
      <c r="F37" s="4">
        <f t="shared" si="0"/>
        <v>365.88716357471503</v>
      </c>
      <c r="G37">
        <f t="shared" si="2"/>
        <v>17581.762500000004</v>
      </c>
      <c r="H37">
        <f t="shared" si="3"/>
        <v>18313.536827149434</v>
      </c>
      <c r="I37" s="2">
        <f t="shared" si="1"/>
        <v>16849.988172850575</v>
      </c>
    </row>
    <row r="38" spans="1:9" x14ac:dyDescent="0.25">
      <c r="A38" s="1">
        <v>44872</v>
      </c>
      <c r="B38">
        <v>18211.75</v>
      </c>
      <c r="C38">
        <v>18255.5</v>
      </c>
      <c r="D38">
        <v>18064.75</v>
      </c>
      <c r="E38">
        <v>18202.8</v>
      </c>
      <c r="F38" s="4">
        <f t="shared" si="0"/>
        <v>384.211289331795</v>
      </c>
      <c r="G38">
        <f t="shared" si="2"/>
        <v>17626.170000000002</v>
      </c>
      <c r="H38">
        <f t="shared" si="3"/>
        <v>18394.592578663593</v>
      </c>
      <c r="I38" s="2">
        <f t="shared" si="1"/>
        <v>16857.747421336411</v>
      </c>
    </row>
    <row r="39" spans="1:9" x14ac:dyDescent="0.25">
      <c r="A39" s="1">
        <v>44874</v>
      </c>
      <c r="B39">
        <v>18288.25</v>
      </c>
      <c r="C39">
        <v>18296.400000000001</v>
      </c>
      <c r="D39">
        <v>18117.5</v>
      </c>
      <c r="E39">
        <v>18157</v>
      </c>
      <c r="F39" s="4">
        <f t="shared" si="0"/>
        <v>390.11780637392121</v>
      </c>
      <c r="G39">
        <f t="shared" si="2"/>
        <v>17671.97</v>
      </c>
      <c r="H39">
        <f t="shared" si="3"/>
        <v>18452.205612747843</v>
      </c>
      <c r="I39" s="2">
        <f t="shared" si="1"/>
        <v>16891.73438725216</v>
      </c>
    </row>
    <row r="40" spans="1:9" x14ac:dyDescent="0.25">
      <c r="A40" s="1">
        <v>44875</v>
      </c>
      <c r="B40">
        <v>18044.349999999999</v>
      </c>
      <c r="C40">
        <v>18103.099999999999</v>
      </c>
      <c r="D40">
        <v>17969.400000000001</v>
      </c>
      <c r="E40">
        <v>18028.2</v>
      </c>
      <c r="F40" s="4">
        <f t="shared" si="0"/>
        <v>363.47290768192101</v>
      </c>
      <c r="G40">
        <f t="shared" si="2"/>
        <v>17724.202500000003</v>
      </c>
      <c r="H40">
        <f t="shared" si="3"/>
        <v>18451.148315363844</v>
      </c>
      <c r="I40" s="2">
        <f t="shared" si="1"/>
        <v>16997.256684636162</v>
      </c>
    </row>
    <row r="41" spans="1:9" x14ac:dyDescent="0.25">
      <c r="A41" s="1">
        <v>44876</v>
      </c>
      <c r="B41">
        <v>18272.349999999999</v>
      </c>
      <c r="C41">
        <v>18362.3</v>
      </c>
      <c r="D41">
        <v>18259.349999999999</v>
      </c>
      <c r="E41">
        <v>18349.7</v>
      </c>
      <c r="F41" s="4">
        <f t="shared" si="0"/>
        <v>360.3892889206756</v>
      </c>
      <c r="G41">
        <f t="shared" si="2"/>
        <v>17785.5075</v>
      </c>
      <c r="H41">
        <f t="shared" si="3"/>
        <v>18506.286077841352</v>
      </c>
      <c r="I41" s="2">
        <f t="shared" si="1"/>
        <v>17064.728922158647</v>
      </c>
    </row>
    <row r="42" spans="1:9" x14ac:dyDescent="0.25">
      <c r="A42" s="1">
        <v>44880</v>
      </c>
      <c r="B42">
        <v>18362.75</v>
      </c>
      <c r="C42">
        <v>18427.95</v>
      </c>
      <c r="D42">
        <v>18282</v>
      </c>
      <c r="E42">
        <v>18403.400000000001</v>
      </c>
      <c r="F42" s="4">
        <f t="shared" si="0"/>
        <v>338.24865469059915</v>
      </c>
      <c r="G42">
        <f t="shared" si="2"/>
        <v>17854.960000000003</v>
      </c>
      <c r="H42">
        <f t="shared" si="3"/>
        <v>18531.4573093812</v>
      </c>
      <c r="I42" s="2">
        <f t="shared" si="1"/>
        <v>17178.462690618806</v>
      </c>
    </row>
    <row r="43" spans="1:9" x14ac:dyDescent="0.25">
      <c r="A43" s="1">
        <v>44881</v>
      </c>
      <c r="B43">
        <v>18398.25</v>
      </c>
      <c r="C43">
        <v>18442.150000000001</v>
      </c>
      <c r="D43">
        <v>18344.150000000001</v>
      </c>
      <c r="E43">
        <v>18409.650000000001</v>
      </c>
      <c r="F43" s="4">
        <f t="shared" si="0"/>
        <v>321.95592993257674</v>
      </c>
      <c r="G43">
        <f t="shared" si="2"/>
        <v>17916.157500000005</v>
      </c>
      <c r="H43">
        <f t="shared" si="3"/>
        <v>18560.06935986516</v>
      </c>
      <c r="I43" s="2">
        <f t="shared" si="1"/>
        <v>17272.24564013485</v>
      </c>
    </row>
    <row r="44" spans="1:9" x14ac:dyDescent="0.25">
      <c r="A44" s="1">
        <v>44882</v>
      </c>
      <c r="B44">
        <v>18358.7</v>
      </c>
      <c r="C44">
        <v>18417.599999999999</v>
      </c>
      <c r="D44">
        <v>18312.95</v>
      </c>
      <c r="E44">
        <v>18343.900000000001</v>
      </c>
      <c r="F44" s="4">
        <f t="shared" si="0"/>
        <v>303.11438058718073</v>
      </c>
      <c r="G44">
        <f t="shared" si="2"/>
        <v>17967.762500000004</v>
      </c>
      <c r="H44">
        <f t="shared" si="3"/>
        <v>18573.991261174368</v>
      </c>
      <c r="I44" s="2">
        <f t="shared" si="1"/>
        <v>17361.533738825641</v>
      </c>
    </row>
    <row r="45" spans="1:9" x14ac:dyDescent="0.25">
      <c r="A45" s="1">
        <v>44883</v>
      </c>
      <c r="B45">
        <v>18382.95</v>
      </c>
      <c r="C45">
        <v>18394.599999999999</v>
      </c>
      <c r="D45">
        <v>18209.8</v>
      </c>
      <c r="E45">
        <v>18307.650000000001</v>
      </c>
      <c r="F45" s="4">
        <f t="shared" si="0"/>
        <v>290.53674314748952</v>
      </c>
      <c r="G45">
        <f t="shared" si="2"/>
        <v>18008.797500000008</v>
      </c>
      <c r="H45">
        <f t="shared" si="3"/>
        <v>18589.870986294987</v>
      </c>
      <c r="I45" s="2">
        <f t="shared" si="1"/>
        <v>17427.724013705028</v>
      </c>
    </row>
    <row r="46" spans="1:9" x14ac:dyDescent="0.25">
      <c r="A46" s="1">
        <v>44886</v>
      </c>
      <c r="B46">
        <v>18246.400000000001</v>
      </c>
      <c r="C46">
        <v>18262.3</v>
      </c>
      <c r="D46">
        <v>18133.349999999999</v>
      </c>
      <c r="E46">
        <v>18159.95</v>
      </c>
      <c r="F46" s="4">
        <f t="shared" si="0"/>
        <v>268.6581355901032</v>
      </c>
      <c r="G46">
        <f t="shared" si="2"/>
        <v>18041.182500000006</v>
      </c>
      <c r="H46">
        <f t="shared" si="3"/>
        <v>18578.498771180213</v>
      </c>
      <c r="I46" s="2">
        <f t="shared" si="1"/>
        <v>17503.866228819799</v>
      </c>
    </row>
    <row r="47" spans="1:9" x14ac:dyDescent="0.25">
      <c r="A47" s="1">
        <v>44887</v>
      </c>
      <c r="B47">
        <v>18179.150000000001</v>
      </c>
      <c r="C47">
        <v>18261.849999999999</v>
      </c>
      <c r="D47">
        <v>18137.7</v>
      </c>
      <c r="E47">
        <v>18244.2</v>
      </c>
      <c r="F47" s="4">
        <f t="shared" si="0"/>
        <v>248.38197594632405</v>
      </c>
      <c r="G47">
        <f t="shared" si="2"/>
        <v>18075.195000000007</v>
      </c>
      <c r="H47">
        <f t="shared" si="3"/>
        <v>18571.958951892655</v>
      </c>
      <c r="I47" s="2">
        <f t="shared" si="1"/>
        <v>17578.431048107359</v>
      </c>
    </row>
    <row r="48" spans="1:9" x14ac:dyDescent="0.25">
      <c r="A48" s="1">
        <v>44888</v>
      </c>
      <c r="B48">
        <v>18325.2</v>
      </c>
      <c r="C48">
        <v>18325.400000000001</v>
      </c>
      <c r="D48">
        <v>18246</v>
      </c>
      <c r="E48">
        <v>18267.25</v>
      </c>
      <c r="F48" s="4">
        <f t="shared" si="0"/>
        <v>223.38200759853115</v>
      </c>
      <c r="G48">
        <f t="shared" si="2"/>
        <v>18109.742500000004</v>
      </c>
      <c r="H48">
        <f t="shared" si="3"/>
        <v>18556.506515197067</v>
      </c>
      <c r="I48" s="2">
        <f t="shared" si="1"/>
        <v>17662.978484802941</v>
      </c>
    </row>
    <row r="49" spans="1:9" x14ac:dyDescent="0.25">
      <c r="A49" s="1">
        <v>44889</v>
      </c>
      <c r="B49">
        <v>18326.099999999999</v>
      </c>
      <c r="C49">
        <v>18529.7</v>
      </c>
      <c r="D49">
        <v>18294.25</v>
      </c>
      <c r="E49">
        <v>18484.099999999999</v>
      </c>
      <c r="F49" s="4">
        <f t="shared" si="0"/>
        <v>219.78646887376877</v>
      </c>
      <c r="G49">
        <f t="shared" si="2"/>
        <v>18147.410000000003</v>
      </c>
      <c r="H49">
        <f t="shared" si="3"/>
        <v>18586.98293774754</v>
      </c>
      <c r="I49" s="2">
        <f t="shared" si="1"/>
        <v>17707.837062252467</v>
      </c>
    </row>
    <row r="50" spans="1:9" x14ac:dyDescent="0.25">
      <c r="A50" s="1">
        <v>44890</v>
      </c>
      <c r="B50">
        <v>18528.45</v>
      </c>
      <c r="C50">
        <v>18534.900000000001</v>
      </c>
      <c r="D50">
        <v>18445.099999999999</v>
      </c>
      <c r="E50">
        <v>18512.75</v>
      </c>
      <c r="F50" s="4">
        <f t="shared" si="0"/>
        <v>202.70473378784237</v>
      </c>
      <c r="G50">
        <f t="shared" si="2"/>
        <v>18190.230000000003</v>
      </c>
      <c r="H50">
        <f t="shared" si="3"/>
        <v>18595.639467575689</v>
      </c>
      <c r="I50" s="2">
        <f t="shared" si="1"/>
        <v>17784.820532424317</v>
      </c>
    </row>
    <row r="51" spans="1:9" x14ac:dyDescent="0.25">
      <c r="A51" s="1">
        <v>44893</v>
      </c>
      <c r="B51">
        <v>18430.55</v>
      </c>
      <c r="C51">
        <v>18614.25</v>
      </c>
      <c r="D51">
        <v>18365.599999999999</v>
      </c>
      <c r="E51">
        <v>18562.75</v>
      </c>
      <c r="F51" s="4">
        <f t="shared" si="0"/>
        <v>189.86775555633463</v>
      </c>
      <c r="G51">
        <f t="shared" si="2"/>
        <v>18231.52</v>
      </c>
      <c r="H51">
        <f t="shared" si="3"/>
        <v>18611.255511112671</v>
      </c>
      <c r="I51" s="2">
        <f t="shared" si="1"/>
        <v>17851.78448888733</v>
      </c>
    </row>
    <row r="52" spans="1:9" x14ac:dyDescent="0.25">
      <c r="A52" s="1">
        <v>44894</v>
      </c>
      <c r="B52">
        <v>18552.45</v>
      </c>
      <c r="C52">
        <v>18678.099999999999</v>
      </c>
      <c r="D52">
        <v>18552.150000000001</v>
      </c>
      <c r="E52">
        <v>18618.05</v>
      </c>
      <c r="F52" s="4">
        <f t="shared" si="0"/>
        <v>178.61635232741133</v>
      </c>
      <c r="G52">
        <f t="shared" si="2"/>
        <v>18273.082499999997</v>
      </c>
      <c r="H52">
        <f t="shared" si="3"/>
        <v>18630.31520465482</v>
      </c>
      <c r="I52" s="2">
        <f t="shared" si="1"/>
        <v>17915.849795345173</v>
      </c>
    </row>
    <row r="53" spans="1:9" x14ac:dyDescent="0.25">
      <c r="A53" s="1">
        <v>44895</v>
      </c>
      <c r="B53">
        <v>18625.7</v>
      </c>
      <c r="C53">
        <v>18816.05</v>
      </c>
      <c r="D53">
        <v>18616.55</v>
      </c>
      <c r="E53">
        <v>18758.349999999999</v>
      </c>
      <c r="F53" s="4">
        <f t="shared" si="0"/>
        <v>197.18822264526818</v>
      </c>
      <c r="G53">
        <f t="shared" si="2"/>
        <v>18310.39</v>
      </c>
      <c r="H53">
        <f t="shared" si="3"/>
        <v>18704.766445290537</v>
      </c>
      <c r="I53" s="2">
        <f t="shared" si="1"/>
        <v>17916.013554709461</v>
      </c>
    </row>
    <row r="54" spans="1:9" x14ac:dyDescent="0.25">
      <c r="A54" s="1">
        <v>44896</v>
      </c>
      <c r="B54">
        <v>18871.95</v>
      </c>
      <c r="C54">
        <v>18887.599999999999</v>
      </c>
      <c r="D54">
        <v>18778.2</v>
      </c>
      <c r="E54">
        <v>18812.5</v>
      </c>
      <c r="F54" s="4">
        <f t="shared" si="0"/>
        <v>221.39394012709531</v>
      </c>
      <c r="G54">
        <f t="shared" si="2"/>
        <v>18343.744999999999</v>
      </c>
      <c r="H54">
        <f t="shared" si="3"/>
        <v>18786.532880254188</v>
      </c>
      <c r="I54" s="2">
        <f t="shared" si="1"/>
        <v>17900.95711974581</v>
      </c>
    </row>
    <row r="55" spans="1:9" x14ac:dyDescent="0.25">
      <c r="A55" s="1">
        <v>44897</v>
      </c>
      <c r="B55">
        <v>18752.400000000001</v>
      </c>
      <c r="C55">
        <v>18781.95</v>
      </c>
      <c r="D55">
        <v>18639.2</v>
      </c>
      <c r="E55">
        <v>18696.099999999999</v>
      </c>
      <c r="F55" s="4">
        <f t="shared" si="0"/>
        <v>225.5648023711806</v>
      </c>
      <c r="G55">
        <f t="shared" si="2"/>
        <v>18374.407499999998</v>
      </c>
      <c r="H55">
        <f t="shared" si="3"/>
        <v>18825.537104742358</v>
      </c>
      <c r="I55" s="2">
        <f t="shared" si="1"/>
        <v>17923.277895257637</v>
      </c>
    </row>
    <row r="56" spans="1:9" x14ac:dyDescent="0.25">
      <c r="A56" s="1">
        <v>44900</v>
      </c>
      <c r="B56">
        <v>18719.55</v>
      </c>
      <c r="C56">
        <v>18728.599999999999</v>
      </c>
      <c r="D56">
        <v>18591.349999999999</v>
      </c>
      <c r="E56">
        <v>18701.05</v>
      </c>
      <c r="F56" s="4">
        <f t="shared" si="0"/>
        <v>223.58122936642005</v>
      </c>
      <c r="G56">
        <f t="shared" si="2"/>
        <v>18406.824999999997</v>
      </c>
      <c r="H56">
        <f t="shared" si="3"/>
        <v>18853.987458732838</v>
      </c>
      <c r="I56" s="2">
        <f t="shared" si="1"/>
        <v>17959.662541267156</v>
      </c>
    </row>
    <row r="57" spans="1:9" x14ac:dyDescent="0.25">
      <c r="A57" s="1">
        <v>44901</v>
      </c>
      <c r="B57">
        <v>18600.650000000001</v>
      </c>
      <c r="C57">
        <v>18654.900000000001</v>
      </c>
      <c r="D57">
        <v>18577.900000000001</v>
      </c>
      <c r="E57">
        <v>18642.75</v>
      </c>
      <c r="F57" s="4">
        <f t="shared" si="0"/>
        <v>218.82727829272059</v>
      </c>
      <c r="G57">
        <f t="shared" si="2"/>
        <v>18433.105</v>
      </c>
      <c r="H57">
        <f t="shared" si="3"/>
        <v>18870.759556585439</v>
      </c>
      <c r="I57" s="2">
        <f t="shared" si="1"/>
        <v>17995.45044341456</v>
      </c>
    </row>
    <row r="58" spans="1:9" x14ac:dyDescent="0.25">
      <c r="A58" s="1">
        <v>44902</v>
      </c>
      <c r="B58">
        <v>18638.849999999999</v>
      </c>
      <c r="C58">
        <v>18668.3</v>
      </c>
      <c r="D58">
        <v>18528.400000000001</v>
      </c>
      <c r="E58">
        <v>18560.5</v>
      </c>
      <c r="F58" s="4">
        <f t="shared" si="0"/>
        <v>213.83395228541175</v>
      </c>
      <c r="G58">
        <f t="shared" si="2"/>
        <v>18450.989999999998</v>
      </c>
      <c r="H58">
        <f t="shared" si="3"/>
        <v>18878.65790457082</v>
      </c>
      <c r="I58" s="2">
        <f t="shared" si="1"/>
        <v>18023.322095429176</v>
      </c>
    </row>
    <row r="59" spans="1:9" x14ac:dyDescent="0.25">
      <c r="A59" s="1">
        <v>44903</v>
      </c>
      <c r="B59">
        <v>18570.849999999999</v>
      </c>
      <c r="C59">
        <v>18625</v>
      </c>
      <c r="D59">
        <v>18536.95</v>
      </c>
      <c r="E59">
        <v>18609.349999999999</v>
      </c>
      <c r="F59" s="4">
        <f t="shared" si="0"/>
        <v>205.29441375436824</v>
      </c>
      <c r="G59">
        <f t="shared" si="2"/>
        <v>18473.607499999998</v>
      </c>
      <c r="H59">
        <f t="shared" si="3"/>
        <v>18884.196327508736</v>
      </c>
      <c r="I59" s="2">
        <f t="shared" si="1"/>
        <v>18063.01867249126</v>
      </c>
    </row>
    <row r="60" spans="1:9" x14ac:dyDescent="0.25">
      <c r="A60" s="1">
        <v>44904</v>
      </c>
      <c r="B60">
        <v>18662.400000000001</v>
      </c>
      <c r="C60">
        <v>18664.7</v>
      </c>
      <c r="D60">
        <v>18410.099999999999</v>
      </c>
      <c r="E60">
        <v>18496.599999999999</v>
      </c>
      <c r="F60" s="4">
        <f t="shared" si="0"/>
        <v>178.05712740227438</v>
      </c>
      <c r="G60">
        <f t="shared" si="2"/>
        <v>18497.027499999997</v>
      </c>
      <c r="H60">
        <f t="shared" si="3"/>
        <v>18853.141754804547</v>
      </c>
      <c r="I60" s="2">
        <f t="shared" si="1"/>
        <v>18140.913245195447</v>
      </c>
    </row>
    <row r="61" spans="1:9" x14ac:dyDescent="0.25">
      <c r="A61" s="1">
        <v>44907</v>
      </c>
      <c r="B61">
        <v>18402.150000000001</v>
      </c>
      <c r="C61">
        <v>18521.55</v>
      </c>
      <c r="D61">
        <v>18345.7</v>
      </c>
      <c r="E61">
        <v>18497.150000000001</v>
      </c>
      <c r="F61" s="4">
        <f t="shared" si="0"/>
        <v>174.82768087462517</v>
      </c>
      <c r="G61">
        <f t="shared" si="2"/>
        <v>18504.400000000001</v>
      </c>
      <c r="H61">
        <f t="shared" si="3"/>
        <v>18854.055361749251</v>
      </c>
      <c r="I61" s="2">
        <f t="shared" si="1"/>
        <v>18154.744638250751</v>
      </c>
    </row>
    <row r="62" spans="1:9" x14ac:dyDescent="0.25">
      <c r="A62" s="1">
        <v>44908</v>
      </c>
      <c r="B62">
        <v>18524.400000000001</v>
      </c>
      <c r="C62">
        <v>18617.25</v>
      </c>
      <c r="D62">
        <v>18490.2</v>
      </c>
      <c r="E62">
        <v>18608</v>
      </c>
      <c r="F62" s="4">
        <f t="shared" si="0"/>
        <v>174.60430435702258</v>
      </c>
      <c r="G62">
        <f t="shared" si="2"/>
        <v>18514.629999999997</v>
      </c>
      <c r="H62">
        <f t="shared" si="3"/>
        <v>18863.838608714042</v>
      </c>
      <c r="I62" s="2">
        <f t="shared" si="1"/>
        <v>18165.421391285952</v>
      </c>
    </row>
    <row r="63" spans="1:9" x14ac:dyDescent="0.25">
      <c r="A63" s="1">
        <v>44909</v>
      </c>
      <c r="B63">
        <v>18671.25</v>
      </c>
      <c r="C63">
        <v>18696.099999999999</v>
      </c>
      <c r="D63">
        <v>18632.900000000001</v>
      </c>
      <c r="E63">
        <v>18660.3</v>
      </c>
      <c r="F63" s="4">
        <f t="shared" si="0"/>
        <v>175.61192148812052</v>
      </c>
      <c r="G63">
        <f t="shared" si="2"/>
        <v>18527.162499999999</v>
      </c>
      <c r="H63">
        <f t="shared" si="3"/>
        <v>18878.386342976239</v>
      </c>
      <c r="I63" s="2">
        <f t="shared" si="1"/>
        <v>18175.938657023758</v>
      </c>
    </row>
    <row r="64" spans="1:9" x14ac:dyDescent="0.25">
      <c r="A64" s="1">
        <v>44910</v>
      </c>
      <c r="B64">
        <v>18614.400000000001</v>
      </c>
      <c r="C64">
        <v>18652.900000000001</v>
      </c>
      <c r="D64">
        <v>18387.7</v>
      </c>
      <c r="E64">
        <v>18414.900000000001</v>
      </c>
      <c r="F64" s="4">
        <f t="shared" si="0"/>
        <v>172.56254147047619</v>
      </c>
      <c r="G64">
        <f t="shared" si="2"/>
        <v>18530.712500000001</v>
      </c>
      <c r="H64">
        <f t="shared" si="3"/>
        <v>18875.837582940952</v>
      </c>
      <c r="I64" s="2">
        <f t="shared" si="1"/>
        <v>18185.58741705905</v>
      </c>
    </row>
    <row r="65" spans="1:9" x14ac:dyDescent="0.25">
      <c r="A65" s="1">
        <v>44911</v>
      </c>
      <c r="B65">
        <v>18319.099999999999</v>
      </c>
      <c r="C65">
        <v>18440.95</v>
      </c>
      <c r="D65">
        <v>18255.150000000001</v>
      </c>
      <c r="E65">
        <v>18269</v>
      </c>
      <c r="F65" s="4">
        <f t="shared" si="0"/>
        <v>175.24532475932088</v>
      </c>
      <c r="G65">
        <f t="shared" si="2"/>
        <v>18528.780000000002</v>
      </c>
      <c r="H65">
        <f t="shared" si="3"/>
        <v>18879.270649518643</v>
      </c>
      <c r="I65" s="2">
        <f t="shared" si="1"/>
        <v>18178.289350481362</v>
      </c>
    </row>
    <row r="66" spans="1:9" x14ac:dyDescent="0.25">
      <c r="A66" s="1">
        <v>44914</v>
      </c>
      <c r="B66">
        <v>18288.099999999999</v>
      </c>
      <c r="C66">
        <v>18431.650000000001</v>
      </c>
      <c r="D66">
        <v>18244.55</v>
      </c>
      <c r="E66">
        <v>18420.45</v>
      </c>
      <c r="F66" s="4">
        <f t="shared" si="0"/>
        <v>155.96879247144241</v>
      </c>
      <c r="G66">
        <f t="shared" si="2"/>
        <v>18541.805</v>
      </c>
      <c r="H66">
        <f t="shared" si="3"/>
        <v>18853.742584942884</v>
      </c>
      <c r="I66" s="2">
        <f t="shared" ref="I66:I129" si="4">G66-(F66*2)</f>
        <v>18229.867415057117</v>
      </c>
    </row>
    <row r="67" spans="1:9" x14ac:dyDescent="0.25">
      <c r="A67" s="1">
        <v>44915</v>
      </c>
      <c r="B67">
        <v>18340.3</v>
      </c>
      <c r="C67">
        <v>18404.900000000001</v>
      </c>
      <c r="D67">
        <v>18202.650000000001</v>
      </c>
      <c r="E67">
        <v>18385.3</v>
      </c>
      <c r="F67" s="4">
        <f t="shared" si="0"/>
        <v>145.16454508591244</v>
      </c>
      <c r="G67">
        <f t="shared" si="2"/>
        <v>18548.86</v>
      </c>
      <c r="H67">
        <f t="shared" si="3"/>
        <v>18839.189090171825</v>
      </c>
      <c r="I67" s="2">
        <f t="shared" si="4"/>
        <v>18258.530909828176</v>
      </c>
    </row>
    <row r="68" spans="1:9" x14ac:dyDescent="0.25">
      <c r="A68" s="1">
        <v>44916</v>
      </c>
      <c r="B68">
        <v>18435.150000000001</v>
      </c>
      <c r="C68">
        <v>18473.349999999999</v>
      </c>
      <c r="D68">
        <v>18162.75</v>
      </c>
      <c r="E68">
        <v>18199.099999999999</v>
      </c>
      <c r="F68" s="4">
        <f t="shared" si="0"/>
        <v>152.35657967002922</v>
      </c>
      <c r="G68">
        <f t="shared" si="2"/>
        <v>18545.452499999999</v>
      </c>
      <c r="H68">
        <f t="shared" si="3"/>
        <v>18850.165659340058</v>
      </c>
      <c r="I68" s="2">
        <f t="shared" si="4"/>
        <v>18240.73934065994</v>
      </c>
    </row>
    <row r="69" spans="1:9" x14ac:dyDescent="0.25">
      <c r="A69" s="1">
        <v>44917</v>
      </c>
      <c r="B69">
        <v>18288.8</v>
      </c>
      <c r="C69">
        <v>18318.75</v>
      </c>
      <c r="D69">
        <v>18068.599999999999</v>
      </c>
      <c r="E69">
        <v>18127.349999999999</v>
      </c>
      <c r="F69" s="4">
        <f t="shared" si="0"/>
        <v>177.33197547255821</v>
      </c>
      <c r="G69">
        <f t="shared" si="2"/>
        <v>18527.614999999998</v>
      </c>
      <c r="H69">
        <f t="shared" si="3"/>
        <v>18882.278950945114</v>
      </c>
      <c r="I69" s="2">
        <f t="shared" si="4"/>
        <v>18172.951049054882</v>
      </c>
    </row>
    <row r="70" spans="1:9" x14ac:dyDescent="0.25">
      <c r="A70" s="1">
        <v>44918</v>
      </c>
      <c r="B70">
        <v>17977.650000000001</v>
      </c>
      <c r="C70">
        <v>18050.45</v>
      </c>
      <c r="D70">
        <v>17779.5</v>
      </c>
      <c r="E70">
        <v>17806.8</v>
      </c>
      <c r="F70" s="4">
        <f t="shared" si="0"/>
        <v>236.99869370684306</v>
      </c>
      <c r="G70">
        <f t="shared" si="2"/>
        <v>18492.317499999997</v>
      </c>
      <c r="H70">
        <f t="shared" si="3"/>
        <v>18966.314887413682</v>
      </c>
      <c r="I70" s="2">
        <f t="shared" si="4"/>
        <v>18018.320112586312</v>
      </c>
    </row>
    <row r="71" spans="1:9" x14ac:dyDescent="0.25">
      <c r="A71" s="1">
        <v>44921</v>
      </c>
      <c r="B71">
        <v>17830.400000000001</v>
      </c>
      <c r="C71">
        <v>18084.099999999999</v>
      </c>
      <c r="D71">
        <v>17774.25</v>
      </c>
      <c r="E71">
        <v>18014.599999999999</v>
      </c>
      <c r="F71" s="4">
        <f t="shared" si="0"/>
        <v>258.03076056935549</v>
      </c>
      <c r="G71">
        <f t="shared" si="2"/>
        <v>18464.909999999996</v>
      </c>
      <c r="H71">
        <f t="shared" si="3"/>
        <v>18980.971521138708</v>
      </c>
      <c r="I71" s="2">
        <f t="shared" si="4"/>
        <v>17948.848478861284</v>
      </c>
    </row>
    <row r="72" spans="1:9" x14ac:dyDescent="0.25">
      <c r="A72" s="1">
        <v>44922</v>
      </c>
      <c r="B72">
        <v>18089.8</v>
      </c>
      <c r="C72">
        <v>18149.25</v>
      </c>
      <c r="D72">
        <v>17967.45</v>
      </c>
      <c r="E72">
        <v>18132.3</v>
      </c>
      <c r="F72" s="4">
        <f t="shared" si="0"/>
        <v>265.23361093336206</v>
      </c>
      <c r="G72">
        <f t="shared" si="2"/>
        <v>18440.622499999994</v>
      </c>
      <c r="H72">
        <f t="shared" si="3"/>
        <v>18971.08972186672</v>
      </c>
      <c r="I72" s="2">
        <f t="shared" si="4"/>
        <v>17910.155278133268</v>
      </c>
    </row>
    <row r="73" spans="1:9" x14ac:dyDescent="0.25">
      <c r="A73" s="1">
        <v>44923</v>
      </c>
      <c r="B73">
        <v>18084.75</v>
      </c>
      <c r="C73">
        <v>18173.099999999999</v>
      </c>
      <c r="D73">
        <v>18068.349999999999</v>
      </c>
      <c r="E73">
        <v>18122.5</v>
      </c>
      <c r="F73" s="4">
        <f t="shared" si="0"/>
        <v>263.34514111712804</v>
      </c>
      <c r="G73">
        <f t="shared" si="2"/>
        <v>18408.829999999994</v>
      </c>
      <c r="H73">
        <f t="shared" si="3"/>
        <v>18935.520282234251</v>
      </c>
      <c r="I73" s="2">
        <f t="shared" si="4"/>
        <v>17882.139717765738</v>
      </c>
    </row>
    <row r="74" spans="1:9" x14ac:dyDescent="0.25">
      <c r="A74" s="1">
        <v>44924</v>
      </c>
      <c r="B74">
        <v>18045.7</v>
      </c>
      <c r="C74">
        <v>18229.7</v>
      </c>
      <c r="D74">
        <v>17992.8</v>
      </c>
      <c r="E74">
        <v>18191</v>
      </c>
      <c r="F74" s="4">
        <f t="shared" si="0"/>
        <v>250.21996268283641</v>
      </c>
      <c r="G74">
        <f t="shared" si="2"/>
        <v>18377.754999999997</v>
      </c>
      <c r="H74">
        <f t="shared" si="3"/>
        <v>18878.194925365671</v>
      </c>
      <c r="I74" s="2">
        <f t="shared" si="4"/>
        <v>17877.315074634324</v>
      </c>
    </row>
    <row r="75" spans="1:9" x14ac:dyDescent="0.25">
      <c r="A75" s="1">
        <v>44925</v>
      </c>
      <c r="B75">
        <v>18259.099999999999</v>
      </c>
      <c r="C75">
        <v>18265.25</v>
      </c>
      <c r="D75">
        <v>18080.3</v>
      </c>
      <c r="E75">
        <v>18105.3</v>
      </c>
      <c r="F75" s="4">
        <f t="shared" si="0"/>
        <v>245.72714039153286</v>
      </c>
      <c r="G75">
        <f t="shared" si="2"/>
        <v>18348.214999999997</v>
      </c>
      <c r="H75">
        <f t="shared" si="3"/>
        <v>18839.669280783062</v>
      </c>
      <c r="I75" s="2">
        <f t="shared" si="4"/>
        <v>17856.760719216931</v>
      </c>
    </row>
    <row r="76" spans="1:9" x14ac:dyDescent="0.25">
      <c r="A76" s="1">
        <v>44928</v>
      </c>
      <c r="B76">
        <v>18131.7</v>
      </c>
      <c r="C76">
        <v>18215.150000000001</v>
      </c>
      <c r="D76">
        <v>18086.5</v>
      </c>
      <c r="E76">
        <v>18197.45</v>
      </c>
      <c r="F76" s="4">
        <f t="shared" si="0"/>
        <v>233.79408145844945</v>
      </c>
      <c r="G76">
        <f t="shared" si="2"/>
        <v>18323.035</v>
      </c>
      <c r="H76">
        <f t="shared" si="3"/>
        <v>18790.623162916898</v>
      </c>
      <c r="I76" s="2">
        <f t="shared" si="4"/>
        <v>17855.446837083102</v>
      </c>
    </row>
    <row r="77" spans="1:9" x14ac:dyDescent="0.25">
      <c r="A77" s="1">
        <v>44929</v>
      </c>
      <c r="B77">
        <v>18163.2</v>
      </c>
      <c r="C77">
        <v>18251.95</v>
      </c>
      <c r="D77">
        <v>18149.8</v>
      </c>
      <c r="E77">
        <v>18232.55</v>
      </c>
      <c r="F77" s="4">
        <f t="shared" si="0"/>
        <v>222.57022515377048</v>
      </c>
      <c r="G77">
        <f t="shared" si="2"/>
        <v>18302.525000000001</v>
      </c>
      <c r="H77">
        <f t="shared" si="3"/>
        <v>18747.665450307541</v>
      </c>
      <c r="I77" s="2">
        <f t="shared" si="4"/>
        <v>17857.384549692462</v>
      </c>
    </row>
    <row r="78" spans="1:9" x14ac:dyDescent="0.25">
      <c r="A78" s="1">
        <v>44930</v>
      </c>
      <c r="B78">
        <v>18230.650000000001</v>
      </c>
      <c r="C78">
        <v>18243</v>
      </c>
      <c r="D78">
        <v>18020.599999999999</v>
      </c>
      <c r="E78">
        <v>18042.95</v>
      </c>
      <c r="F78" s="4">
        <f t="shared" si="0"/>
        <v>221.1543897795159</v>
      </c>
      <c r="G78">
        <f t="shared" si="2"/>
        <v>18276.647499999999</v>
      </c>
      <c r="H78">
        <f t="shared" si="3"/>
        <v>18718.956279559032</v>
      </c>
      <c r="I78" s="2">
        <f t="shared" si="4"/>
        <v>17834.338720440966</v>
      </c>
    </row>
    <row r="79" spans="1:9" x14ac:dyDescent="0.25">
      <c r="A79" s="1">
        <v>44931</v>
      </c>
      <c r="B79">
        <v>18101.95</v>
      </c>
      <c r="C79">
        <v>18120.3</v>
      </c>
      <c r="D79">
        <v>17892.599999999999</v>
      </c>
      <c r="E79">
        <v>17992.150000000001</v>
      </c>
      <c r="F79" s="4">
        <f t="shared" si="0"/>
        <v>215.56743311258791</v>
      </c>
      <c r="G79">
        <f t="shared" si="2"/>
        <v>18245.787499999999</v>
      </c>
      <c r="H79">
        <f t="shared" si="3"/>
        <v>18676.922366225175</v>
      </c>
      <c r="I79" s="2">
        <f t="shared" si="4"/>
        <v>17814.652633774822</v>
      </c>
    </row>
    <row r="80" spans="1:9" x14ac:dyDescent="0.25">
      <c r="A80" s="1">
        <v>44932</v>
      </c>
      <c r="B80">
        <v>18008.05</v>
      </c>
      <c r="C80">
        <v>18047.400000000001</v>
      </c>
      <c r="D80">
        <v>17795.55</v>
      </c>
      <c r="E80">
        <v>17859.45</v>
      </c>
      <c r="F80" s="4">
        <f t="shared" si="0"/>
        <v>223.09618015555543</v>
      </c>
      <c r="G80">
        <f t="shared" si="2"/>
        <v>18213.93</v>
      </c>
      <c r="H80">
        <f t="shared" si="3"/>
        <v>18660.12236031111</v>
      </c>
      <c r="I80" s="2">
        <f t="shared" si="4"/>
        <v>17767.73763968889</v>
      </c>
    </row>
    <row r="81" spans="1:9" x14ac:dyDescent="0.25">
      <c r="A81" s="1">
        <v>44935</v>
      </c>
      <c r="B81">
        <v>17952.55</v>
      </c>
      <c r="C81">
        <v>18141.400000000001</v>
      </c>
      <c r="D81">
        <v>17936.150000000001</v>
      </c>
      <c r="E81">
        <v>18101.2</v>
      </c>
      <c r="F81" s="4">
        <f t="shared" si="0"/>
        <v>214.48703648181166</v>
      </c>
      <c r="G81">
        <f t="shared" si="2"/>
        <v>18194.1325</v>
      </c>
      <c r="H81">
        <f t="shared" si="3"/>
        <v>18623.106572963625</v>
      </c>
      <c r="I81" s="2">
        <f t="shared" si="4"/>
        <v>17765.158427036375</v>
      </c>
    </row>
    <row r="82" spans="1:9" x14ac:dyDescent="0.25">
      <c r="A82" s="1">
        <v>44936</v>
      </c>
      <c r="B82">
        <v>18121.3</v>
      </c>
      <c r="C82">
        <v>18127.599999999999</v>
      </c>
      <c r="D82">
        <v>17856</v>
      </c>
      <c r="E82">
        <v>17914.150000000001</v>
      </c>
      <c r="F82" s="4">
        <f t="shared" si="0"/>
        <v>200.39040371235333</v>
      </c>
      <c r="G82">
        <f t="shared" si="2"/>
        <v>18159.440000000002</v>
      </c>
      <c r="H82">
        <f t="shared" si="3"/>
        <v>18560.22080742471</v>
      </c>
      <c r="I82" s="2">
        <f t="shared" si="4"/>
        <v>17758.659192575295</v>
      </c>
    </row>
    <row r="83" spans="1:9" x14ac:dyDescent="0.25">
      <c r="A83" s="1">
        <v>44937</v>
      </c>
      <c r="B83">
        <v>17924.25</v>
      </c>
      <c r="C83">
        <v>17976.349999999999</v>
      </c>
      <c r="D83">
        <v>17824.349999999999</v>
      </c>
      <c r="E83">
        <v>17895.7</v>
      </c>
      <c r="F83" s="4">
        <f t="shared" si="0"/>
        <v>172.13274935351487</v>
      </c>
      <c r="G83">
        <f t="shared" si="2"/>
        <v>18121.210000000003</v>
      </c>
      <c r="H83">
        <f t="shared" si="3"/>
        <v>18465.475498707034</v>
      </c>
      <c r="I83" s="2">
        <f t="shared" si="4"/>
        <v>17776.944501292972</v>
      </c>
    </row>
    <row r="84" spans="1:9" x14ac:dyDescent="0.25">
      <c r="A84" s="1">
        <v>44938</v>
      </c>
      <c r="B84">
        <v>17920.849999999999</v>
      </c>
      <c r="C84">
        <v>17945.8</v>
      </c>
      <c r="D84">
        <v>17761.650000000001</v>
      </c>
      <c r="E84">
        <v>17858.2</v>
      </c>
      <c r="F84" s="4">
        <f t="shared" si="0"/>
        <v>167.33474945449888</v>
      </c>
      <c r="G84">
        <f t="shared" si="2"/>
        <v>18093.375000000004</v>
      </c>
      <c r="H84">
        <f t="shared" si="3"/>
        <v>18428.044498909003</v>
      </c>
      <c r="I84" s="2">
        <f t="shared" si="4"/>
        <v>17758.705501091004</v>
      </c>
    </row>
    <row r="85" spans="1:9" x14ac:dyDescent="0.25">
      <c r="A85" s="1">
        <v>44939</v>
      </c>
      <c r="B85">
        <v>17867.5</v>
      </c>
      <c r="C85">
        <v>17999.349999999999</v>
      </c>
      <c r="D85">
        <v>17774.25</v>
      </c>
      <c r="E85">
        <v>17956.599999999999</v>
      </c>
      <c r="F85" s="4">
        <f t="shared" ref="F85:F148" si="5">STDEVPA(E66:E85)</f>
        <v>164.77286480182326</v>
      </c>
      <c r="G85">
        <f t="shared" si="2"/>
        <v>18077.755000000001</v>
      </c>
      <c r="H85">
        <f t="shared" si="3"/>
        <v>18407.300729603649</v>
      </c>
      <c r="I85" s="2">
        <f t="shared" si="4"/>
        <v>17748.209270396354</v>
      </c>
    </row>
    <row r="86" spans="1:9" x14ac:dyDescent="0.25">
      <c r="A86" s="1">
        <v>44942</v>
      </c>
      <c r="B86">
        <v>18033.150000000001</v>
      </c>
      <c r="C86">
        <v>18049.650000000001</v>
      </c>
      <c r="D86">
        <v>17853.650000000001</v>
      </c>
      <c r="E86">
        <v>17894.849999999999</v>
      </c>
      <c r="F86" s="4">
        <f t="shared" si="5"/>
        <v>149.19844964006808</v>
      </c>
      <c r="G86">
        <f t="shared" ref="G86:G149" si="6">AVERAGE(E67:E86)</f>
        <v>18051.474999999999</v>
      </c>
      <c r="H86">
        <f t="shared" ref="H86:H149" si="7">G86+(F86*2)</f>
        <v>18349.871899280133</v>
      </c>
      <c r="I86" s="2">
        <f t="shared" si="4"/>
        <v>17753.078100719864</v>
      </c>
    </row>
    <row r="87" spans="1:9" x14ac:dyDescent="0.25">
      <c r="A87" s="1">
        <v>44943</v>
      </c>
      <c r="B87">
        <v>17922.8</v>
      </c>
      <c r="C87">
        <v>18072.05</v>
      </c>
      <c r="D87">
        <v>17886.95</v>
      </c>
      <c r="E87">
        <v>18053.3</v>
      </c>
      <c r="F87" s="4">
        <f t="shared" si="5"/>
        <v>128.11255744461565</v>
      </c>
      <c r="G87">
        <f t="shared" si="6"/>
        <v>18034.875</v>
      </c>
      <c r="H87">
        <f t="shared" si="7"/>
        <v>18291.100114889232</v>
      </c>
      <c r="I87" s="2">
        <f t="shared" si="4"/>
        <v>17778.649885110768</v>
      </c>
    </row>
    <row r="88" spans="1:9" x14ac:dyDescent="0.25">
      <c r="A88" s="1">
        <v>44944</v>
      </c>
      <c r="B88">
        <v>18074.3</v>
      </c>
      <c r="C88">
        <v>18183.75</v>
      </c>
      <c r="D88">
        <v>18032.45</v>
      </c>
      <c r="E88">
        <v>18165.349999999999</v>
      </c>
      <c r="F88" s="4">
        <f t="shared" si="5"/>
        <v>126.14544569166952</v>
      </c>
      <c r="G88">
        <f t="shared" si="6"/>
        <v>18033.187499999996</v>
      </c>
      <c r="H88">
        <f t="shared" si="7"/>
        <v>18285.478391383334</v>
      </c>
      <c r="I88" s="2">
        <f t="shared" si="4"/>
        <v>17780.896608616658</v>
      </c>
    </row>
    <row r="89" spans="1:9" x14ac:dyDescent="0.25">
      <c r="A89" s="1">
        <v>44945</v>
      </c>
      <c r="B89">
        <v>18119.8</v>
      </c>
      <c r="C89">
        <v>18155.2</v>
      </c>
      <c r="D89">
        <v>18063.75</v>
      </c>
      <c r="E89">
        <v>18107.849999999999</v>
      </c>
      <c r="F89" s="4">
        <f t="shared" si="5"/>
        <v>125.48752315967494</v>
      </c>
      <c r="G89">
        <f t="shared" si="6"/>
        <v>18032.212499999998</v>
      </c>
      <c r="H89">
        <f t="shared" si="7"/>
        <v>18283.187546319346</v>
      </c>
      <c r="I89" s="2">
        <f t="shared" si="4"/>
        <v>17781.237453680649</v>
      </c>
    </row>
    <row r="90" spans="1:9" x14ac:dyDescent="0.25">
      <c r="A90" s="1">
        <v>44946</v>
      </c>
      <c r="B90">
        <v>18115.599999999999</v>
      </c>
      <c r="C90">
        <v>18145.45</v>
      </c>
      <c r="D90">
        <v>18016.2</v>
      </c>
      <c r="E90">
        <v>18027.650000000001</v>
      </c>
      <c r="F90" s="4">
        <f t="shared" si="5"/>
        <v>114.39266901773006</v>
      </c>
      <c r="G90">
        <f t="shared" si="6"/>
        <v>18043.254999999997</v>
      </c>
      <c r="H90">
        <f t="shared" si="7"/>
        <v>18272.040338035458</v>
      </c>
      <c r="I90" s="2">
        <f t="shared" si="4"/>
        <v>17814.469661964536</v>
      </c>
    </row>
    <row r="91" spans="1:9" x14ac:dyDescent="0.25">
      <c r="A91" s="1">
        <v>44949</v>
      </c>
      <c r="B91">
        <v>18118.45</v>
      </c>
      <c r="C91">
        <v>18162.599999999999</v>
      </c>
      <c r="D91">
        <v>18063.45</v>
      </c>
      <c r="E91">
        <v>18118.55</v>
      </c>
      <c r="F91" s="4">
        <f t="shared" si="5"/>
        <v>115.33030876031646</v>
      </c>
      <c r="G91">
        <f t="shared" si="6"/>
        <v>18048.452499999999</v>
      </c>
      <c r="H91">
        <f t="shared" si="7"/>
        <v>18279.113117520632</v>
      </c>
      <c r="I91" s="2">
        <f t="shared" si="4"/>
        <v>17817.791882479367</v>
      </c>
    </row>
    <row r="92" spans="1:9" x14ac:dyDescent="0.25">
      <c r="A92" s="1">
        <v>44950</v>
      </c>
      <c r="B92">
        <v>18183.95</v>
      </c>
      <c r="C92">
        <v>18201.25</v>
      </c>
      <c r="D92">
        <v>18078.650000000001</v>
      </c>
      <c r="E92">
        <v>18118.3</v>
      </c>
      <c r="F92" s="4">
        <f t="shared" si="5"/>
        <v>114.86080105392755</v>
      </c>
      <c r="G92">
        <f t="shared" si="6"/>
        <v>18047.752499999999</v>
      </c>
      <c r="H92">
        <f t="shared" si="7"/>
        <v>18277.474102107855</v>
      </c>
      <c r="I92" s="2">
        <f t="shared" si="4"/>
        <v>17818.030897892142</v>
      </c>
    </row>
    <row r="93" spans="1:9" x14ac:dyDescent="0.25">
      <c r="A93" s="1">
        <v>44951</v>
      </c>
      <c r="B93">
        <v>18093.349999999999</v>
      </c>
      <c r="C93">
        <v>18100.599999999999</v>
      </c>
      <c r="D93">
        <v>17846.150000000001</v>
      </c>
      <c r="E93">
        <v>17891.95</v>
      </c>
      <c r="F93" s="4">
        <f t="shared" si="5"/>
        <v>118.2982750296889</v>
      </c>
      <c r="G93">
        <f t="shared" si="6"/>
        <v>18036.224999999999</v>
      </c>
      <c r="H93">
        <f t="shared" si="7"/>
        <v>18272.821550059376</v>
      </c>
      <c r="I93" s="2">
        <f t="shared" si="4"/>
        <v>17799.628449940621</v>
      </c>
    </row>
    <row r="94" spans="1:9" x14ac:dyDescent="0.25">
      <c r="A94" s="1">
        <v>44953</v>
      </c>
      <c r="B94">
        <v>17877.2</v>
      </c>
      <c r="C94">
        <v>17884.75</v>
      </c>
      <c r="D94">
        <v>17493.55</v>
      </c>
      <c r="E94">
        <v>17604.349999999999</v>
      </c>
      <c r="F94" s="4">
        <f t="shared" si="5"/>
        <v>145.8153697960197</v>
      </c>
      <c r="G94">
        <f t="shared" si="6"/>
        <v>18006.892499999998</v>
      </c>
      <c r="H94">
        <f t="shared" si="7"/>
        <v>18298.523239592039</v>
      </c>
      <c r="I94" s="2">
        <f t="shared" si="4"/>
        <v>17715.261760407957</v>
      </c>
    </row>
    <row r="95" spans="1:9" x14ac:dyDescent="0.25">
      <c r="A95" s="1">
        <v>44956</v>
      </c>
      <c r="B95">
        <v>17541.95</v>
      </c>
      <c r="C95">
        <v>17709.150000000001</v>
      </c>
      <c r="D95">
        <v>17405.55</v>
      </c>
      <c r="E95">
        <v>17648.95</v>
      </c>
      <c r="F95" s="4">
        <f t="shared" si="5"/>
        <v>163.2893861370051</v>
      </c>
      <c r="G95">
        <f t="shared" si="6"/>
        <v>17984.075000000001</v>
      </c>
      <c r="H95">
        <f t="shared" si="7"/>
        <v>18310.65377227401</v>
      </c>
      <c r="I95" s="2">
        <f t="shared" si="4"/>
        <v>17657.496227725991</v>
      </c>
    </row>
    <row r="96" spans="1:9" x14ac:dyDescent="0.25">
      <c r="A96" s="1">
        <v>44957</v>
      </c>
      <c r="B96">
        <v>17731.45</v>
      </c>
      <c r="C96">
        <v>17735.7</v>
      </c>
      <c r="D96">
        <v>17537.55</v>
      </c>
      <c r="E96">
        <v>17662.150000000001</v>
      </c>
      <c r="F96" s="4">
        <f t="shared" si="5"/>
        <v>169.8599398033565</v>
      </c>
      <c r="G96">
        <f t="shared" si="6"/>
        <v>17957.310000000001</v>
      </c>
      <c r="H96">
        <f t="shared" si="7"/>
        <v>18297.029879606715</v>
      </c>
      <c r="I96" s="2">
        <f t="shared" si="4"/>
        <v>17617.590120393288</v>
      </c>
    </row>
    <row r="97" spans="1:9" x14ac:dyDescent="0.25">
      <c r="A97" s="1">
        <v>44958</v>
      </c>
      <c r="B97">
        <v>17811.599999999999</v>
      </c>
      <c r="C97">
        <v>17972.2</v>
      </c>
      <c r="D97">
        <v>17353.400000000001</v>
      </c>
      <c r="E97">
        <v>17616.3</v>
      </c>
      <c r="F97" s="4">
        <f t="shared" si="5"/>
        <v>173.00152345788734</v>
      </c>
      <c r="G97">
        <f t="shared" si="6"/>
        <v>17926.497500000001</v>
      </c>
      <c r="H97">
        <f t="shared" si="7"/>
        <v>18272.500546915777</v>
      </c>
      <c r="I97" s="2">
        <f t="shared" si="4"/>
        <v>17580.494453084226</v>
      </c>
    </row>
    <row r="98" spans="1:9" x14ac:dyDescent="0.25">
      <c r="A98" s="1">
        <v>44959</v>
      </c>
      <c r="B98">
        <v>17517.099999999999</v>
      </c>
      <c r="C98">
        <v>17653.900000000001</v>
      </c>
      <c r="D98">
        <v>17445.95</v>
      </c>
      <c r="E98">
        <v>17610.400000000001</v>
      </c>
      <c r="F98" s="4">
        <f t="shared" si="5"/>
        <v>183.79227568099779</v>
      </c>
      <c r="G98">
        <f t="shared" si="6"/>
        <v>17904.870000000003</v>
      </c>
      <c r="H98">
        <f t="shared" si="7"/>
        <v>18272.454551362</v>
      </c>
      <c r="I98" s="2">
        <f t="shared" si="4"/>
        <v>17537.285448638006</v>
      </c>
    </row>
    <row r="99" spans="1:9" x14ac:dyDescent="0.25">
      <c r="A99" s="1">
        <v>44960</v>
      </c>
      <c r="B99">
        <v>17721.75</v>
      </c>
      <c r="C99">
        <v>17870.3</v>
      </c>
      <c r="D99">
        <v>17584.2</v>
      </c>
      <c r="E99">
        <v>17854.05</v>
      </c>
      <c r="F99" s="4">
        <f t="shared" si="5"/>
        <v>182.97585981489439</v>
      </c>
      <c r="G99">
        <f t="shared" si="6"/>
        <v>17897.965</v>
      </c>
      <c r="H99">
        <f t="shared" si="7"/>
        <v>18263.916719629789</v>
      </c>
      <c r="I99" s="2">
        <f t="shared" si="4"/>
        <v>17532.013280370211</v>
      </c>
    </row>
    <row r="100" spans="1:9" x14ac:dyDescent="0.25">
      <c r="A100" s="1">
        <v>44963</v>
      </c>
      <c r="B100">
        <v>17818.55</v>
      </c>
      <c r="C100">
        <v>17823.7</v>
      </c>
      <c r="D100">
        <v>17698.349999999999</v>
      </c>
      <c r="E100">
        <v>17764.599999999999</v>
      </c>
      <c r="F100" s="4">
        <f t="shared" si="5"/>
        <v>185.12918427074078</v>
      </c>
      <c r="G100">
        <f t="shared" si="6"/>
        <v>17893.2225</v>
      </c>
      <c r="H100">
        <f t="shared" si="7"/>
        <v>18263.480868541483</v>
      </c>
      <c r="I100" s="2">
        <f t="shared" si="4"/>
        <v>17522.964131458517</v>
      </c>
    </row>
    <row r="101" spans="1:9" x14ac:dyDescent="0.25">
      <c r="A101" s="1">
        <v>44964</v>
      </c>
      <c r="B101">
        <v>17790.099999999999</v>
      </c>
      <c r="C101">
        <v>17811.150000000001</v>
      </c>
      <c r="D101">
        <v>17652.55</v>
      </c>
      <c r="E101">
        <v>17721.5</v>
      </c>
      <c r="F101" s="4">
        <f t="shared" si="5"/>
        <v>182.27474720528315</v>
      </c>
      <c r="G101">
        <f t="shared" si="6"/>
        <v>17874.237499999999</v>
      </c>
      <c r="H101">
        <f t="shared" si="7"/>
        <v>18238.786994410566</v>
      </c>
      <c r="I101" s="2">
        <f t="shared" si="4"/>
        <v>17509.688005589433</v>
      </c>
    </row>
    <row r="102" spans="1:9" x14ac:dyDescent="0.25">
      <c r="A102" s="1">
        <v>44965</v>
      </c>
      <c r="B102">
        <v>17750.3</v>
      </c>
      <c r="C102">
        <v>17898.7</v>
      </c>
      <c r="D102">
        <v>17744.150000000001</v>
      </c>
      <c r="E102">
        <v>17871.7</v>
      </c>
      <c r="F102" s="4">
        <f t="shared" si="5"/>
        <v>182.04463745191694</v>
      </c>
      <c r="G102">
        <f t="shared" si="6"/>
        <v>17872.114999999998</v>
      </c>
      <c r="H102">
        <f t="shared" si="7"/>
        <v>18236.20427490383</v>
      </c>
      <c r="I102" s="2">
        <f t="shared" si="4"/>
        <v>17508.025725096166</v>
      </c>
    </row>
    <row r="103" spans="1:9" x14ac:dyDescent="0.25">
      <c r="A103" s="1">
        <v>44966</v>
      </c>
      <c r="B103">
        <v>17885.5</v>
      </c>
      <c r="C103">
        <v>17916.900000000001</v>
      </c>
      <c r="D103">
        <v>17779.8</v>
      </c>
      <c r="E103">
        <v>17893.45</v>
      </c>
      <c r="F103" s="4">
        <f t="shared" si="5"/>
        <v>182.03072232112322</v>
      </c>
      <c r="G103">
        <f t="shared" si="6"/>
        <v>17872.002499999999</v>
      </c>
      <c r="H103">
        <f t="shared" si="7"/>
        <v>18236.063944642246</v>
      </c>
      <c r="I103" s="2">
        <f t="shared" si="4"/>
        <v>17507.941055357751</v>
      </c>
    </row>
    <row r="104" spans="1:9" x14ac:dyDescent="0.25">
      <c r="A104" s="1">
        <v>44967</v>
      </c>
      <c r="B104">
        <v>17847.55</v>
      </c>
      <c r="C104">
        <v>17876.95</v>
      </c>
      <c r="D104">
        <v>17801</v>
      </c>
      <c r="E104">
        <v>17856.5</v>
      </c>
      <c r="F104" s="4">
        <f t="shared" si="5"/>
        <v>182.03754439331982</v>
      </c>
      <c r="G104">
        <f t="shared" si="6"/>
        <v>17871.917500000003</v>
      </c>
      <c r="H104">
        <f t="shared" si="7"/>
        <v>18235.992588786641</v>
      </c>
      <c r="I104" s="2">
        <f t="shared" si="4"/>
        <v>17507.842411213365</v>
      </c>
    </row>
    <row r="105" spans="1:9" x14ac:dyDescent="0.25">
      <c r="A105" s="1">
        <v>44970</v>
      </c>
      <c r="B105">
        <v>17859.099999999999</v>
      </c>
      <c r="C105">
        <v>17880.7</v>
      </c>
      <c r="D105">
        <v>17719.75</v>
      </c>
      <c r="E105">
        <v>17770.900000000001</v>
      </c>
      <c r="F105" s="4">
        <f t="shared" si="5"/>
        <v>182.21725170452402</v>
      </c>
      <c r="G105">
        <f t="shared" si="6"/>
        <v>17862.6325</v>
      </c>
      <c r="H105">
        <f t="shared" si="7"/>
        <v>18227.067003409047</v>
      </c>
      <c r="I105" s="2">
        <f t="shared" si="4"/>
        <v>17498.197996590952</v>
      </c>
    </row>
    <row r="106" spans="1:9" x14ac:dyDescent="0.25">
      <c r="A106" s="1">
        <v>44971</v>
      </c>
      <c r="B106">
        <v>17840.349999999999</v>
      </c>
      <c r="C106">
        <v>17954.55</v>
      </c>
      <c r="D106">
        <v>17800.05</v>
      </c>
      <c r="E106">
        <v>17929.849999999999</v>
      </c>
      <c r="F106" s="4">
        <f t="shared" si="5"/>
        <v>182.68572896849352</v>
      </c>
      <c r="G106">
        <f t="shared" si="6"/>
        <v>17864.3825</v>
      </c>
      <c r="H106">
        <f t="shared" si="7"/>
        <v>18229.753957936988</v>
      </c>
      <c r="I106" s="2">
        <f t="shared" si="4"/>
        <v>17499.011042063012</v>
      </c>
    </row>
    <row r="107" spans="1:9" x14ac:dyDescent="0.25">
      <c r="A107" s="1">
        <v>44972</v>
      </c>
      <c r="B107">
        <v>17896.599999999999</v>
      </c>
      <c r="C107">
        <v>18034.099999999999</v>
      </c>
      <c r="D107">
        <v>17853.8</v>
      </c>
      <c r="E107">
        <v>18015.849999999999</v>
      </c>
      <c r="F107" s="4">
        <f t="shared" si="5"/>
        <v>180.92318369960182</v>
      </c>
      <c r="G107">
        <f t="shared" si="6"/>
        <v>17862.509999999998</v>
      </c>
      <c r="H107">
        <f t="shared" si="7"/>
        <v>18224.356367399203</v>
      </c>
      <c r="I107" s="2">
        <f t="shared" si="4"/>
        <v>17500.663632600794</v>
      </c>
    </row>
    <row r="108" spans="1:9" x14ac:dyDescent="0.25">
      <c r="A108" s="1">
        <v>44973</v>
      </c>
      <c r="B108">
        <v>18094.75</v>
      </c>
      <c r="C108">
        <v>18134.75</v>
      </c>
      <c r="D108">
        <v>18000.650000000001</v>
      </c>
      <c r="E108">
        <v>18035.849999999999</v>
      </c>
      <c r="F108" s="4">
        <f t="shared" si="5"/>
        <v>172.06977443758061</v>
      </c>
      <c r="G108">
        <f t="shared" si="6"/>
        <v>17856.034999999996</v>
      </c>
      <c r="H108">
        <f t="shared" si="7"/>
        <v>18200.174548875159</v>
      </c>
      <c r="I108" s="2">
        <f t="shared" si="4"/>
        <v>17511.895451124834</v>
      </c>
    </row>
    <row r="109" spans="1:9" x14ac:dyDescent="0.25">
      <c r="A109" s="1">
        <v>44974</v>
      </c>
      <c r="B109">
        <v>17974.849999999999</v>
      </c>
      <c r="C109">
        <v>18034.25</v>
      </c>
      <c r="D109">
        <v>17884.599999999999</v>
      </c>
      <c r="E109">
        <v>17944.2</v>
      </c>
      <c r="F109" s="4">
        <f t="shared" si="5"/>
        <v>163.58229616541612</v>
      </c>
      <c r="G109">
        <f t="shared" si="6"/>
        <v>17847.852500000001</v>
      </c>
      <c r="H109">
        <f t="shared" si="7"/>
        <v>18175.017092330832</v>
      </c>
      <c r="I109" s="2">
        <f t="shared" si="4"/>
        <v>17520.687907669169</v>
      </c>
    </row>
    <row r="110" spans="1:9" x14ac:dyDescent="0.25">
      <c r="A110" s="1">
        <v>44977</v>
      </c>
      <c r="B110">
        <v>17965.55</v>
      </c>
      <c r="C110">
        <v>18004.349999999999</v>
      </c>
      <c r="D110">
        <v>17818.400000000001</v>
      </c>
      <c r="E110">
        <v>17844.599999999999</v>
      </c>
      <c r="F110" s="4">
        <f t="shared" si="5"/>
        <v>158.30215175416879</v>
      </c>
      <c r="G110">
        <f t="shared" si="6"/>
        <v>17838.699999999997</v>
      </c>
      <c r="H110">
        <f t="shared" si="7"/>
        <v>18155.304303508336</v>
      </c>
      <c r="I110" s="2">
        <f t="shared" si="4"/>
        <v>17522.095696491659</v>
      </c>
    </row>
    <row r="111" spans="1:9" x14ac:dyDescent="0.25">
      <c r="A111" s="1">
        <v>44978</v>
      </c>
      <c r="B111">
        <v>17905.8</v>
      </c>
      <c r="C111">
        <v>17924.900000000001</v>
      </c>
      <c r="D111">
        <v>17800.3</v>
      </c>
      <c r="E111">
        <v>17826.7</v>
      </c>
      <c r="F111" s="4">
        <f t="shared" si="5"/>
        <v>144.69978945648091</v>
      </c>
      <c r="G111">
        <f t="shared" si="6"/>
        <v>17824.107499999998</v>
      </c>
      <c r="H111">
        <f t="shared" si="7"/>
        <v>18113.50707891296</v>
      </c>
      <c r="I111" s="2">
        <f t="shared" si="4"/>
        <v>17534.707921087036</v>
      </c>
    </row>
    <row r="112" spans="1:9" x14ac:dyDescent="0.25">
      <c r="A112" s="1">
        <v>44979</v>
      </c>
      <c r="B112">
        <v>17755.349999999999</v>
      </c>
      <c r="C112">
        <v>17772.5</v>
      </c>
      <c r="D112">
        <v>17529.45</v>
      </c>
      <c r="E112">
        <v>17554.3</v>
      </c>
      <c r="F112" s="4">
        <f t="shared" si="5"/>
        <v>139.48165495415495</v>
      </c>
      <c r="G112">
        <f t="shared" si="6"/>
        <v>17795.907499999998</v>
      </c>
      <c r="H112">
        <f t="shared" si="7"/>
        <v>18074.870809908309</v>
      </c>
      <c r="I112" s="2">
        <f t="shared" si="4"/>
        <v>17516.944190091686</v>
      </c>
    </row>
    <row r="113" spans="1:9" x14ac:dyDescent="0.25">
      <c r="A113" s="1">
        <v>44980</v>
      </c>
      <c r="B113">
        <v>17574.650000000001</v>
      </c>
      <c r="C113">
        <v>17620.05</v>
      </c>
      <c r="D113">
        <v>17455.400000000001</v>
      </c>
      <c r="E113">
        <v>17511.25</v>
      </c>
      <c r="F113" s="4">
        <f t="shared" si="5"/>
        <v>150.60905473692452</v>
      </c>
      <c r="G113">
        <f t="shared" si="6"/>
        <v>17776.872500000001</v>
      </c>
      <c r="H113">
        <f t="shared" si="7"/>
        <v>18078.090609473849</v>
      </c>
      <c r="I113" s="2">
        <f t="shared" si="4"/>
        <v>17475.654390526153</v>
      </c>
    </row>
    <row r="114" spans="1:9" x14ac:dyDescent="0.25">
      <c r="A114" s="1">
        <v>44981</v>
      </c>
      <c r="B114">
        <v>17591.349999999999</v>
      </c>
      <c r="C114">
        <v>17599.75</v>
      </c>
      <c r="D114">
        <v>17421.8</v>
      </c>
      <c r="E114">
        <v>17465.8</v>
      </c>
      <c r="F114" s="4">
        <f t="shared" si="5"/>
        <v>161.19926015649054</v>
      </c>
      <c r="G114">
        <f t="shared" si="6"/>
        <v>17769.945</v>
      </c>
      <c r="H114">
        <f t="shared" si="7"/>
        <v>18092.343520312981</v>
      </c>
      <c r="I114" s="2">
        <f t="shared" si="4"/>
        <v>17447.546479687018</v>
      </c>
    </row>
    <row r="115" spans="1:9" x14ac:dyDescent="0.25">
      <c r="A115" s="1">
        <v>44984</v>
      </c>
      <c r="B115">
        <v>17428.599999999999</v>
      </c>
      <c r="C115">
        <v>17451.599999999999</v>
      </c>
      <c r="D115">
        <v>17299</v>
      </c>
      <c r="E115">
        <v>17392.7</v>
      </c>
      <c r="F115" s="4">
        <f t="shared" si="5"/>
        <v>179.45679513116769</v>
      </c>
      <c r="G115">
        <f t="shared" si="6"/>
        <v>17757.1325</v>
      </c>
      <c r="H115">
        <f t="shared" si="7"/>
        <v>18116.046090262334</v>
      </c>
      <c r="I115" s="2">
        <f t="shared" si="4"/>
        <v>17398.218909737665</v>
      </c>
    </row>
    <row r="116" spans="1:9" x14ac:dyDescent="0.25">
      <c r="A116" s="1">
        <v>44985</v>
      </c>
      <c r="B116">
        <v>17383.25</v>
      </c>
      <c r="C116">
        <v>17440.45</v>
      </c>
      <c r="D116">
        <v>17255.2</v>
      </c>
      <c r="E116">
        <v>17303.95</v>
      </c>
      <c r="F116" s="4">
        <f t="shared" si="5"/>
        <v>204.20971663647614</v>
      </c>
      <c r="G116">
        <f t="shared" si="6"/>
        <v>17739.2225</v>
      </c>
      <c r="H116">
        <f t="shared" si="7"/>
        <v>18147.641933272953</v>
      </c>
      <c r="I116" s="2">
        <f t="shared" si="4"/>
        <v>17330.803066727047</v>
      </c>
    </row>
    <row r="117" spans="1:9" x14ac:dyDescent="0.25">
      <c r="A117" s="1">
        <v>44986</v>
      </c>
      <c r="B117">
        <v>17360.099999999999</v>
      </c>
      <c r="C117">
        <v>17467.75</v>
      </c>
      <c r="D117">
        <v>17345.25</v>
      </c>
      <c r="E117">
        <v>17450.900000000001</v>
      </c>
      <c r="F117" s="4">
        <f t="shared" si="5"/>
        <v>212.21265659415752</v>
      </c>
      <c r="G117">
        <f t="shared" si="6"/>
        <v>17730.952500000003</v>
      </c>
      <c r="H117">
        <f t="shared" si="7"/>
        <v>18155.377813188319</v>
      </c>
      <c r="I117" s="2">
        <f t="shared" si="4"/>
        <v>17306.527186811687</v>
      </c>
    </row>
    <row r="118" spans="1:9" x14ac:dyDescent="0.25">
      <c r="A118" s="1">
        <v>44987</v>
      </c>
      <c r="B118">
        <v>17421.5</v>
      </c>
      <c r="C118">
        <v>17445.8</v>
      </c>
      <c r="D118">
        <v>17306</v>
      </c>
      <c r="E118">
        <v>17321.900000000001</v>
      </c>
      <c r="F118" s="4">
        <f t="shared" si="5"/>
        <v>229.05388693220158</v>
      </c>
      <c r="G118">
        <f t="shared" si="6"/>
        <v>17716.527500000004</v>
      </c>
      <c r="H118">
        <f t="shared" si="7"/>
        <v>18174.635273864405</v>
      </c>
      <c r="I118" s="2">
        <f t="shared" si="4"/>
        <v>17258.419726135602</v>
      </c>
    </row>
    <row r="119" spans="1:9" x14ac:dyDescent="0.25">
      <c r="A119" s="1">
        <v>44988</v>
      </c>
      <c r="B119">
        <v>17451.25</v>
      </c>
      <c r="C119">
        <v>17644.75</v>
      </c>
      <c r="D119">
        <v>17427.7</v>
      </c>
      <c r="E119">
        <v>17594.349999999999</v>
      </c>
      <c r="F119" s="4">
        <f t="shared" si="5"/>
        <v>228.24946455304075</v>
      </c>
      <c r="G119">
        <f t="shared" si="6"/>
        <v>17703.542500000003</v>
      </c>
      <c r="H119">
        <f t="shared" si="7"/>
        <v>18160.041429106084</v>
      </c>
      <c r="I119" s="2">
        <f t="shared" si="4"/>
        <v>17247.043570893922</v>
      </c>
    </row>
    <row r="120" spans="1:9" x14ac:dyDescent="0.25">
      <c r="A120" s="1">
        <v>44991</v>
      </c>
      <c r="B120">
        <v>17680.349999999999</v>
      </c>
      <c r="C120">
        <v>17799.95</v>
      </c>
      <c r="D120">
        <v>17671.95</v>
      </c>
      <c r="E120">
        <v>17711.45</v>
      </c>
      <c r="F120" s="4">
        <f t="shared" si="5"/>
        <v>227.8321339824561</v>
      </c>
      <c r="G120">
        <f t="shared" si="6"/>
        <v>17700.885000000002</v>
      </c>
      <c r="H120">
        <f t="shared" si="7"/>
        <v>18156.549267964914</v>
      </c>
      <c r="I120" s="2">
        <f t="shared" si="4"/>
        <v>17245.22073203509</v>
      </c>
    </row>
    <row r="121" spans="1:9" x14ac:dyDescent="0.25">
      <c r="A121" s="1">
        <v>44993</v>
      </c>
      <c r="B121">
        <v>17665.75</v>
      </c>
      <c r="C121">
        <v>17766.5</v>
      </c>
      <c r="D121">
        <v>17602.25</v>
      </c>
      <c r="E121">
        <v>17754.400000000001</v>
      </c>
      <c r="F121" s="4">
        <f t="shared" si="5"/>
        <v>228.09366299833897</v>
      </c>
      <c r="G121">
        <f t="shared" si="6"/>
        <v>17702.530000000006</v>
      </c>
      <c r="H121">
        <f t="shared" si="7"/>
        <v>18158.717325996684</v>
      </c>
      <c r="I121" s="2">
        <f t="shared" si="4"/>
        <v>17246.342674003328</v>
      </c>
    </row>
    <row r="122" spans="1:9" x14ac:dyDescent="0.25">
      <c r="A122" s="1">
        <v>44994</v>
      </c>
      <c r="B122">
        <v>17772.05</v>
      </c>
      <c r="C122">
        <v>17772.349999999999</v>
      </c>
      <c r="D122">
        <v>17573.599999999999</v>
      </c>
      <c r="E122">
        <v>17589.599999999999</v>
      </c>
      <c r="F122" s="4">
        <f t="shared" si="5"/>
        <v>225.90817354624383</v>
      </c>
      <c r="G122">
        <f t="shared" si="6"/>
        <v>17688.424999999999</v>
      </c>
      <c r="H122">
        <f t="shared" si="7"/>
        <v>18140.241347092488</v>
      </c>
      <c r="I122" s="2">
        <f t="shared" si="4"/>
        <v>17236.608652907511</v>
      </c>
    </row>
    <row r="123" spans="1:9" x14ac:dyDescent="0.25">
      <c r="A123" s="1">
        <v>44995</v>
      </c>
      <c r="B123">
        <v>17443.8</v>
      </c>
      <c r="C123">
        <v>17451.5</v>
      </c>
      <c r="D123">
        <v>17324.349999999999</v>
      </c>
      <c r="E123">
        <v>17412.900000000001</v>
      </c>
      <c r="F123" s="4">
        <f t="shared" si="5"/>
        <v>228.36619905045006</v>
      </c>
      <c r="G123">
        <f t="shared" si="6"/>
        <v>17664.397499999999</v>
      </c>
      <c r="H123">
        <f t="shared" si="7"/>
        <v>18121.129898100899</v>
      </c>
      <c r="I123" s="2">
        <f t="shared" si="4"/>
        <v>17207.6651018991</v>
      </c>
    </row>
    <row r="124" spans="1:9" x14ac:dyDescent="0.25">
      <c r="A124" s="1">
        <v>44998</v>
      </c>
      <c r="B124">
        <v>17421.900000000001</v>
      </c>
      <c r="C124">
        <v>17529.900000000001</v>
      </c>
      <c r="D124">
        <v>17113.45</v>
      </c>
      <c r="E124">
        <v>17154.3</v>
      </c>
      <c r="F124" s="4">
        <f t="shared" si="5"/>
        <v>249.16503209469383</v>
      </c>
      <c r="G124">
        <f t="shared" si="6"/>
        <v>17629.287499999999</v>
      </c>
      <c r="H124">
        <f t="shared" si="7"/>
        <v>18127.617564189386</v>
      </c>
      <c r="I124" s="2">
        <f t="shared" si="4"/>
        <v>17130.957435810611</v>
      </c>
    </row>
    <row r="125" spans="1:9" x14ac:dyDescent="0.25">
      <c r="A125" s="1">
        <v>44999</v>
      </c>
      <c r="B125">
        <v>17160.55</v>
      </c>
      <c r="C125">
        <v>17224.650000000001</v>
      </c>
      <c r="D125">
        <v>16987.099999999999</v>
      </c>
      <c r="E125">
        <v>17043.3</v>
      </c>
      <c r="F125" s="4">
        <f t="shared" si="5"/>
        <v>277.3554962836501</v>
      </c>
      <c r="G125">
        <f t="shared" si="6"/>
        <v>17592.907500000001</v>
      </c>
      <c r="H125">
        <f t="shared" si="7"/>
        <v>18147.618492567301</v>
      </c>
      <c r="I125" s="2">
        <f t="shared" si="4"/>
        <v>17038.196507432702</v>
      </c>
    </row>
    <row r="126" spans="1:9" x14ac:dyDescent="0.25">
      <c r="A126" s="1">
        <v>45000</v>
      </c>
      <c r="B126">
        <v>17166.45</v>
      </c>
      <c r="C126">
        <v>17211.349999999999</v>
      </c>
      <c r="D126">
        <v>16938.900000000001</v>
      </c>
      <c r="E126">
        <v>16972.150000000001</v>
      </c>
      <c r="F126" s="4">
        <f t="shared" si="5"/>
        <v>297.02454337773128</v>
      </c>
      <c r="G126">
        <f t="shared" si="6"/>
        <v>17545.022499999999</v>
      </c>
      <c r="H126">
        <f t="shared" si="7"/>
        <v>18139.071586755461</v>
      </c>
      <c r="I126" s="2">
        <f t="shared" si="4"/>
        <v>16950.973413244537</v>
      </c>
    </row>
    <row r="127" spans="1:9" x14ac:dyDescent="0.25">
      <c r="A127" s="1">
        <v>45001</v>
      </c>
      <c r="B127">
        <v>16994.650000000001</v>
      </c>
      <c r="C127">
        <v>17062.45</v>
      </c>
      <c r="D127">
        <v>16850.150000000001</v>
      </c>
      <c r="E127">
        <v>16985.599999999999</v>
      </c>
      <c r="F127" s="4">
        <f t="shared" si="5"/>
        <v>300.22290327355097</v>
      </c>
      <c r="G127">
        <f t="shared" si="6"/>
        <v>17493.510000000002</v>
      </c>
      <c r="H127">
        <f t="shared" si="7"/>
        <v>18093.955806547103</v>
      </c>
      <c r="I127" s="2">
        <f t="shared" si="4"/>
        <v>16893.064193452901</v>
      </c>
    </row>
    <row r="128" spans="1:9" x14ac:dyDescent="0.25">
      <c r="A128" s="1">
        <v>45002</v>
      </c>
      <c r="B128">
        <v>17111.8</v>
      </c>
      <c r="C128">
        <v>17145.8</v>
      </c>
      <c r="D128">
        <v>16958.150000000001</v>
      </c>
      <c r="E128">
        <v>17100.05</v>
      </c>
      <c r="F128" s="4">
        <f t="shared" si="5"/>
        <v>284.5670261116</v>
      </c>
      <c r="G128">
        <f t="shared" si="6"/>
        <v>17446.719999999998</v>
      </c>
      <c r="H128">
        <f t="shared" si="7"/>
        <v>18015.854052223196</v>
      </c>
      <c r="I128" s="2">
        <f t="shared" si="4"/>
        <v>16877.585947776799</v>
      </c>
    </row>
    <row r="129" spans="1:9" x14ac:dyDescent="0.25">
      <c r="A129" s="1">
        <v>45005</v>
      </c>
      <c r="B129">
        <v>17066.599999999999</v>
      </c>
      <c r="C129">
        <v>17066.599999999999</v>
      </c>
      <c r="D129">
        <v>16828.349999999999</v>
      </c>
      <c r="E129">
        <v>16988.400000000001</v>
      </c>
      <c r="F129" s="4">
        <f t="shared" si="5"/>
        <v>277.16971668997309</v>
      </c>
      <c r="G129">
        <f t="shared" si="6"/>
        <v>17398.93</v>
      </c>
      <c r="H129">
        <f t="shared" si="7"/>
        <v>17953.269433379948</v>
      </c>
      <c r="I129" s="2">
        <f t="shared" si="4"/>
        <v>16844.590566620052</v>
      </c>
    </row>
    <row r="130" spans="1:9" x14ac:dyDescent="0.25">
      <c r="A130" s="1">
        <v>45006</v>
      </c>
      <c r="B130">
        <v>17060.400000000001</v>
      </c>
      <c r="C130">
        <v>17127.7</v>
      </c>
      <c r="D130">
        <v>17016</v>
      </c>
      <c r="E130">
        <v>17107.5</v>
      </c>
      <c r="F130" s="4">
        <f t="shared" si="5"/>
        <v>264.15950792087727</v>
      </c>
      <c r="G130">
        <f t="shared" si="6"/>
        <v>17362.075000000001</v>
      </c>
      <c r="H130">
        <f t="shared" si="7"/>
        <v>17890.394015841754</v>
      </c>
      <c r="I130" s="2">
        <f t="shared" ref="I130:I193" si="8">G130-(F130*2)</f>
        <v>16833.755984158248</v>
      </c>
    </row>
    <row r="131" spans="1:9" x14ac:dyDescent="0.25">
      <c r="A131" s="1">
        <v>45007</v>
      </c>
      <c r="B131">
        <v>17177.45</v>
      </c>
      <c r="C131">
        <v>17207.25</v>
      </c>
      <c r="D131">
        <v>17107.849999999999</v>
      </c>
      <c r="E131">
        <v>17151.900000000001</v>
      </c>
      <c r="F131" s="4">
        <f t="shared" si="5"/>
        <v>245.06471599355137</v>
      </c>
      <c r="G131">
        <f t="shared" si="6"/>
        <v>17328.334999999999</v>
      </c>
      <c r="H131">
        <f t="shared" si="7"/>
        <v>17818.4644319871</v>
      </c>
      <c r="I131" s="2">
        <f t="shared" si="8"/>
        <v>16838.205568012898</v>
      </c>
    </row>
    <row r="132" spans="1:9" x14ac:dyDescent="0.25">
      <c r="A132" s="1">
        <v>45008</v>
      </c>
      <c r="B132">
        <v>17097.400000000001</v>
      </c>
      <c r="C132">
        <v>17205.400000000001</v>
      </c>
      <c r="D132">
        <v>17045.3</v>
      </c>
      <c r="E132">
        <v>17076.900000000001</v>
      </c>
      <c r="F132" s="4">
        <f t="shared" si="5"/>
        <v>245.14262588338241</v>
      </c>
      <c r="G132">
        <f t="shared" si="6"/>
        <v>17304.465000000004</v>
      </c>
      <c r="H132">
        <f t="shared" si="7"/>
        <v>17794.750251766767</v>
      </c>
      <c r="I132" s="2">
        <f t="shared" si="8"/>
        <v>16814.17974823324</v>
      </c>
    </row>
    <row r="133" spans="1:9" x14ac:dyDescent="0.25">
      <c r="A133" s="1">
        <v>45009</v>
      </c>
      <c r="B133">
        <v>17076.2</v>
      </c>
      <c r="C133">
        <v>17109.45</v>
      </c>
      <c r="D133">
        <v>16917.349999999999</v>
      </c>
      <c r="E133">
        <v>16945.05</v>
      </c>
      <c r="F133" s="4">
        <f t="shared" si="5"/>
        <v>252.21896484007704</v>
      </c>
      <c r="G133">
        <f t="shared" si="6"/>
        <v>17276.155000000002</v>
      </c>
      <c r="H133">
        <f t="shared" si="7"/>
        <v>17780.592929680155</v>
      </c>
      <c r="I133" s="2">
        <f t="shared" si="8"/>
        <v>16771.71707031985</v>
      </c>
    </row>
    <row r="134" spans="1:9" x14ac:dyDescent="0.25">
      <c r="A134" s="1">
        <v>45012</v>
      </c>
      <c r="B134">
        <v>16984.3</v>
      </c>
      <c r="C134">
        <v>17091</v>
      </c>
      <c r="D134">
        <v>16918.55</v>
      </c>
      <c r="E134">
        <v>16985.7</v>
      </c>
      <c r="F134" s="4">
        <f t="shared" si="5"/>
        <v>255.84782635387006</v>
      </c>
      <c r="G134">
        <f t="shared" si="6"/>
        <v>17252.150000000001</v>
      </c>
      <c r="H134">
        <f t="shared" si="7"/>
        <v>17763.845652707743</v>
      </c>
      <c r="I134" s="2">
        <f t="shared" si="8"/>
        <v>16740.45434729226</v>
      </c>
    </row>
    <row r="135" spans="1:9" x14ac:dyDescent="0.25">
      <c r="A135" s="1">
        <v>45013</v>
      </c>
      <c r="B135">
        <v>17031.75</v>
      </c>
      <c r="C135">
        <v>17061.75</v>
      </c>
      <c r="D135">
        <v>16913.75</v>
      </c>
      <c r="E135">
        <v>16951.7</v>
      </c>
      <c r="F135" s="4">
        <f t="shared" si="5"/>
        <v>261.7206578587178</v>
      </c>
      <c r="G135">
        <f t="shared" si="6"/>
        <v>17230.099999999999</v>
      </c>
      <c r="H135">
        <f t="shared" si="7"/>
        <v>17753.541315717433</v>
      </c>
      <c r="I135" s="2">
        <f t="shared" si="8"/>
        <v>16706.658684282564</v>
      </c>
    </row>
    <row r="136" spans="1:9" x14ac:dyDescent="0.25">
      <c r="A136" s="1">
        <v>45014</v>
      </c>
      <c r="B136">
        <v>16977.3</v>
      </c>
      <c r="C136">
        <v>17126.150000000001</v>
      </c>
      <c r="D136">
        <v>16940.599999999999</v>
      </c>
      <c r="E136">
        <v>17080.7</v>
      </c>
      <c r="F136" s="4">
        <f t="shared" si="5"/>
        <v>263.09015226486525</v>
      </c>
      <c r="G136">
        <f t="shared" si="6"/>
        <v>17218.9375</v>
      </c>
      <c r="H136">
        <f t="shared" si="7"/>
        <v>17745.117804529731</v>
      </c>
      <c r="I136" s="2">
        <f t="shared" si="8"/>
        <v>16692.757195470269</v>
      </c>
    </row>
    <row r="137" spans="1:9" x14ac:dyDescent="0.25">
      <c r="A137" s="1">
        <v>45016</v>
      </c>
      <c r="B137">
        <v>17210.349999999999</v>
      </c>
      <c r="C137">
        <v>17381.599999999999</v>
      </c>
      <c r="D137">
        <v>17204.650000000001</v>
      </c>
      <c r="E137">
        <v>17359.75</v>
      </c>
      <c r="F137" s="4">
        <f t="shared" si="5"/>
        <v>259.80133823750788</v>
      </c>
      <c r="G137">
        <f t="shared" si="6"/>
        <v>17214.38</v>
      </c>
      <c r="H137">
        <f t="shared" si="7"/>
        <v>17733.982676475018</v>
      </c>
      <c r="I137" s="2">
        <f t="shared" si="8"/>
        <v>16694.777323524984</v>
      </c>
    </row>
    <row r="138" spans="1:9" x14ac:dyDescent="0.25">
      <c r="A138" s="1">
        <v>45019</v>
      </c>
      <c r="B138">
        <v>17427.95</v>
      </c>
      <c r="C138">
        <v>17428.05</v>
      </c>
      <c r="D138">
        <v>17312.75</v>
      </c>
      <c r="E138">
        <v>17398.05</v>
      </c>
      <c r="F138" s="4">
        <f t="shared" si="5"/>
        <v>261.89872893687351</v>
      </c>
      <c r="G138">
        <f t="shared" si="6"/>
        <v>17218.1875</v>
      </c>
      <c r="H138">
        <f t="shared" si="7"/>
        <v>17741.984957873748</v>
      </c>
      <c r="I138" s="2">
        <f t="shared" si="8"/>
        <v>16694.390042126252</v>
      </c>
    </row>
    <row r="139" spans="1:9" x14ac:dyDescent="0.25">
      <c r="A139" s="1">
        <v>45021</v>
      </c>
      <c r="B139">
        <v>17422.3</v>
      </c>
      <c r="C139">
        <v>17570.55</v>
      </c>
      <c r="D139">
        <v>17402.7</v>
      </c>
      <c r="E139">
        <v>17557.05</v>
      </c>
      <c r="F139" s="4">
        <f t="shared" si="5"/>
        <v>259.33365452395486</v>
      </c>
      <c r="G139">
        <f t="shared" si="6"/>
        <v>17216.322499999998</v>
      </c>
      <c r="H139">
        <f t="shared" si="7"/>
        <v>17734.989809047907</v>
      </c>
      <c r="I139" s="2">
        <f t="shared" si="8"/>
        <v>16697.655190952089</v>
      </c>
    </row>
    <row r="140" spans="1:9" x14ac:dyDescent="0.25">
      <c r="A140" s="1">
        <v>45022</v>
      </c>
      <c r="B140">
        <v>17533.849999999999</v>
      </c>
      <c r="C140">
        <v>17638.7</v>
      </c>
      <c r="D140">
        <v>17502.849999999999</v>
      </c>
      <c r="E140">
        <v>17599.150000000001</v>
      </c>
      <c r="F140" s="4">
        <f t="shared" si="5"/>
        <v>249.58505327593238</v>
      </c>
      <c r="G140">
        <f t="shared" si="6"/>
        <v>17210.707499999997</v>
      </c>
      <c r="H140">
        <f t="shared" si="7"/>
        <v>17709.877606551861</v>
      </c>
      <c r="I140" s="2">
        <f t="shared" si="8"/>
        <v>16711.537393448132</v>
      </c>
    </row>
    <row r="141" spans="1:9" x14ac:dyDescent="0.25">
      <c r="A141" s="1">
        <v>45026</v>
      </c>
      <c r="B141">
        <v>17634.900000000001</v>
      </c>
      <c r="C141">
        <v>17694.099999999999</v>
      </c>
      <c r="D141">
        <v>17597.95</v>
      </c>
      <c r="E141">
        <v>17624.05</v>
      </c>
      <c r="F141" s="4">
        <f t="shared" si="5"/>
        <v>236.67011936448569</v>
      </c>
      <c r="G141">
        <f t="shared" si="6"/>
        <v>17204.189999999999</v>
      </c>
      <c r="H141">
        <f t="shared" si="7"/>
        <v>17677.53023872897</v>
      </c>
      <c r="I141" s="2">
        <f t="shared" si="8"/>
        <v>16730.849761271027</v>
      </c>
    </row>
    <row r="142" spans="1:9" x14ac:dyDescent="0.25">
      <c r="A142" s="1">
        <v>45027</v>
      </c>
      <c r="B142">
        <v>17704.8</v>
      </c>
      <c r="C142">
        <v>17748.75</v>
      </c>
      <c r="D142">
        <v>17655.150000000001</v>
      </c>
      <c r="E142">
        <v>17722.3</v>
      </c>
      <c r="F142" s="4">
        <f t="shared" si="5"/>
        <v>248.92484282409401</v>
      </c>
      <c r="G142">
        <f t="shared" si="6"/>
        <v>17210.825000000001</v>
      </c>
      <c r="H142">
        <f t="shared" si="7"/>
        <v>17708.674685648188</v>
      </c>
      <c r="I142" s="2">
        <f t="shared" si="8"/>
        <v>16712.975314351814</v>
      </c>
    </row>
    <row r="143" spans="1:9" x14ac:dyDescent="0.25">
      <c r="A143" s="1">
        <v>45028</v>
      </c>
      <c r="B143">
        <v>17759.55</v>
      </c>
      <c r="C143">
        <v>17825.75</v>
      </c>
      <c r="D143">
        <v>17717.25</v>
      </c>
      <c r="E143">
        <v>17812.400000000001</v>
      </c>
      <c r="F143" s="4">
        <f t="shared" si="5"/>
        <v>278.59914841937331</v>
      </c>
      <c r="G143">
        <f t="shared" si="6"/>
        <v>17230.800000000003</v>
      </c>
      <c r="H143">
        <f t="shared" si="7"/>
        <v>17787.998296838749</v>
      </c>
      <c r="I143" s="2">
        <f t="shared" si="8"/>
        <v>16673.601703161257</v>
      </c>
    </row>
    <row r="144" spans="1:9" x14ac:dyDescent="0.25">
      <c r="A144" s="1">
        <v>45029</v>
      </c>
      <c r="B144">
        <v>17807.3</v>
      </c>
      <c r="C144">
        <v>17842.150000000001</v>
      </c>
      <c r="D144">
        <v>17729.650000000001</v>
      </c>
      <c r="E144">
        <v>17828</v>
      </c>
      <c r="F144" s="4">
        <f t="shared" si="5"/>
        <v>306.63102546056876</v>
      </c>
      <c r="G144">
        <f t="shared" si="6"/>
        <v>17264.485000000001</v>
      </c>
      <c r="H144">
        <f t="shared" si="7"/>
        <v>17877.747050921138</v>
      </c>
      <c r="I144" s="2">
        <f t="shared" si="8"/>
        <v>16651.222949078863</v>
      </c>
    </row>
    <row r="145" spans="1:9" x14ac:dyDescent="0.25">
      <c r="A145" s="1">
        <v>45033</v>
      </c>
      <c r="B145">
        <v>17863</v>
      </c>
      <c r="C145">
        <v>17863</v>
      </c>
      <c r="D145">
        <v>17574.05</v>
      </c>
      <c r="E145">
        <v>17706.849999999999</v>
      </c>
      <c r="F145" s="4">
        <f t="shared" si="5"/>
        <v>316.63865638729243</v>
      </c>
      <c r="G145">
        <f t="shared" si="6"/>
        <v>17297.662499999999</v>
      </c>
      <c r="H145">
        <f t="shared" si="7"/>
        <v>17930.939812774584</v>
      </c>
      <c r="I145" s="2">
        <f t="shared" si="8"/>
        <v>16664.385187225413</v>
      </c>
    </row>
    <row r="146" spans="1:9" x14ac:dyDescent="0.25">
      <c r="A146" s="1">
        <v>45034</v>
      </c>
      <c r="B146">
        <v>17766.599999999999</v>
      </c>
      <c r="C146">
        <v>17766.599999999999</v>
      </c>
      <c r="D146">
        <v>17610.2</v>
      </c>
      <c r="E146">
        <v>17660.150000000001</v>
      </c>
      <c r="F146" s="4">
        <f t="shared" si="5"/>
        <v>316.77850103621296</v>
      </c>
      <c r="G146">
        <f t="shared" si="6"/>
        <v>17332.0625</v>
      </c>
      <c r="H146">
        <f t="shared" si="7"/>
        <v>17965.619502072426</v>
      </c>
      <c r="I146" s="2">
        <f t="shared" si="8"/>
        <v>16698.505497927574</v>
      </c>
    </row>
    <row r="147" spans="1:9" x14ac:dyDescent="0.25">
      <c r="A147" s="1">
        <v>45035</v>
      </c>
      <c r="B147">
        <v>17653.349999999999</v>
      </c>
      <c r="C147">
        <v>17666.150000000001</v>
      </c>
      <c r="D147">
        <v>17579.849999999999</v>
      </c>
      <c r="E147">
        <v>17618.75</v>
      </c>
      <c r="F147" s="4">
        <f t="shared" si="5"/>
        <v>312.17638339566923</v>
      </c>
      <c r="G147">
        <f t="shared" si="6"/>
        <v>17363.719999999998</v>
      </c>
      <c r="H147">
        <f t="shared" si="7"/>
        <v>17988.072766791334</v>
      </c>
      <c r="I147" s="2">
        <f t="shared" si="8"/>
        <v>16739.367233208661</v>
      </c>
    </row>
    <row r="148" spans="1:9" x14ac:dyDescent="0.25">
      <c r="A148" s="1">
        <v>45036</v>
      </c>
      <c r="B148">
        <v>17638.599999999999</v>
      </c>
      <c r="C148">
        <v>17684.45</v>
      </c>
      <c r="D148">
        <v>17584.349999999999</v>
      </c>
      <c r="E148">
        <v>17624.45</v>
      </c>
      <c r="F148" s="4">
        <f t="shared" si="5"/>
        <v>310.94938358195833</v>
      </c>
      <c r="G148">
        <f t="shared" si="6"/>
        <v>17389.939999999999</v>
      </c>
      <c r="H148">
        <f t="shared" si="7"/>
        <v>18011.838767163914</v>
      </c>
      <c r="I148" s="2">
        <f t="shared" si="8"/>
        <v>16768.041232836084</v>
      </c>
    </row>
    <row r="149" spans="1:9" x14ac:dyDescent="0.25">
      <c r="A149" s="1">
        <v>45037</v>
      </c>
      <c r="B149">
        <v>17639.75</v>
      </c>
      <c r="C149">
        <v>17663.2</v>
      </c>
      <c r="D149">
        <v>17553.95</v>
      </c>
      <c r="E149">
        <v>17624.05</v>
      </c>
      <c r="F149" s="4">
        <f t="shared" ref="F149:F212" si="9">STDEVPA(E130:E149)</f>
        <v>300.59615411503501</v>
      </c>
      <c r="G149">
        <f t="shared" si="6"/>
        <v>17421.722499999996</v>
      </c>
      <c r="H149">
        <f t="shared" si="7"/>
        <v>18022.914808230067</v>
      </c>
      <c r="I149" s="2">
        <f t="shared" si="8"/>
        <v>16820.530191769925</v>
      </c>
    </row>
    <row r="150" spans="1:9" x14ac:dyDescent="0.25">
      <c r="A150" s="1">
        <v>45040</v>
      </c>
      <c r="B150">
        <v>17707.55</v>
      </c>
      <c r="C150">
        <v>17754.5</v>
      </c>
      <c r="D150">
        <v>17612.5</v>
      </c>
      <c r="E150">
        <v>17743.400000000001</v>
      </c>
      <c r="F150" s="4">
        <f t="shared" si="9"/>
        <v>299.30612684799809</v>
      </c>
      <c r="G150">
        <f t="shared" ref="G150:G213" si="10">AVERAGE(E131:E150)</f>
        <v>17453.517499999998</v>
      </c>
      <c r="H150">
        <f t="shared" ref="H150:H213" si="11">G150+(F150*2)</f>
        <v>18052.129753695994</v>
      </c>
      <c r="I150" s="2">
        <f t="shared" si="8"/>
        <v>16854.905246304003</v>
      </c>
    </row>
    <row r="151" spans="1:9" x14ac:dyDescent="0.25">
      <c r="A151" s="1">
        <v>45041</v>
      </c>
      <c r="B151">
        <v>17761.55</v>
      </c>
      <c r="C151">
        <v>17807.45</v>
      </c>
      <c r="D151">
        <v>17716.849999999999</v>
      </c>
      <c r="E151">
        <v>17769.25</v>
      </c>
      <c r="F151" s="4">
        <f t="shared" si="9"/>
        <v>298.44103232464522</v>
      </c>
      <c r="G151">
        <f t="shared" si="10"/>
        <v>17484.384999999998</v>
      </c>
      <c r="H151">
        <f t="shared" si="11"/>
        <v>18081.267064649288</v>
      </c>
      <c r="I151" s="2">
        <f t="shared" si="8"/>
        <v>16887.502935350709</v>
      </c>
    </row>
    <row r="152" spans="1:9" x14ac:dyDescent="0.25">
      <c r="A152" s="1">
        <v>45042</v>
      </c>
      <c r="B152">
        <v>17767.3</v>
      </c>
      <c r="C152">
        <v>17827.75</v>
      </c>
      <c r="D152">
        <v>17711.2</v>
      </c>
      <c r="E152">
        <v>17813.599999999999</v>
      </c>
      <c r="F152" s="4">
        <f t="shared" si="9"/>
        <v>291.25102077074325</v>
      </c>
      <c r="G152">
        <f t="shared" si="10"/>
        <v>17521.219999999998</v>
      </c>
      <c r="H152">
        <f t="shared" si="11"/>
        <v>18103.722041541485</v>
      </c>
      <c r="I152" s="2">
        <f t="shared" si="8"/>
        <v>16938.71795845851</v>
      </c>
    </row>
    <row r="153" spans="1:9" x14ac:dyDescent="0.25">
      <c r="A153" s="1">
        <v>45043</v>
      </c>
      <c r="B153">
        <v>17813.099999999999</v>
      </c>
      <c r="C153">
        <v>17931.599999999999</v>
      </c>
      <c r="D153">
        <v>17797.900000000001</v>
      </c>
      <c r="E153">
        <v>17915.05</v>
      </c>
      <c r="F153" s="4">
        <f t="shared" si="9"/>
        <v>271.35109563073422</v>
      </c>
      <c r="G153">
        <f t="shared" si="10"/>
        <v>17569.719999999998</v>
      </c>
      <c r="H153">
        <f t="shared" si="11"/>
        <v>18112.422191261467</v>
      </c>
      <c r="I153" s="2">
        <f t="shared" si="8"/>
        <v>17027.017808738528</v>
      </c>
    </row>
    <row r="154" spans="1:9" x14ac:dyDescent="0.25">
      <c r="A154" s="1">
        <v>45044</v>
      </c>
      <c r="B154">
        <v>17950.400000000001</v>
      </c>
      <c r="C154">
        <v>18089.150000000001</v>
      </c>
      <c r="D154">
        <v>17885.3</v>
      </c>
      <c r="E154">
        <v>18065</v>
      </c>
      <c r="F154" s="4">
        <f t="shared" si="9"/>
        <v>256.76904364623067</v>
      </c>
      <c r="G154">
        <f t="shared" si="10"/>
        <v>17623.685000000001</v>
      </c>
      <c r="H154">
        <f t="shared" si="11"/>
        <v>18137.223087292463</v>
      </c>
      <c r="I154" s="2">
        <f t="shared" si="8"/>
        <v>17110.14691270754</v>
      </c>
    </row>
    <row r="155" spans="1:9" x14ac:dyDescent="0.25">
      <c r="A155" s="1">
        <v>45048</v>
      </c>
      <c r="B155">
        <v>18124.8</v>
      </c>
      <c r="C155">
        <v>18180.25</v>
      </c>
      <c r="D155">
        <v>18101.75</v>
      </c>
      <c r="E155">
        <v>18147.650000000001</v>
      </c>
      <c r="F155" s="4">
        <f t="shared" si="9"/>
        <v>231.3079653162641</v>
      </c>
      <c r="G155">
        <f t="shared" si="10"/>
        <v>17683.482500000002</v>
      </c>
      <c r="H155">
        <f t="shared" si="11"/>
        <v>18146.09843063253</v>
      </c>
      <c r="I155" s="2">
        <f t="shared" si="8"/>
        <v>17220.866569367474</v>
      </c>
    </row>
    <row r="156" spans="1:9" x14ac:dyDescent="0.25">
      <c r="A156" s="1">
        <v>45049</v>
      </c>
      <c r="B156">
        <v>18113.8</v>
      </c>
      <c r="C156">
        <v>18116.349999999999</v>
      </c>
      <c r="D156">
        <v>18042.400000000001</v>
      </c>
      <c r="E156">
        <v>18089.849999999999</v>
      </c>
      <c r="F156" s="4">
        <f t="shared" si="9"/>
        <v>202.60011266038333</v>
      </c>
      <c r="G156">
        <f t="shared" si="10"/>
        <v>17733.939999999999</v>
      </c>
      <c r="H156">
        <f t="shared" si="11"/>
        <v>18139.140225320767</v>
      </c>
      <c r="I156" s="2">
        <f t="shared" si="8"/>
        <v>17328.73977467923</v>
      </c>
    </row>
    <row r="157" spans="1:9" x14ac:dyDescent="0.25">
      <c r="A157" s="1">
        <v>45050</v>
      </c>
      <c r="B157">
        <v>18081</v>
      </c>
      <c r="C157">
        <v>18267.45</v>
      </c>
      <c r="D157">
        <v>18066.7</v>
      </c>
      <c r="E157">
        <v>18255.8</v>
      </c>
      <c r="F157" s="4">
        <f t="shared" si="9"/>
        <v>213.67153956189387</v>
      </c>
      <c r="G157">
        <f t="shared" si="10"/>
        <v>17778.7425</v>
      </c>
      <c r="H157">
        <f t="shared" si="11"/>
        <v>18206.085579123788</v>
      </c>
      <c r="I157" s="2">
        <f t="shared" si="8"/>
        <v>17351.399420876212</v>
      </c>
    </row>
    <row r="158" spans="1:9" x14ac:dyDescent="0.25">
      <c r="A158" s="1">
        <v>45051</v>
      </c>
      <c r="B158">
        <v>18117.3</v>
      </c>
      <c r="C158">
        <v>18216.95</v>
      </c>
      <c r="D158">
        <v>18055.45</v>
      </c>
      <c r="E158">
        <v>18069</v>
      </c>
      <c r="F158" s="4">
        <f t="shared" si="9"/>
        <v>203.70621959086071</v>
      </c>
      <c r="G158">
        <f t="shared" si="10"/>
        <v>17812.29</v>
      </c>
      <c r="H158">
        <f t="shared" si="11"/>
        <v>18219.702439181721</v>
      </c>
      <c r="I158" s="2">
        <f t="shared" si="8"/>
        <v>17404.87756081828</v>
      </c>
    </row>
    <row r="159" spans="1:9" x14ac:dyDescent="0.25">
      <c r="A159" s="1">
        <v>45054</v>
      </c>
      <c r="B159">
        <v>18120.599999999999</v>
      </c>
      <c r="C159">
        <v>18286.95</v>
      </c>
      <c r="D159">
        <v>18100.3</v>
      </c>
      <c r="E159">
        <v>18264.400000000001</v>
      </c>
      <c r="F159" s="4">
        <f t="shared" si="9"/>
        <v>217.27439694715531</v>
      </c>
      <c r="G159">
        <f t="shared" si="10"/>
        <v>17847.657499999998</v>
      </c>
      <c r="H159">
        <f t="shared" si="11"/>
        <v>18282.206293894309</v>
      </c>
      <c r="I159" s="2">
        <f t="shared" si="8"/>
        <v>17413.108706105686</v>
      </c>
    </row>
    <row r="160" spans="1:9" x14ac:dyDescent="0.25">
      <c r="A160" s="1">
        <v>45055</v>
      </c>
      <c r="B160">
        <v>18303.400000000001</v>
      </c>
      <c r="C160">
        <v>18344.2</v>
      </c>
      <c r="D160">
        <v>18229.650000000001</v>
      </c>
      <c r="E160">
        <v>18265.95</v>
      </c>
      <c r="F160" s="4">
        <f t="shared" si="9"/>
        <v>227.50217552531242</v>
      </c>
      <c r="G160">
        <f t="shared" si="10"/>
        <v>17880.997500000001</v>
      </c>
      <c r="H160">
        <f t="shared" si="11"/>
        <v>18336.001851050627</v>
      </c>
      <c r="I160" s="2">
        <f t="shared" si="8"/>
        <v>17425.993148949376</v>
      </c>
    </row>
    <row r="161" spans="1:9" x14ac:dyDescent="0.25">
      <c r="A161" s="1">
        <v>45056</v>
      </c>
      <c r="B161">
        <v>18313.599999999999</v>
      </c>
      <c r="C161">
        <v>18326.75</v>
      </c>
      <c r="D161">
        <v>18211.95</v>
      </c>
      <c r="E161">
        <v>18315.099999999999</v>
      </c>
      <c r="F161" s="4">
        <f t="shared" si="9"/>
        <v>238.08509560659184</v>
      </c>
      <c r="G161">
        <f t="shared" si="10"/>
        <v>17915.549999999996</v>
      </c>
      <c r="H161">
        <f t="shared" si="11"/>
        <v>18391.720191213179</v>
      </c>
      <c r="I161" s="2">
        <f t="shared" si="8"/>
        <v>17439.379808786813</v>
      </c>
    </row>
    <row r="162" spans="1:9" x14ac:dyDescent="0.25">
      <c r="A162" s="1">
        <v>45057</v>
      </c>
      <c r="B162">
        <v>18357.8</v>
      </c>
      <c r="C162">
        <v>18389.7</v>
      </c>
      <c r="D162">
        <v>18270.400000000001</v>
      </c>
      <c r="E162">
        <v>18297</v>
      </c>
      <c r="F162" s="4">
        <f t="shared" si="9"/>
        <v>247.52119005248818</v>
      </c>
      <c r="G162">
        <f t="shared" si="10"/>
        <v>17944.285</v>
      </c>
      <c r="H162">
        <f t="shared" si="11"/>
        <v>18439.327380104976</v>
      </c>
      <c r="I162" s="2">
        <f t="shared" si="8"/>
        <v>17449.242619895023</v>
      </c>
    </row>
    <row r="163" spans="1:9" x14ac:dyDescent="0.25">
      <c r="A163" s="1">
        <v>45058</v>
      </c>
      <c r="B163">
        <v>18273.75</v>
      </c>
      <c r="C163">
        <v>18342.75</v>
      </c>
      <c r="D163">
        <v>18194.55</v>
      </c>
      <c r="E163">
        <v>18314.8</v>
      </c>
      <c r="F163" s="4">
        <f t="shared" si="9"/>
        <v>258.12808976358997</v>
      </c>
      <c r="G163">
        <f t="shared" si="10"/>
        <v>17969.404999999999</v>
      </c>
      <c r="H163">
        <f t="shared" si="11"/>
        <v>18485.661179527178</v>
      </c>
      <c r="I163" s="2">
        <f t="shared" si="8"/>
        <v>17453.148820472819</v>
      </c>
    </row>
    <row r="164" spans="1:9" x14ac:dyDescent="0.25">
      <c r="A164" s="1">
        <v>45061</v>
      </c>
      <c r="B164">
        <v>18339.3</v>
      </c>
      <c r="C164">
        <v>18458.900000000001</v>
      </c>
      <c r="D164">
        <v>18287.900000000001</v>
      </c>
      <c r="E164">
        <v>18398.849999999999</v>
      </c>
      <c r="F164" s="4">
        <f t="shared" si="9"/>
        <v>272.09707480741116</v>
      </c>
      <c r="G164">
        <f t="shared" si="10"/>
        <v>17997.947499999998</v>
      </c>
      <c r="H164">
        <f t="shared" si="11"/>
        <v>18542.141649614819</v>
      </c>
      <c r="I164" s="2">
        <f t="shared" si="8"/>
        <v>17453.753350385177</v>
      </c>
    </row>
    <row r="165" spans="1:9" x14ac:dyDescent="0.25">
      <c r="A165" s="1">
        <v>45062</v>
      </c>
      <c r="B165">
        <v>18432.349999999999</v>
      </c>
      <c r="C165">
        <v>18432.349999999999</v>
      </c>
      <c r="D165">
        <v>18264.349999999999</v>
      </c>
      <c r="E165">
        <v>18286.5</v>
      </c>
      <c r="F165" s="4">
        <f t="shared" si="9"/>
        <v>270.41278141019865</v>
      </c>
      <c r="G165">
        <f t="shared" si="10"/>
        <v>18026.929999999997</v>
      </c>
      <c r="H165">
        <f t="shared" si="11"/>
        <v>18567.755562820395</v>
      </c>
      <c r="I165" s="2">
        <f t="shared" si="8"/>
        <v>17486.104437179598</v>
      </c>
    </row>
    <row r="166" spans="1:9" x14ac:dyDescent="0.25">
      <c r="A166" s="1">
        <v>45063</v>
      </c>
      <c r="B166">
        <v>18300.45</v>
      </c>
      <c r="C166">
        <v>18309</v>
      </c>
      <c r="D166">
        <v>18115.349999999999</v>
      </c>
      <c r="E166">
        <v>18181.75</v>
      </c>
      <c r="F166" s="4">
        <f t="shared" si="9"/>
        <v>258.67931720568606</v>
      </c>
      <c r="G166">
        <f t="shared" si="10"/>
        <v>18053.009999999998</v>
      </c>
      <c r="H166">
        <f t="shared" si="11"/>
        <v>18570.36863441137</v>
      </c>
      <c r="I166" s="2">
        <f t="shared" si="8"/>
        <v>17535.651365588627</v>
      </c>
    </row>
    <row r="167" spans="1:9" x14ac:dyDescent="0.25">
      <c r="A167" s="1">
        <v>45064</v>
      </c>
      <c r="B167">
        <v>18287.5</v>
      </c>
      <c r="C167">
        <v>18297.2</v>
      </c>
      <c r="D167">
        <v>18104.849999999999</v>
      </c>
      <c r="E167">
        <v>18129.95</v>
      </c>
      <c r="F167" s="4">
        <f t="shared" si="9"/>
        <v>239.01584957906022</v>
      </c>
      <c r="G167">
        <f t="shared" si="10"/>
        <v>18078.57</v>
      </c>
      <c r="H167">
        <f t="shared" si="11"/>
        <v>18556.60169915812</v>
      </c>
      <c r="I167" s="2">
        <f t="shared" si="8"/>
        <v>17600.538300841879</v>
      </c>
    </row>
    <row r="168" spans="1:9" x14ac:dyDescent="0.25">
      <c r="A168" s="1">
        <v>45065</v>
      </c>
      <c r="B168">
        <v>18186.150000000001</v>
      </c>
      <c r="C168">
        <v>18218.099999999999</v>
      </c>
      <c r="D168">
        <v>18060.400000000001</v>
      </c>
      <c r="E168">
        <v>18203.400000000001</v>
      </c>
      <c r="F168" s="4">
        <f t="shared" si="9"/>
        <v>216.23712983377757</v>
      </c>
      <c r="G168">
        <f t="shared" si="10"/>
        <v>18107.517500000002</v>
      </c>
      <c r="H168">
        <f t="shared" si="11"/>
        <v>18539.991759667559</v>
      </c>
      <c r="I168" s="2">
        <f t="shared" si="8"/>
        <v>17675.043240332445</v>
      </c>
    </row>
    <row r="169" spans="1:9" x14ac:dyDescent="0.25">
      <c r="A169" s="1">
        <v>45068</v>
      </c>
      <c r="B169">
        <v>18201.099999999999</v>
      </c>
      <c r="C169">
        <v>18335.25</v>
      </c>
      <c r="D169">
        <v>18178.849999999999</v>
      </c>
      <c r="E169">
        <v>18314.400000000001</v>
      </c>
      <c r="F169" s="4">
        <f t="shared" si="9"/>
        <v>189.78939847894557</v>
      </c>
      <c r="G169">
        <f t="shared" si="10"/>
        <v>18142.035000000003</v>
      </c>
      <c r="H169">
        <f t="shared" si="11"/>
        <v>18521.613796957896</v>
      </c>
      <c r="I169" s="2">
        <f t="shared" si="8"/>
        <v>17762.456203042111</v>
      </c>
    </row>
    <row r="170" spans="1:9" x14ac:dyDescent="0.25">
      <c r="A170" s="1">
        <v>45069</v>
      </c>
      <c r="B170">
        <v>18362.900000000001</v>
      </c>
      <c r="C170">
        <v>18419.75</v>
      </c>
      <c r="D170">
        <v>18324.2</v>
      </c>
      <c r="E170">
        <v>18348</v>
      </c>
      <c r="F170" s="4">
        <f t="shared" si="9"/>
        <v>171.11910698399535</v>
      </c>
      <c r="G170">
        <f t="shared" si="10"/>
        <v>18172.265000000007</v>
      </c>
      <c r="H170">
        <f t="shared" si="11"/>
        <v>18514.503213967997</v>
      </c>
      <c r="I170" s="2">
        <f t="shared" si="8"/>
        <v>17830.026786032016</v>
      </c>
    </row>
    <row r="171" spans="1:9" x14ac:dyDescent="0.25">
      <c r="A171" s="1">
        <v>45070</v>
      </c>
      <c r="B171">
        <v>18294.8</v>
      </c>
      <c r="C171">
        <v>18392.599999999999</v>
      </c>
      <c r="D171">
        <v>18262.95</v>
      </c>
      <c r="E171">
        <v>18285.400000000001</v>
      </c>
      <c r="F171" s="4">
        <f t="shared" si="9"/>
        <v>145.3775898092621</v>
      </c>
      <c r="G171">
        <f t="shared" si="10"/>
        <v>18198.072500000006</v>
      </c>
      <c r="H171">
        <f t="shared" si="11"/>
        <v>18488.827679618531</v>
      </c>
      <c r="I171" s="2">
        <f t="shared" si="8"/>
        <v>17907.31732038148</v>
      </c>
    </row>
    <row r="172" spans="1:9" x14ac:dyDescent="0.25">
      <c r="A172" s="1">
        <v>45071</v>
      </c>
      <c r="B172">
        <v>18268.900000000001</v>
      </c>
      <c r="C172">
        <v>18338.099999999999</v>
      </c>
      <c r="D172">
        <v>18202.400000000001</v>
      </c>
      <c r="E172">
        <v>18321.150000000001</v>
      </c>
      <c r="F172" s="4">
        <f t="shared" si="9"/>
        <v>117.71607579256123</v>
      </c>
      <c r="G172">
        <f t="shared" si="10"/>
        <v>18223.450000000004</v>
      </c>
      <c r="H172">
        <f t="shared" si="11"/>
        <v>18458.882151585127</v>
      </c>
      <c r="I172" s="2">
        <f t="shared" si="8"/>
        <v>17988.017848414882</v>
      </c>
    </row>
    <row r="173" spans="1:9" x14ac:dyDescent="0.25">
      <c r="A173" s="1">
        <v>45072</v>
      </c>
      <c r="B173">
        <v>18368.349999999999</v>
      </c>
      <c r="C173">
        <v>18508.55</v>
      </c>
      <c r="D173">
        <v>18333.150000000001</v>
      </c>
      <c r="E173">
        <v>18499.349999999999</v>
      </c>
      <c r="F173" s="4">
        <f t="shared" si="9"/>
        <v>109.79103230683255</v>
      </c>
      <c r="G173">
        <f t="shared" si="10"/>
        <v>18252.665000000001</v>
      </c>
      <c r="H173">
        <f t="shared" si="11"/>
        <v>18472.247064613664</v>
      </c>
      <c r="I173" s="2">
        <f t="shared" si="8"/>
        <v>18033.082935386337</v>
      </c>
    </row>
    <row r="174" spans="1:9" x14ac:dyDescent="0.25">
      <c r="A174" s="1">
        <v>45075</v>
      </c>
      <c r="B174">
        <v>18619.150000000001</v>
      </c>
      <c r="C174">
        <v>18641.2</v>
      </c>
      <c r="D174">
        <v>18581.25</v>
      </c>
      <c r="E174">
        <v>18598.650000000001</v>
      </c>
      <c r="F174" s="4">
        <f t="shared" si="9"/>
        <v>124.76573395267623</v>
      </c>
      <c r="G174">
        <f t="shared" si="10"/>
        <v>18279.347500000003</v>
      </c>
      <c r="H174">
        <f t="shared" si="11"/>
        <v>18528.878967905355</v>
      </c>
      <c r="I174" s="2">
        <f t="shared" si="8"/>
        <v>18029.816032094652</v>
      </c>
    </row>
    <row r="175" spans="1:9" x14ac:dyDescent="0.25">
      <c r="A175" s="1">
        <v>45076</v>
      </c>
      <c r="B175">
        <v>18606.650000000001</v>
      </c>
      <c r="C175">
        <v>18662.45</v>
      </c>
      <c r="D175">
        <v>18575.5</v>
      </c>
      <c r="E175">
        <v>18633.849999999999</v>
      </c>
      <c r="F175" s="4">
        <f t="shared" si="9"/>
        <v>142.80021645204167</v>
      </c>
      <c r="G175">
        <f t="shared" si="10"/>
        <v>18303.657500000001</v>
      </c>
      <c r="H175">
        <f t="shared" si="11"/>
        <v>18589.257932904085</v>
      </c>
      <c r="I175" s="2">
        <f t="shared" si="8"/>
        <v>18018.057067095917</v>
      </c>
    </row>
    <row r="176" spans="1:9" x14ac:dyDescent="0.25">
      <c r="A176" s="1">
        <v>45077</v>
      </c>
      <c r="B176">
        <v>18594.2</v>
      </c>
      <c r="C176">
        <v>18603.900000000001</v>
      </c>
      <c r="D176">
        <v>18483.849999999999</v>
      </c>
      <c r="E176">
        <v>18534.400000000001</v>
      </c>
      <c r="F176" s="4">
        <f t="shared" si="9"/>
        <v>142.38771988833849</v>
      </c>
      <c r="G176">
        <f t="shared" si="10"/>
        <v>18325.885000000002</v>
      </c>
      <c r="H176">
        <f t="shared" si="11"/>
        <v>18610.660439776679</v>
      </c>
      <c r="I176" s="2">
        <f t="shared" si="8"/>
        <v>18041.109560223325</v>
      </c>
    </row>
    <row r="177" spans="1:9" x14ac:dyDescent="0.25">
      <c r="A177" s="1">
        <v>45078</v>
      </c>
      <c r="B177">
        <v>18579.400000000001</v>
      </c>
      <c r="C177">
        <v>18580.3</v>
      </c>
      <c r="D177">
        <v>18464.55</v>
      </c>
      <c r="E177">
        <v>18487.75</v>
      </c>
      <c r="F177" s="4">
        <f t="shared" si="9"/>
        <v>145.6165489178683</v>
      </c>
      <c r="G177">
        <f t="shared" si="10"/>
        <v>18337.482500000002</v>
      </c>
      <c r="H177">
        <f t="shared" si="11"/>
        <v>18628.715597835737</v>
      </c>
      <c r="I177" s="2">
        <f t="shared" si="8"/>
        <v>18046.249402164267</v>
      </c>
    </row>
    <row r="178" spans="1:9" x14ac:dyDescent="0.25">
      <c r="A178" s="1">
        <v>45079</v>
      </c>
      <c r="B178">
        <v>18550.849999999999</v>
      </c>
      <c r="C178">
        <v>18573.7</v>
      </c>
      <c r="D178">
        <v>18478.400000000001</v>
      </c>
      <c r="E178">
        <v>18534.099999999999</v>
      </c>
      <c r="F178" s="4">
        <f t="shared" si="9"/>
        <v>137.81205940972617</v>
      </c>
      <c r="G178">
        <f t="shared" si="10"/>
        <v>18360.737499999999</v>
      </c>
      <c r="H178">
        <f t="shared" si="11"/>
        <v>18636.36161881945</v>
      </c>
      <c r="I178" s="2">
        <f t="shared" si="8"/>
        <v>18085.113381180548</v>
      </c>
    </row>
    <row r="179" spans="1:9" x14ac:dyDescent="0.25">
      <c r="A179" s="1">
        <v>45082</v>
      </c>
      <c r="B179">
        <v>18612</v>
      </c>
      <c r="C179">
        <v>18640.150000000001</v>
      </c>
      <c r="D179">
        <v>18582.8</v>
      </c>
      <c r="E179">
        <v>18593.849999999999</v>
      </c>
      <c r="F179" s="4">
        <f t="shared" si="9"/>
        <v>144.82350171847068</v>
      </c>
      <c r="G179">
        <f t="shared" si="10"/>
        <v>18377.21</v>
      </c>
      <c r="H179">
        <f t="shared" si="11"/>
        <v>18666.85700343694</v>
      </c>
      <c r="I179" s="2">
        <f t="shared" si="8"/>
        <v>18087.562996563058</v>
      </c>
    </row>
    <row r="180" spans="1:9" x14ac:dyDescent="0.25">
      <c r="A180" s="1">
        <v>45083</v>
      </c>
      <c r="B180">
        <v>18600.8</v>
      </c>
      <c r="C180">
        <v>18622.75</v>
      </c>
      <c r="D180">
        <v>18531.599999999999</v>
      </c>
      <c r="E180">
        <v>18599</v>
      </c>
      <c r="F180" s="4">
        <f t="shared" si="9"/>
        <v>150.12375467843148</v>
      </c>
      <c r="G180">
        <f t="shared" si="10"/>
        <v>18393.862499999996</v>
      </c>
      <c r="H180">
        <f t="shared" si="11"/>
        <v>18694.11000935686</v>
      </c>
      <c r="I180" s="2">
        <f t="shared" si="8"/>
        <v>18093.614990643131</v>
      </c>
    </row>
    <row r="181" spans="1:9" x14ac:dyDescent="0.25">
      <c r="A181" s="1">
        <v>45084</v>
      </c>
      <c r="B181">
        <v>18665.599999999999</v>
      </c>
      <c r="C181">
        <v>18738.95</v>
      </c>
      <c r="D181">
        <v>18636</v>
      </c>
      <c r="E181">
        <v>18726.400000000001</v>
      </c>
      <c r="F181" s="4">
        <f t="shared" si="9"/>
        <v>165.32726746895054</v>
      </c>
      <c r="G181">
        <f t="shared" si="10"/>
        <v>18414.427499999998</v>
      </c>
      <c r="H181">
        <f t="shared" si="11"/>
        <v>18745.082034937899</v>
      </c>
      <c r="I181" s="2">
        <f t="shared" si="8"/>
        <v>18083.772965062097</v>
      </c>
    </row>
    <row r="182" spans="1:9" x14ac:dyDescent="0.25">
      <c r="A182" s="1">
        <v>45085</v>
      </c>
      <c r="B182">
        <v>18725.349999999999</v>
      </c>
      <c r="C182">
        <v>18777.900000000001</v>
      </c>
      <c r="D182">
        <v>18615.599999999999</v>
      </c>
      <c r="E182">
        <v>18634.55</v>
      </c>
      <c r="F182" s="4">
        <f t="shared" si="9"/>
        <v>169.65108377195796</v>
      </c>
      <c r="G182">
        <f t="shared" si="10"/>
        <v>18431.304999999997</v>
      </c>
      <c r="H182">
        <f t="shared" si="11"/>
        <v>18770.607167543913</v>
      </c>
      <c r="I182" s="2">
        <f t="shared" si="8"/>
        <v>18092.002832456081</v>
      </c>
    </row>
    <row r="183" spans="1:9" x14ac:dyDescent="0.25">
      <c r="A183" s="1">
        <v>45086</v>
      </c>
      <c r="B183">
        <v>18655.900000000001</v>
      </c>
      <c r="C183">
        <v>18676.650000000001</v>
      </c>
      <c r="D183">
        <v>18555.400000000001</v>
      </c>
      <c r="E183">
        <v>18563.400000000001</v>
      </c>
      <c r="F183" s="4">
        <f t="shared" si="9"/>
        <v>169.76680778350018</v>
      </c>
      <c r="G183">
        <f t="shared" si="10"/>
        <v>18443.735000000001</v>
      </c>
      <c r="H183">
        <f t="shared" si="11"/>
        <v>18783.268615567002</v>
      </c>
      <c r="I183" s="2">
        <f t="shared" si="8"/>
        <v>18104.201384432999</v>
      </c>
    </row>
    <row r="184" spans="1:9" x14ac:dyDescent="0.25">
      <c r="A184" s="1">
        <v>45089</v>
      </c>
      <c r="B184">
        <v>18595.05</v>
      </c>
      <c r="C184">
        <v>18633.599999999999</v>
      </c>
      <c r="D184">
        <v>18559.75</v>
      </c>
      <c r="E184">
        <v>18601.5</v>
      </c>
      <c r="F184" s="4">
        <f t="shared" si="9"/>
        <v>172.80583922064059</v>
      </c>
      <c r="G184">
        <f t="shared" si="10"/>
        <v>18453.8675</v>
      </c>
      <c r="H184">
        <f t="shared" si="11"/>
        <v>18799.479178441281</v>
      </c>
      <c r="I184" s="2">
        <f t="shared" si="8"/>
        <v>18108.25582155872</v>
      </c>
    </row>
    <row r="185" spans="1:9" x14ac:dyDescent="0.25">
      <c r="A185" s="1">
        <v>45090</v>
      </c>
      <c r="B185">
        <v>18631.8</v>
      </c>
      <c r="C185">
        <v>18728.900000000001</v>
      </c>
      <c r="D185">
        <v>18631.8</v>
      </c>
      <c r="E185">
        <v>18716.150000000001</v>
      </c>
      <c r="F185" s="4">
        <f t="shared" si="9"/>
        <v>177.311510483668</v>
      </c>
      <c r="G185">
        <f t="shared" si="10"/>
        <v>18475.350000000002</v>
      </c>
      <c r="H185">
        <f t="shared" si="11"/>
        <v>18829.97302096734</v>
      </c>
      <c r="I185" s="2">
        <f t="shared" si="8"/>
        <v>18120.726979032665</v>
      </c>
    </row>
    <row r="186" spans="1:9" x14ac:dyDescent="0.25">
      <c r="A186" s="1">
        <v>45091</v>
      </c>
      <c r="B186">
        <v>18744.599999999999</v>
      </c>
      <c r="C186">
        <v>18769.7</v>
      </c>
      <c r="D186">
        <v>18690</v>
      </c>
      <c r="E186">
        <v>18755.900000000001</v>
      </c>
      <c r="F186" s="4">
        <f t="shared" si="9"/>
        <v>173.89829878049389</v>
      </c>
      <c r="G186">
        <f t="shared" si="10"/>
        <v>18504.057500000003</v>
      </c>
      <c r="H186">
        <f t="shared" si="11"/>
        <v>18851.85409756099</v>
      </c>
      <c r="I186" s="2">
        <f t="shared" si="8"/>
        <v>18156.260902439015</v>
      </c>
    </row>
    <row r="187" spans="1:9" x14ac:dyDescent="0.25">
      <c r="A187" s="1">
        <v>45092</v>
      </c>
      <c r="B187">
        <v>18774.45</v>
      </c>
      <c r="C187">
        <v>18794.099999999999</v>
      </c>
      <c r="D187">
        <v>18669.05</v>
      </c>
      <c r="E187">
        <v>18688.099999999999</v>
      </c>
      <c r="F187" s="4">
        <f t="shared" si="9"/>
        <v>155.42699500086817</v>
      </c>
      <c r="G187">
        <f t="shared" si="10"/>
        <v>18531.965000000004</v>
      </c>
      <c r="H187">
        <f t="shared" si="11"/>
        <v>18842.818990001739</v>
      </c>
      <c r="I187" s="2">
        <f t="shared" si="8"/>
        <v>18221.111009998269</v>
      </c>
    </row>
    <row r="188" spans="1:9" x14ac:dyDescent="0.25">
      <c r="A188" s="1">
        <v>45093</v>
      </c>
      <c r="B188">
        <v>18723.3</v>
      </c>
      <c r="C188">
        <v>18864.7</v>
      </c>
      <c r="D188">
        <v>18710.5</v>
      </c>
      <c r="E188">
        <v>18826</v>
      </c>
      <c r="F188" s="4">
        <f t="shared" si="9"/>
        <v>148.70627079918296</v>
      </c>
      <c r="G188">
        <f t="shared" si="10"/>
        <v>18563.095000000001</v>
      </c>
      <c r="H188">
        <f t="shared" si="11"/>
        <v>18860.507541598367</v>
      </c>
      <c r="I188" s="2">
        <f t="shared" si="8"/>
        <v>18265.682458401636</v>
      </c>
    </row>
    <row r="189" spans="1:9" x14ac:dyDescent="0.25">
      <c r="A189" s="1">
        <v>45096</v>
      </c>
      <c r="B189">
        <v>18873.3</v>
      </c>
      <c r="C189">
        <v>18881.45</v>
      </c>
      <c r="D189">
        <v>18719.150000000001</v>
      </c>
      <c r="E189">
        <v>18755.45</v>
      </c>
      <c r="F189" s="4">
        <f t="shared" si="9"/>
        <v>142.77536331156708</v>
      </c>
      <c r="G189">
        <f t="shared" si="10"/>
        <v>18585.147499999999</v>
      </c>
      <c r="H189">
        <f t="shared" si="11"/>
        <v>18870.698226623132</v>
      </c>
      <c r="I189" s="2">
        <f t="shared" si="8"/>
        <v>18299.596773376867</v>
      </c>
    </row>
    <row r="190" spans="1:9" x14ac:dyDescent="0.25">
      <c r="A190" s="1">
        <v>45097</v>
      </c>
      <c r="B190">
        <v>18752.349999999999</v>
      </c>
      <c r="C190">
        <v>18839.7</v>
      </c>
      <c r="D190">
        <v>18660.650000000001</v>
      </c>
      <c r="E190">
        <v>18816.7</v>
      </c>
      <c r="F190" s="4">
        <f t="shared" si="9"/>
        <v>140.3726694152034</v>
      </c>
      <c r="G190">
        <f t="shared" si="10"/>
        <v>18608.5825</v>
      </c>
      <c r="H190">
        <f t="shared" si="11"/>
        <v>18889.327838830406</v>
      </c>
      <c r="I190" s="2">
        <f t="shared" si="8"/>
        <v>18327.837161169595</v>
      </c>
    </row>
    <row r="191" spans="1:9" x14ac:dyDescent="0.25">
      <c r="A191" s="1">
        <v>45098</v>
      </c>
      <c r="B191">
        <v>18849.400000000001</v>
      </c>
      <c r="C191">
        <v>18875.900000000001</v>
      </c>
      <c r="D191">
        <v>18794.849999999999</v>
      </c>
      <c r="E191">
        <v>18856.849999999999</v>
      </c>
      <c r="F191" s="4">
        <f t="shared" si="9"/>
        <v>129.41247901574249</v>
      </c>
      <c r="G191">
        <f t="shared" si="10"/>
        <v>18637.154999999999</v>
      </c>
      <c r="H191">
        <f t="shared" si="11"/>
        <v>18895.979958031483</v>
      </c>
      <c r="I191" s="2">
        <f t="shared" si="8"/>
        <v>18378.330041968515</v>
      </c>
    </row>
    <row r="192" spans="1:9" x14ac:dyDescent="0.25">
      <c r="A192" s="1">
        <v>45099</v>
      </c>
      <c r="B192">
        <v>18853.599999999999</v>
      </c>
      <c r="C192">
        <v>18886.599999999999</v>
      </c>
      <c r="D192">
        <v>18759.5</v>
      </c>
      <c r="E192">
        <v>18771.25</v>
      </c>
      <c r="F192" s="4">
        <f t="shared" si="9"/>
        <v>110.21447341433897</v>
      </c>
      <c r="G192">
        <f t="shared" si="10"/>
        <v>18659.659999999996</v>
      </c>
      <c r="H192">
        <f t="shared" si="11"/>
        <v>18880.088946828673</v>
      </c>
      <c r="I192" s="2">
        <f t="shared" si="8"/>
        <v>18439.231053171319</v>
      </c>
    </row>
    <row r="193" spans="1:9" x14ac:dyDescent="0.25">
      <c r="A193" s="1">
        <v>45100</v>
      </c>
      <c r="B193">
        <v>18741.849999999999</v>
      </c>
      <c r="C193">
        <v>18756.400000000001</v>
      </c>
      <c r="D193">
        <v>18647.099999999999</v>
      </c>
      <c r="E193">
        <v>18665.5</v>
      </c>
      <c r="F193" s="4">
        <f t="shared" si="9"/>
        <v>103.89877799449812</v>
      </c>
      <c r="G193">
        <f t="shared" si="10"/>
        <v>18667.967499999999</v>
      </c>
      <c r="H193">
        <f t="shared" si="11"/>
        <v>18875.765055988995</v>
      </c>
      <c r="I193" s="2">
        <f t="shared" si="8"/>
        <v>18460.169944011002</v>
      </c>
    </row>
    <row r="194" spans="1:9" x14ac:dyDescent="0.25">
      <c r="A194" s="1">
        <v>45103</v>
      </c>
      <c r="B194">
        <v>18682.349999999999</v>
      </c>
      <c r="C194">
        <v>18722.05</v>
      </c>
      <c r="D194">
        <v>18646.7</v>
      </c>
      <c r="E194">
        <v>18691.2</v>
      </c>
      <c r="F194" s="4">
        <f t="shared" si="9"/>
        <v>102.76324233401756</v>
      </c>
      <c r="G194">
        <f t="shared" si="10"/>
        <v>18672.594999999998</v>
      </c>
      <c r="H194">
        <f t="shared" si="11"/>
        <v>18878.121484668034</v>
      </c>
      <c r="I194" s="2">
        <f t="shared" ref="I194:I249" si="12">G194-(F194*2)</f>
        <v>18467.068515331961</v>
      </c>
    </row>
    <row r="195" spans="1:9" x14ac:dyDescent="0.25">
      <c r="A195" s="1">
        <v>45104</v>
      </c>
      <c r="B195">
        <v>18748.55</v>
      </c>
      <c r="C195">
        <v>18829.25</v>
      </c>
      <c r="D195">
        <v>18714.25</v>
      </c>
      <c r="E195">
        <v>18817.400000000001</v>
      </c>
      <c r="F195" s="4">
        <f t="shared" si="9"/>
        <v>107.00197717215337</v>
      </c>
      <c r="G195">
        <f t="shared" si="10"/>
        <v>18681.772499999999</v>
      </c>
      <c r="H195">
        <f t="shared" si="11"/>
        <v>18895.776454344305</v>
      </c>
      <c r="I195" s="2">
        <f t="shared" si="12"/>
        <v>18467.768545655694</v>
      </c>
    </row>
    <row r="196" spans="1:9" x14ac:dyDescent="0.25">
      <c r="A196" s="1">
        <v>45105</v>
      </c>
      <c r="B196">
        <v>18908.150000000001</v>
      </c>
      <c r="C196">
        <v>19011.25</v>
      </c>
      <c r="D196">
        <v>18861.349999999999</v>
      </c>
      <c r="E196">
        <v>18972.099999999999</v>
      </c>
      <c r="F196" s="4">
        <f t="shared" si="9"/>
        <v>118.73937876184971</v>
      </c>
      <c r="G196">
        <f t="shared" si="10"/>
        <v>18703.657500000001</v>
      </c>
      <c r="H196">
        <f t="shared" si="11"/>
        <v>18941.1362575237</v>
      </c>
      <c r="I196" s="2">
        <f t="shared" si="12"/>
        <v>18466.178742476302</v>
      </c>
    </row>
    <row r="197" spans="1:9" x14ac:dyDescent="0.25">
      <c r="A197" s="1">
        <v>45107</v>
      </c>
      <c r="B197">
        <v>19076.849999999999</v>
      </c>
      <c r="C197">
        <v>19201.7</v>
      </c>
      <c r="D197">
        <v>19024.599999999999</v>
      </c>
      <c r="E197">
        <v>19189.05</v>
      </c>
      <c r="F197" s="4">
        <f t="shared" si="9"/>
        <v>149.39537264838549</v>
      </c>
      <c r="G197">
        <f t="shared" si="10"/>
        <v>18738.722500000003</v>
      </c>
      <c r="H197">
        <f t="shared" si="11"/>
        <v>19037.513245296774</v>
      </c>
      <c r="I197" s="2">
        <f t="shared" si="12"/>
        <v>18439.931754703233</v>
      </c>
    </row>
    <row r="198" spans="1:9" x14ac:dyDescent="0.25">
      <c r="A198" s="1">
        <v>45110</v>
      </c>
      <c r="B198">
        <v>19246.5</v>
      </c>
      <c r="C198">
        <v>19345.099999999999</v>
      </c>
      <c r="D198">
        <v>19234.400000000001</v>
      </c>
      <c r="E198">
        <v>19322.55</v>
      </c>
      <c r="F198" s="4">
        <f t="shared" si="9"/>
        <v>188.98162073333984</v>
      </c>
      <c r="G198">
        <f t="shared" si="10"/>
        <v>18778.145</v>
      </c>
      <c r="H198">
        <f t="shared" si="11"/>
        <v>19156.108241466682</v>
      </c>
      <c r="I198" s="2">
        <f t="shared" si="12"/>
        <v>18400.181758533319</v>
      </c>
    </row>
    <row r="199" spans="1:9" x14ac:dyDescent="0.25">
      <c r="A199" s="1">
        <v>45111</v>
      </c>
      <c r="B199">
        <v>19406.599999999999</v>
      </c>
      <c r="C199">
        <v>19434.150000000001</v>
      </c>
      <c r="D199">
        <v>19300</v>
      </c>
      <c r="E199">
        <v>19389</v>
      </c>
      <c r="F199" s="4">
        <f t="shared" si="9"/>
        <v>226.03617712381762</v>
      </c>
      <c r="G199">
        <f t="shared" si="10"/>
        <v>18817.9025</v>
      </c>
      <c r="H199">
        <f t="shared" si="11"/>
        <v>19269.974854247634</v>
      </c>
      <c r="I199" s="2">
        <f t="shared" si="12"/>
        <v>18365.830145752367</v>
      </c>
    </row>
    <row r="200" spans="1:9" x14ac:dyDescent="0.25">
      <c r="A200" s="1">
        <v>45112</v>
      </c>
      <c r="B200">
        <v>19405.95</v>
      </c>
      <c r="C200">
        <v>19421.599999999999</v>
      </c>
      <c r="D200">
        <v>19339.599999999999</v>
      </c>
      <c r="E200">
        <v>19398.5</v>
      </c>
      <c r="F200" s="4">
        <f t="shared" si="9"/>
        <v>252.88952206200605</v>
      </c>
      <c r="G200">
        <f t="shared" si="10"/>
        <v>18857.877499999999</v>
      </c>
      <c r="H200">
        <f t="shared" si="11"/>
        <v>19363.656544124009</v>
      </c>
      <c r="I200" s="2">
        <f t="shared" si="12"/>
        <v>18352.098455875988</v>
      </c>
    </row>
    <row r="201" spans="1:9" x14ac:dyDescent="0.25">
      <c r="A201" s="1">
        <v>45113</v>
      </c>
      <c r="B201">
        <v>19385.7</v>
      </c>
      <c r="C201">
        <v>19512.2</v>
      </c>
      <c r="D201">
        <v>19373</v>
      </c>
      <c r="E201">
        <v>19497.3</v>
      </c>
      <c r="F201" s="4">
        <f t="shared" si="9"/>
        <v>286.43696229493463</v>
      </c>
      <c r="G201">
        <f t="shared" si="10"/>
        <v>18896.422500000001</v>
      </c>
      <c r="H201">
        <f t="shared" si="11"/>
        <v>19469.296424589869</v>
      </c>
      <c r="I201" s="2">
        <f t="shared" si="12"/>
        <v>18323.548575410132</v>
      </c>
    </row>
    <row r="202" spans="1:9" x14ac:dyDescent="0.25">
      <c r="A202" s="1">
        <v>45114</v>
      </c>
      <c r="B202">
        <v>19422.8</v>
      </c>
      <c r="C202">
        <v>19523.599999999999</v>
      </c>
      <c r="D202">
        <v>19303.599999999999</v>
      </c>
      <c r="E202">
        <v>19331.8</v>
      </c>
      <c r="F202" s="4">
        <f t="shared" si="9"/>
        <v>294.75338424689846</v>
      </c>
      <c r="G202">
        <f t="shared" si="10"/>
        <v>18931.284999999996</v>
      </c>
      <c r="H202">
        <f t="shared" si="11"/>
        <v>19520.791768493793</v>
      </c>
      <c r="I202" s="2">
        <f t="shared" si="12"/>
        <v>18341.7782315062</v>
      </c>
    </row>
    <row r="203" spans="1:9" x14ac:dyDescent="0.25">
      <c r="A203" s="1">
        <v>45117</v>
      </c>
      <c r="B203">
        <v>19400.349999999999</v>
      </c>
      <c r="C203">
        <v>19435.849999999999</v>
      </c>
      <c r="D203">
        <v>19327.099999999999</v>
      </c>
      <c r="E203">
        <v>19355.900000000001</v>
      </c>
      <c r="F203" s="4">
        <f t="shared" si="9"/>
        <v>295.90090089420119</v>
      </c>
      <c r="G203">
        <f t="shared" si="10"/>
        <v>18970.91</v>
      </c>
      <c r="H203">
        <f t="shared" si="11"/>
        <v>19562.711801788402</v>
      </c>
      <c r="I203" s="2">
        <f t="shared" si="12"/>
        <v>18379.108198211597</v>
      </c>
    </row>
    <row r="204" spans="1:9" x14ac:dyDescent="0.25">
      <c r="A204" s="1">
        <v>45118</v>
      </c>
      <c r="B204">
        <v>19427.099999999999</v>
      </c>
      <c r="C204">
        <v>19515.099999999999</v>
      </c>
      <c r="D204">
        <v>19406.45</v>
      </c>
      <c r="E204">
        <v>19439.400000000001</v>
      </c>
      <c r="F204" s="4">
        <f t="shared" si="9"/>
        <v>299.92183769275613</v>
      </c>
      <c r="G204">
        <f t="shared" si="10"/>
        <v>19012.805</v>
      </c>
      <c r="H204">
        <f t="shared" si="11"/>
        <v>19612.648675385513</v>
      </c>
      <c r="I204" s="2">
        <f t="shared" si="12"/>
        <v>18412.961324614487</v>
      </c>
    </row>
    <row r="205" spans="1:9" x14ac:dyDescent="0.25">
      <c r="A205" s="1">
        <v>45119</v>
      </c>
      <c r="B205">
        <v>19497.45</v>
      </c>
      <c r="C205">
        <v>19507.7</v>
      </c>
      <c r="D205">
        <v>19361.75</v>
      </c>
      <c r="E205">
        <v>19384.3</v>
      </c>
      <c r="F205" s="4">
        <f t="shared" si="9"/>
        <v>302.22055682688091</v>
      </c>
      <c r="G205">
        <f t="shared" si="10"/>
        <v>19046.212500000001</v>
      </c>
      <c r="H205">
        <f t="shared" si="11"/>
        <v>19650.653613653762</v>
      </c>
      <c r="I205" s="2">
        <f t="shared" si="12"/>
        <v>18441.771386346241</v>
      </c>
    </row>
    <row r="206" spans="1:9" x14ac:dyDescent="0.25">
      <c r="A206" s="1">
        <v>45120</v>
      </c>
      <c r="B206">
        <v>19495.2</v>
      </c>
      <c r="C206">
        <v>19567</v>
      </c>
      <c r="D206">
        <v>19385.8</v>
      </c>
      <c r="E206">
        <v>19413.75</v>
      </c>
      <c r="F206" s="4">
        <f t="shared" si="9"/>
        <v>304.62349174842046</v>
      </c>
      <c r="G206">
        <f t="shared" si="10"/>
        <v>19079.105000000003</v>
      </c>
      <c r="H206">
        <f t="shared" si="11"/>
        <v>19688.351983496843</v>
      </c>
      <c r="I206" s="2">
        <f t="shared" si="12"/>
        <v>18469.858016503164</v>
      </c>
    </row>
    <row r="207" spans="1:9" x14ac:dyDescent="0.25">
      <c r="A207" s="1">
        <v>45121</v>
      </c>
      <c r="B207">
        <v>19493.45</v>
      </c>
      <c r="C207">
        <v>19595.349999999999</v>
      </c>
      <c r="D207">
        <v>19433.5</v>
      </c>
      <c r="E207">
        <v>19564.5</v>
      </c>
      <c r="F207" s="4">
        <f t="shared" si="9"/>
        <v>308.23927252217544</v>
      </c>
      <c r="G207">
        <f t="shared" si="10"/>
        <v>19122.924999999999</v>
      </c>
      <c r="H207">
        <f t="shared" si="11"/>
        <v>19739.403545044352</v>
      </c>
      <c r="I207" s="2">
        <f t="shared" si="12"/>
        <v>18506.446454955647</v>
      </c>
    </row>
    <row r="208" spans="1:9" x14ac:dyDescent="0.25">
      <c r="A208" s="1">
        <v>45124</v>
      </c>
      <c r="B208">
        <v>19612.150000000001</v>
      </c>
      <c r="C208">
        <v>19731.849999999999</v>
      </c>
      <c r="D208">
        <v>19562.95</v>
      </c>
      <c r="E208">
        <v>19711.45</v>
      </c>
      <c r="F208" s="4">
        <f t="shared" si="9"/>
        <v>325.51690565737135</v>
      </c>
      <c r="G208">
        <f t="shared" si="10"/>
        <v>19167.197500000002</v>
      </c>
      <c r="H208">
        <f t="shared" si="11"/>
        <v>19818.231311314747</v>
      </c>
      <c r="I208" s="2">
        <f t="shared" si="12"/>
        <v>18516.163688685258</v>
      </c>
    </row>
    <row r="209" spans="1:9" x14ac:dyDescent="0.25">
      <c r="A209" s="1">
        <v>45125</v>
      </c>
      <c r="B209">
        <v>19787.5</v>
      </c>
      <c r="C209">
        <v>19819.45</v>
      </c>
      <c r="D209">
        <v>19690.2</v>
      </c>
      <c r="E209">
        <v>19749.25</v>
      </c>
      <c r="F209" s="4">
        <f t="shared" si="9"/>
        <v>334.59619725685764</v>
      </c>
      <c r="G209">
        <f t="shared" si="10"/>
        <v>19216.887500000001</v>
      </c>
      <c r="H209">
        <f t="shared" si="11"/>
        <v>19886.079894513718</v>
      </c>
      <c r="I209" s="2">
        <f t="shared" si="12"/>
        <v>18547.695105486284</v>
      </c>
    </row>
    <row r="210" spans="1:9" x14ac:dyDescent="0.25">
      <c r="A210" s="1">
        <v>45126</v>
      </c>
      <c r="B210">
        <v>19802.95</v>
      </c>
      <c r="C210">
        <v>19851.7</v>
      </c>
      <c r="D210">
        <v>19727.45</v>
      </c>
      <c r="E210">
        <v>19833.150000000001</v>
      </c>
      <c r="F210" s="4">
        <f t="shared" si="9"/>
        <v>346.91953015072551</v>
      </c>
      <c r="G210">
        <f t="shared" si="10"/>
        <v>19267.71</v>
      </c>
      <c r="H210">
        <f t="shared" si="11"/>
        <v>19961.549060301451</v>
      </c>
      <c r="I210" s="2">
        <f t="shared" si="12"/>
        <v>18573.870939698547</v>
      </c>
    </row>
    <row r="211" spans="1:9" x14ac:dyDescent="0.25">
      <c r="A211" s="1">
        <v>45127</v>
      </c>
      <c r="B211">
        <v>19831.7</v>
      </c>
      <c r="C211">
        <v>19991.849999999999</v>
      </c>
      <c r="D211">
        <v>19758.400000000001</v>
      </c>
      <c r="E211">
        <v>19979.150000000001</v>
      </c>
      <c r="F211" s="4">
        <f t="shared" si="9"/>
        <v>366.157498728348</v>
      </c>
      <c r="G211">
        <f t="shared" si="10"/>
        <v>19323.825000000004</v>
      </c>
      <c r="H211">
        <f t="shared" si="11"/>
        <v>20056.139997456699</v>
      </c>
      <c r="I211" s="2">
        <f t="shared" si="12"/>
        <v>18591.510002543309</v>
      </c>
    </row>
    <row r="212" spans="1:9" x14ac:dyDescent="0.25">
      <c r="A212" s="1">
        <v>45128</v>
      </c>
      <c r="B212">
        <v>19800.45</v>
      </c>
      <c r="C212">
        <v>19887.400000000001</v>
      </c>
      <c r="D212">
        <v>19700</v>
      </c>
      <c r="E212">
        <v>19745</v>
      </c>
      <c r="F212" s="4">
        <f t="shared" si="9"/>
        <v>353.98206694513505</v>
      </c>
      <c r="G212">
        <f t="shared" si="10"/>
        <v>19372.512500000001</v>
      </c>
      <c r="H212">
        <f t="shared" si="11"/>
        <v>20080.47663389027</v>
      </c>
      <c r="I212" s="2">
        <f t="shared" si="12"/>
        <v>18664.548366109731</v>
      </c>
    </row>
    <row r="213" spans="1:9" x14ac:dyDescent="0.25">
      <c r="A213" s="1">
        <v>45131</v>
      </c>
      <c r="B213">
        <v>19748.45</v>
      </c>
      <c r="C213">
        <v>19782.75</v>
      </c>
      <c r="D213">
        <v>19658.3</v>
      </c>
      <c r="E213">
        <v>19672.349999999999</v>
      </c>
      <c r="F213" s="4">
        <f t="shared" ref="F213:F249" si="13">STDEVPA(E194:E213)</f>
        <v>319.79795023577009</v>
      </c>
      <c r="G213">
        <f t="shared" si="10"/>
        <v>19422.855</v>
      </c>
      <c r="H213">
        <f t="shared" si="11"/>
        <v>20062.45090047154</v>
      </c>
      <c r="I213" s="2">
        <f t="shared" si="12"/>
        <v>18783.259099528459</v>
      </c>
    </row>
    <row r="214" spans="1:9" x14ac:dyDescent="0.25">
      <c r="A214" s="1">
        <v>45132</v>
      </c>
      <c r="B214">
        <v>19729.349999999999</v>
      </c>
      <c r="C214">
        <v>19729.349999999999</v>
      </c>
      <c r="D214">
        <v>19615.95</v>
      </c>
      <c r="E214">
        <v>19680.599999999999</v>
      </c>
      <c r="F214" s="4">
        <f t="shared" si="13"/>
        <v>276.3677267247391</v>
      </c>
      <c r="G214">
        <f t="shared" ref="G214:G249" si="14">AVERAGE(E195:E214)</f>
        <v>19472.324999999997</v>
      </c>
      <c r="H214">
        <f t="shared" ref="H214:H249" si="15">G214+(F214*2)</f>
        <v>20025.060453449474</v>
      </c>
      <c r="I214" s="2">
        <f t="shared" si="12"/>
        <v>18919.58954655052</v>
      </c>
    </row>
    <row r="215" spans="1:9" x14ac:dyDescent="0.25">
      <c r="A215" s="1">
        <v>45133</v>
      </c>
      <c r="B215">
        <v>19733.349999999999</v>
      </c>
      <c r="C215">
        <v>19825.599999999999</v>
      </c>
      <c r="D215">
        <v>19716.7</v>
      </c>
      <c r="E215">
        <v>19778.3</v>
      </c>
      <c r="F215" s="4">
        <f t="shared" si="13"/>
        <v>239.38566289567171</v>
      </c>
      <c r="G215">
        <f t="shared" si="14"/>
        <v>19520.37</v>
      </c>
      <c r="H215">
        <f t="shared" si="15"/>
        <v>19999.141325791341</v>
      </c>
      <c r="I215" s="2">
        <f t="shared" si="12"/>
        <v>19041.598674208657</v>
      </c>
    </row>
    <row r="216" spans="1:9" x14ac:dyDescent="0.25">
      <c r="A216" s="1">
        <v>45134</v>
      </c>
      <c r="B216">
        <v>19850.900000000001</v>
      </c>
      <c r="C216">
        <v>19867.55</v>
      </c>
      <c r="D216">
        <v>19603.55</v>
      </c>
      <c r="E216">
        <v>19659.900000000001</v>
      </c>
      <c r="F216" s="4">
        <f t="shared" si="13"/>
        <v>205.10059702497239</v>
      </c>
      <c r="G216">
        <f t="shared" si="14"/>
        <v>19554.760000000002</v>
      </c>
      <c r="H216">
        <f t="shared" si="15"/>
        <v>19964.961194049945</v>
      </c>
      <c r="I216" s="2">
        <f t="shared" si="12"/>
        <v>19144.558805950059</v>
      </c>
    </row>
    <row r="217" spans="1:9" x14ac:dyDescent="0.25">
      <c r="A217" s="1">
        <v>45135</v>
      </c>
      <c r="B217">
        <v>19659.75</v>
      </c>
      <c r="C217">
        <v>19695.900000000001</v>
      </c>
      <c r="D217">
        <v>19563.099999999999</v>
      </c>
      <c r="E217">
        <v>19646.05</v>
      </c>
      <c r="F217" s="4">
        <f t="shared" si="13"/>
        <v>187.8127668716908</v>
      </c>
      <c r="G217">
        <f t="shared" si="14"/>
        <v>19577.609999999997</v>
      </c>
      <c r="H217">
        <f t="shared" si="15"/>
        <v>19953.23553374338</v>
      </c>
      <c r="I217" s="2">
        <f t="shared" si="12"/>
        <v>19201.984466256614</v>
      </c>
    </row>
    <row r="218" spans="1:9" x14ac:dyDescent="0.25">
      <c r="A218" s="1">
        <v>45138</v>
      </c>
      <c r="B218">
        <v>19666.349999999999</v>
      </c>
      <c r="C218">
        <v>19772.75</v>
      </c>
      <c r="D218">
        <v>19597.599999999999</v>
      </c>
      <c r="E218">
        <v>19753.8</v>
      </c>
      <c r="F218" s="4">
        <f t="shared" si="13"/>
        <v>181.9562024739746</v>
      </c>
      <c r="G218">
        <f t="shared" si="14"/>
        <v>19599.172499999993</v>
      </c>
      <c r="H218">
        <f t="shared" si="15"/>
        <v>19963.084904947944</v>
      </c>
      <c r="I218" s="2">
        <f t="shared" si="12"/>
        <v>19235.260095052043</v>
      </c>
    </row>
    <row r="219" spans="1:9" x14ac:dyDescent="0.25">
      <c r="A219" s="1">
        <v>45139</v>
      </c>
      <c r="B219">
        <v>19784</v>
      </c>
      <c r="C219">
        <v>19795.599999999999</v>
      </c>
      <c r="D219">
        <v>19704.599999999999</v>
      </c>
      <c r="E219">
        <v>19733.55</v>
      </c>
      <c r="F219" s="4">
        <f t="shared" si="13"/>
        <v>177.49792815692251</v>
      </c>
      <c r="G219">
        <f t="shared" si="14"/>
        <v>19616.399999999998</v>
      </c>
      <c r="H219">
        <f t="shared" si="15"/>
        <v>19971.395856313844</v>
      </c>
      <c r="I219" s="2">
        <f t="shared" si="12"/>
        <v>19261.404143686152</v>
      </c>
    </row>
    <row r="220" spans="1:9" x14ac:dyDescent="0.25">
      <c r="A220" s="1">
        <v>45140</v>
      </c>
      <c r="B220">
        <v>19655.400000000001</v>
      </c>
      <c r="C220">
        <v>19678.25</v>
      </c>
      <c r="D220">
        <v>19423.55</v>
      </c>
      <c r="E220">
        <v>19526.55</v>
      </c>
      <c r="F220" s="4">
        <f t="shared" si="13"/>
        <v>171.73861860033122</v>
      </c>
      <c r="G220">
        <f t="shared" si="14"/>
        <v>19622.802499999998</v>
      </c>
      <c r="H220">
        <f t="shared" si="15"/>
        <v>19966.279737200661</v>
      </c>
      <c r="I220" s="2">
        <f t="shared" si="12"/>
        <v>19279.325262799335</v>
      </c>
    </row>
    <row r="221" spans="1:9" x14ac:dyDescent="0.25">
      <c r="A221" s="1">
        <v>45141</v>
      </c>
      <c r="B221">
        <v>19463.75</v>
      </c>
      <c r="C221">
        <v>19537.650000000001</v>
      </c>
      <c r="D221">
        <v>19296.45</v>
      </c>
      <c r="E221">
        <v>19381.650000000001</v>
      </c>
      <c r="F221" s="4">
        <f t="shared" si="13"/>
        <v>177.71015263625202</v>
      </c>
      <c r="G221">
        <f t="shared" si="14"/>
        <v>19617.02</v>
      </c>
      <c r="H221">
        <f t="shared" si="15"/>
        <v>19972.440305272503</v>
      </c>
      <c r="I221" s="2">
        <f t="shared" si="12"/>
        <v>19261.599694727498</v>
      </c>
    </row>
    <row r="222" spans="1:9" x14ac:dyDescent="0.25">
      <c r="A222" s="1">
        <v>45142</v>
      </c>
      <c r="B222">
        <v>19462.8</v>
      </c>
      <c r="C222">
        <v>19538.849999999999</v>
      </c>
      <c r="D222">
        <v>19436.45</v>
      </c>
      <c r="E222">
        <v>19517</v>
      </c>
      <c r="F222" s="4">
        <f t="shared" si="13"/>
        <v>167.11621211001636</v>
      </c>
      <c r="G222">
        <f t="shared" si="14"/>
        <v>19626.28</v>
      </c>
      <c r="H222">
        <f t="shared" si="15"/>
        <v>19960.512424220033</v>
      </c>
      <c r="I222" s="2">
        <f t="shared" si="12"/>
        <v>19292.047575779965</v>
      </c>
    </row>
    <row r="223" spans="1:9" x14ac:dyDescent="0.25">
      <c r="A223" s="1">
        <v>45145</v>
      </c>
      <c r="B223">
        <v>19576.849999999999</v>
      </c>
      <c r="C223">
        <v>19620.45</v>
      </c>
      <c r="D223">
        <v>19524.8</v>
      </c>
      <c r="E223">
        <v>19597.3</v>
      </c>
      <c r="F223" s="4">
        <f t="shared" si="13"/>
        <v>155.46339842548153</v>
      </c>
      <c r="G223">
        <f t="shared" si="14"/>
        <v>19638.349999999999</v>
      </c>
      <c r="H223">
        <f t="shared" si="15"/>
        <v>19949.276796850962</v>
      </c>
      <c r="I223" s="2">
        <f t="shared" si="12"/>
        <v>19327.423203149036</v>
      </c>
    </row>
    <row r="224" spans="1:9" x14ac:dyDescent="0.25">
      <c r="A224" s="1">
        <v>45146</v>
      </c>
      <c r="B224">
        <v>19627.2</v>
      </c>
      <c r="C224">
        <v>19634.400000000001</v>
      </c>
      <c r="D224">
        <v>19533.099999999999</v>
      </c>
      <c r="E224">
        <v>19570.849999999999</v>
      </c>
      <c r="F224" s="4">
        <f t="shared" si="13"/>
        <v>149.58084058043681</v>
      </c>
      <c r="G224">
        <f t="shared" si="14"/>
        <v>19644.922499999997</v>
      </c>
      <c r="H224">
        <f t="shared" si="15"/>
        <v>19944.08418116087</v>
      </c>
      <c r="I224" s="2">
        <f t="shared" si="12"/>
        <v>19345.760818839124</v>
      </c>
    </row>
    <row r="225" spans="1:9" x14ac:dyDescent="0.25">
      <c r="A225" s="1">
        <v>45147</v>
      </c>
      <c r="B225">
        <v>19578.8</v>
      </c>
      <c r="C225">
        <v>19645.5</v>
      </c>
      <c r="D225">
        <v>19467.5</v>
      </c>
      <c r="E225">
        <v>19632.55</v>
      </c>
      <c r="F225" s="4">
        <f t="shared" si="13"/>
        <v>137.22903218707052</v>
      </c>
      <c r="G225">
        <f t="shared" si="14"/>
        <v>19657.334999999999</v>
      </c>
      <c r="H225">
        <f t="shared" si="15"/>
        <v>19931.793064374142</v>
      </c>
      <c r="I225" s="2">
        <f t="shared" si="12"/>
        <v>19382.876935625856</v>
      </c>
    </row>
    <row r="226" spans="1:9" x14ac:dyDescent="0.25">
      <c r="A226" s="1">
        <v>45148</v>
      </c>
      <c r="B226">
        <v>19605.55</v>
      </c>
      <c r="C226">
        <v>19623.599999999999</v>
      </c>
      <c r="D226">
        <v>19495.400000000001</v>
      </c>
      <c r="E226">
        <v>19543.099999999999</v>
      </c>
      <c r="F226" s="4">
        <f t="shared" si="13"/>
        <v>128.35800664060679</v>
      </c>
      <c r="G226">
        <f t="shared" si="14"/>
        <v>19663.802499999998</v>
      </c>
      <c r="H226">
        <f t="shared" si="15"/>
        <v>19920.518513281211</v>
      </c>
      <c r="I226" s="2">
        <f t="shared" si="12"/>
        <v>19407.086486718785</v>
      </c>
    </row>
    <row r="227" spans="1:9" x14ac:dyDescent="0.25">
      <c r="A227" s="1">
        <v>45149</v>
      </c>
      <c r="B227">
        <v>19554.25</v>
      </c>
      <c r="C227">
        <v>19557.75</v>
      </c>
      <c r="D227">
        <v>19412.75</v>
      </c>
      <c r="E227">
        <v>19428.3</v>
      </c>
      <c r="F227" s="4">
        <f t="shared" si="13"/>
        <v>136.78239586565982</v>
      </c>
      <c r="G227">
        <f t="shared" si="14"/>
        <v>19656.992499999993</v>
      </c>
      <c r="H227">
        <f t="shared" si="15"/>
        <v>19930.557291731311</v>
      </c>
      <c r="I227" s="2">
        <f t="shared" si="12"/>
        <v>19383.427708268675</v>
      </c>
    </row>
    <row r="228" spans="1:9" x14ac:dyDescent="0.25">
      <c r="A228" s="1">
        <v>45152</v>
      </c>
      <c r="B228">
        <v>19383.95</v>
      </c>
      <c r="C228">
        <v>19465.849999999999</v>
      </c>
      <c r="D228">
        <v>19257.900000000001</v>
      </c>
      <c r="E228">
        <v>19434.55</v>
      </c>
      <c r="F228" s="4">
        <f t="shared" si="13"/>
        <v>144.37275407344032</v>
      </c>
      <c r="G228">
        <f t="shared" si="14"/>
        <v>19643.147499999992</v>
      </c>
      <c r="H228">
        <f t="shared" si="15"/>
        <v>19931.893008146872</v>
      </c>
      <c r="I228" s="2">
        <f t="shared" si="12"/>
        <v>19354.401991853112</v>
      </c>
    </row>
    <row r="229" spans="1:9" x14ac:dyDescent="0.25">
      <c r="A229" s="1">
        <v>45154</v>
      </c>
      <c r="B229">
        <v>19369</v>
      </c>
      <c r="C229">
        <v>19482.75</v>
      </c>
      <c r="D229">
        <v>19317.2</v>
      </c>
      <c r="E229">
        <v>19465</v>
      </c>
      <c r="F229" s="4">
        <f t="shared" si="13"/>
        <v>147.19183579601167</v>
      </c>
      <c r="G229">
        <f t="shared" si="14"/>
        <v>19628.934999999994</v>
      </c>
      <c r="H229">
        <f t="shared" si="15"/>
        <v>19923.318671592016</v>
      </c>
      <c r="I229" s="2">
        <f t="shared" si="12"/>
        <v>19334.551328407972</v>
      </c>
    </row>
    <row r="230" spans="1:9" x14ac:dyDescent="0.25">
      <c r="A230" s="1">
        <v>45155</v>
      </c>
      <c r="B230">
        <v>19450.55</v>
      </c>
      <c r="C230">
        <v>19461.55</v>
      </c>
      <c r="D230">
        <v>19326.25</v>
      </c>
      <c r="E230">
        <v>19365.25</v>
      </c>
      <c r="F230" s="4">
        <f t="shared" si="13"/>
        <v>150.03136722032502</v>
      </c>
      <c r="G230">
        <f t="shared" si="14"/>
        <v>19605.539999999994</v>
      </c>
      <c r="H230">
        <f t="shared" si="15"/>
        <v>19905.602734440643</v>
      </c>
      <c r="I230" s="2">
        <f t="shared" si="12"/>
        <v>19305.477265559344</v>
      </c>
    </row>
    <row r="231" spans="1:9" x14ac:dyDescent="0.25">
      <c r="A231" s="1">
        <v>45156</v>
      </c>
      <c r="B231">
        <v>19301.75</v>
      </c>
      <c r="C231">
        <v>19373.8</v>
      </c>
      <c r="D231">
        <v>19253.599999999999</v>
      </c>
      <c r="E231">
        <v>19310.150000000001</v>
      </c>
      <c r="F231" s="4">
        <f t="shared" si="13"/>
        <v>137.0184281401589</v>
      </c>
      <c r="G231">
        <f t="shared" si="14"/>
        <v>19572.089999999997</v>
      </c>
      <c r="H231">
        <f t="shared" si="15"/>
        <v>19846.126856280316</v>
      </c>
      <c r="I231" s="2">
        <f t="shared" si="12"/>
        <v>19298.053143719677</v>
      </c>
    </row>
    <row r="232" spans="1:9" x14ac:dyDescent="0.25">
      <c r="A232" s="1">
        <v>45159</v>
      </c>
      <c r="B232">
        <v>19320.650000000001</v>
      </c>
      <c r="C232">
        <v>19425.95</v>
      </c>
      <c r="D232">
        <v>19296.3</v>
      </c>
      <c r="E232">
        <v>19393.599999999999</v>
      </c>
      <c r="F232" s="4">
        <f t="shared" si="13"/>
        <v>136.24751502321024</v>
      </c>
      <c r="G232">
        <f t="shared" si="14"/>
        <v>19554.519999999997</v>
      </c>
      <c r="H232">
        <f t="shared" si="15"/>
        <v>19827.015030046416</v>
      </c>
      <c r="I232" s="2">
        <f t="shared" si="12"/>
        <v>19282.024969953578</v>
      </c>
    </row>
    <row r="233" spans="1:9" x14ac:dyDescent="0.25">
      <c r="A233" s="1">
        <v>45160</v>
      </c>
      <c r="B233">
        <v>19417.099999999999</v>
      </c>
      <c r="C233">
        <v>19443.5</v>
      </c>
      <c r="D233">
        <v>19381.3</v>
      </c>
      <c r="E233">
        <v>19396.45</v>
      </c>
      <c r="F233" s="4">
        <f t="shared" si="13"/>
        <v>137.57977367694679</v>
      </c>
      <c r="G233">
        <f t="shared" si="14"/>
        <v>19540.724999999999</v>
      </c>
      <c r="H233">
        <f t="shared" si="15"/>
        <v>19815.884547353893</v>
      </c>
      <c r="I233" s="2">
        <f t="shared" si="12"/>
        <v>19265.565452646104</v>
      </c>
    </row>
    <row r="234" spans="1:9" x14ac:dyDescent="0.25">
      <c r="A234" s="1">
        <v>45161</v>
      </c>
      <c r="B234">
        <v>19439.2</v>
      </c>
      <c r="C234">
        <v>19472.05</v>
      </c>
      <c r="D234">
        <v>19366.599999999999</v>
      </c>
      <c r="E234">
        <v>19444</v>
      </c>
      <c r="F234" s="4">
        <f t="shared" si="13"/>
        <v>135.19534283768769</v>
      </c>
      <c r="G234">
        <f t="shared" si="14"/>
        <v>19528.895</v>
      </c>
      <c r="H234">
        <f t="shared" si="15"/>
        <v>19799.285685675375</v>
      </c>
      <c r="I234" s="2">
        <f t="shared" si="12"/>
        <v>19258.504314324626</v>
      </c>
    </row>
    <row r="235" spans="1:9" x14ac:dyDescent="0.25">
      <c r="A235" s="1">
        <v>45162</v>
      </c>
      <c r="B235">
        <v>19535.150000000001</v>
      </c>
      <c r="C235">
        <v>19584.45</v>
      </c>
      <c r="D235">
        <v>19369</v>
      </c>
      <c r="E235">
        <v>19386.7</v>
      </c>
      <c r="F235" s="4">
        <f t="shared" si="13"/>
        <v>125.67908547168821</v>
      </c>
      <c r="G235">
        <f t="shared" si="14"/>
        <v>19509.314999999999</v>
      </c>
      <c r="H235">
        <f t="shared" si="15"/>
        <v>19760.673170943373</v>
      </c>
      <c r="I235" s="2">
        <f t="shared" si="12"/>
        <v>19257.956829056624</v>
      </c>
    </row>
    <row r="236" spans="1:9" x14ac:dyDescent="0.25">
      <c r="A236" s="1">
        <v>45163</v>
      </c>
      <c r="B236">
        <v>19297.400000000001</v>
      </c>
      <c r="C236">
        <v>19339.55</v>
      </c>
      <c r="D236">
        <v>19229.7</v>
      </c>
      <c r="E236">
        <v>19265.8</v>
      </c>
      <c r="F236" s="4">
        <f t="shared" si="13"/>
        <v>131.29406365102685</v>
      </c>
      <c r="G236">
        <f t="shared" si="14"/>
        <v>19489.61</v>
      </c>
      <c r="H236">
        <f t="shared" si="15"/>
        <v>19752.198127302054</v>
      </c>
      <c r="I236" s="2">
        <f t="shared" si="12"/>
        <v>19227.021872697947</v>
      </c>
    </row>
    <row r="237" spans="1:9" x14ac:dyDescent="0.25">
      <c r="A237" s="1">
        <v>45166</v>
      </c>
      <c r="B237">
        <v>19298.349999999999</v>
      </c>
      <c r="C237">
        <v>19366.849999999999</v>
      </c>
      <c r="D237">
        <v>19249.7</v>
      </c>
      <c r="E237">
        <v>19306.05</v>
      </c>
      <c r="F237" s="4">
        <f t="shared" si="13"/>
        <v>131.9476075948325</v>
      </c>
      <c r="G237">
        <f t="shared" si="14"/>
        <v>19472.609999999997</v>
      </c>
      <c r="H237">
        <f t="shared" si="15"/>
        <v>19736.505215189663</v>
      </c>
      <c r="I237" s="2">
        <f t="shared" si="12"/>
        <v>19208.71478481033</v>
      </c>
    </row>
    <row r="238" spans="1:9" x14ac:dyDescent="0.25">
      <c r="A238" s="1">
        <v>45167</v>
      </c>
      <c r="B238">
        <v>19374.849999999999</v>
      </c>
      <c r="C238">
        <v>19377.900000000001</v>
      </c>
      <c r="D238">
        <v>19309.099999999999</v>
      </c>
      <c r="E238">
        <v>19342.650000000001</v>
      </c>
      <c r="F238" s="4">
        <f t="shared" si="13"/>
        <v>117.80768064413245</v>
      </c>
      <c r="G238">
        <f t="shared" si="14"/>
        <v>19452.052499999998</v>
      </c>
      <c r="H238">
        <f t="shared" si="15"/>
        <v>19687.667861288264</v>
      </c>
      <c r="I238" s="2">
        <f t="shared" si="12"/>
        <v>19216.437138711732</v>
      </c>
    </row>
    <row r="239" spans="1:9" x14ac:dyDescent="0.25">
      <c r="A239" s="1">
        <v>45168</v>
      </c>
      <c r="B239">
        <v>19433.45</v>
      </c>
      <c r="C239">
        <v>19452.8</v>
      </c>
      <c r="D239">
        <v>19334.75</v>
      </c>
      <c r="E239">
        <v>19347.45</v>
      </c>
      <c r="F239" s="4">
        <f t="shared" si="13"/>
        <v>100.4540124571931</v>
      </c>
      <c r="G239">
        <f t="shared" si="14"/>
        <v>19432.747500000001</v>
      </c>
      <c r="H239">
        <f t="shared" si="15"/>
        <v>19633.655524914386</v>
      </c>
      <c r="I239" s="2">
        <f t="shared" si="12"/>
        <v>19231.839475085617</v>
      </c>
    </row>
    <row r="240" spans="1:9" x14ac:dyDescent="0.25">
      <c r="A240" s="1">
        <v>45169</v>
      </c>
      <c r="B240">
        <v>19375.55</v>
      </c>
      <c r="C240">
        <v>19388.2</v>
      </c>
      <c r="D240">
        <v>19223.650000000001</v>
      </c>
      <c r="E240">
        <v>19253.8</v>
      </c>
      <c r="F240" s="4">
        <f t="shared" si="13"/>
        <v>105.19597021749419</v>
      </c>
      <c r="G240">
        <f t="shared" si="14"/>
        <v>19419.11</v>
      </c>
      <c r="H240">
        <f t="shared" si="15"/>
        <v>19629.501940434988</v>
      </c>
      <c r="I240" s="2">
        <f t="shared" si="12"/>
        <v>19208.718059565013</v>
      </c>
    </row>
    <row r="241" spans="1:9" x14ac:dyDescent="0.25">
      <c r="A241" s="1">
        <v>45170</v>
      </c>
      <c r="B241">
        <v>19258.150000000001</v>
      </c>
      <c r="C241">
        <v>19458.55</v>
      </c>
      <c r="D241">
        <v>19255.7</v>
      </c>
      <c r="E241">
        <v>19435.3</v>
      </c>
      <c r="F241" s="4">
        <f t="shared" si="13"/>
        <v>104.89013094066539</v>
      </c>
      <c r="G241">
        <f t="shared" si="14"/>
        <v>19421.7925</v>
      </c>
      <c r="H241">
        <f t="shared" si="15"/>
        <v>19631.572761881329</v>
      </c>
      <c r="I241" s="2">
        <f t="shared" si="12"/>
        <v>19212.01223811867</v>
      </c>
    </row>
    <row r="242" spans="1:9" x14ac:dyDescent="0.25">
      <c r="A242" s="1">
        <v>45173</v>
      </c>
      <c r="B242">
        <v>19525.05</v>
      </c>
      <c r="C242">
        <v>19545.150000000001</v>
      </c>
      <c r="D242">
        <v>19432.849999999999</v>
      </c>
      <c r="E242">
        <v>19528.8</v>
      </c>
      <c r="F242" s="4">
        <f t="shared" si="13"/>
        <v>105.45566992224705</v>
      </c>
      <c r="G242">
        <f t="shared" si="14"/>
        <v>19422.3825</v>
      </c>
      <c r="H242">
        <f t="shared" si="15"/>
        <v>19633.293839844493</v>
      </c>
      <c r="I242" s="2">
        <f t="shared" si="12"/>
        <v>19211.471160155506</v>
      </c>
    </row>
    <row r="243" spans="1:9" x14ac:dyDescent="0.25">
      <c r="A243" s="1">
        <v>45174</v>
      </c>
      <c r="B243">
        <v>19564.650000000001</v>
      </c>
      <c r="C243">
        <v>19587.05</v>
      </c>
      <c r="D243">
        <v>19525.75</v>
      </c>
      <c r="E243">
        <v>19574.900000000001</v>
      </c>
      <c r="F243" s="4">
        <f t="shared" si="13"/>
        <v>103.69627147949899</v>
      </c>
      <c r="G243">
        <f t="shared" si="14"/>
        <v>19421.262500000001</v>
      </c>
      <c r="H243">
        <f t="shared" si="15"/>
        <v>19628.655042958999</v>
      </c>
      <c r="I243" s="2">
        <f t="shared" si="12"/>
        <v>19213.869957041003</v>
      </c>
    </row>
    <row r="244" spans="1:9" x14ac:dyDescent="0.25">
      <c r="A244" s="1">
        <v>45175</v>
      </c>
      <c r="B244">
        <v>19581.2</v>
      </c>
      <c r="C244">
        <v>19636.45</v>
      </c>
      <c r="D244">
        <v>19491.5</v>
      </c>
      <c r="E244">
        <v>19611.05</v>
      </c>
      <c r="F244" s="4">
        <f t="shared" si="13"/>
        <v>106.91595002033122</v>
      </c>
      <c r="G244">
        <f t="shared" si="14"/>
        <v>19423.272499999999</v>
      </c>
      <c r="H244">
        <f t="shared" si="15"/>
        <v>19637.104400040662</v>
      </c>
      <c r="I244" s="2">
        <f t="shared" si="12"/>
        <v>19209.440599959336</v>
      </c>
    </row>
    <row r="245" spans="1:9" x14ac:dyDescent="0.25">
      <c r="A245" s="1">
        <v>45176</v>
      </c>
      <c r="B245">
        <v>19598.650000000001</v>
      </c>
      <c r="C245">
        <v>19737</v>
      </c>
      <c r="D245">
        <v>19550.05</v>
      </c>
      <c r="E245">
        <v>19727.05</v>
      </c>
      <c r="F245" s="4">
        <f t="shared" si="13"/>
        <v>117.61326293726384</v>
      </c>
      <c r="G245">
        <f t="shared" si="14"/>
        <v>19427.997499999998</v>
      </c>
      <c r="H245">
        <f t="shared" si="15"/>
        <v>19663.224025874526</v>
      </c>
      <c r="I245" s="2">
        <f t="shared" si="12"/>
        <v>19192.770974125469</v>
      </c>
    </row>
    <row r="246" spans="1:9" x14ac:dyDescent="0.25">
      <c r="A246" s="1">
        <v>45177</v>
      </c>
      <c r="B246">
        <v>19774.8</v>
      </c>
      <c r="C246">
        <v>19867.150000000001</v>
      </c>
      <c r="D246">
        <v>19727.05</v>
      </c>
      <c r="E246">
        <v>19819.95</v>
      </c>
      <c r="F246" s="4">
        <f t="shared" si="13"/>
        <v>143.73647292875947</v>
      </c>
      <c r="G246">
        <f t="shared" si="14"/>
        <v>19441.84</v>
      </c>
      <c r="H246">
        <f t="shared" si="15"/>
        <v>19729.31294585752</v>
      </c>
      <c r="I246" s="2">
        <f t="shared" si="12"/>
        <v>19154.36705414248</v>
      </c>
    </row>
    <row r="247" spans="1:9" x14ac:dyDescent="0.25">
      <c r="A247" s="1">
        <v>45180</v>
      </c>
      <c r="B247">
        <v>19890</v>
      </c>
      <c r="C247">
        <v>20008.150000000001</v>
      </c>
      <c r="D247">
        <v>19865.349999999999</v>
      </c>
      <c r="E247">
        <v>19996.349999999999</v>
      </c>
      <c r="F247" s="4">
        <f t="shared" si="13"/>
        <v>187.66558573363932</v>
      </c>
      <c r="G247">
        <f t="shared" si="14"/>
        <v>19470.2425</v>
      </c>
      <c r="H247">
        <f t="shared" si="15"/>
        <v>19845.573671467278</v>
      </c>
      <c r="I247" s="2">
        <f t="shared" si="12"/>
        <v>19094.911328532722</v>
      </c>
    </row>
    <row r="248" spans="1:9" x14ac:dyDescent="0.25">
      <c r="A248" s="1">
        <v>45181</v>
      </c>
      <c r="B248">
        <v>20110.150000000001</v>
      </c>
      <c r="C248">
        <v>20110.349999999999</v>
      </c>
      <c r="D248">
        <v>19914.650000000001</v>
      </c>
      <c r="E248">
        <v>19993.2</v>
      </c>
      <c r="F248" s="4">
        <f t="shared" si="13"/>
        <v>219.20008468292153</v>
      </c>
      <c r="G248">
        <f t="shared" si="14"/>
        <v>19498.174999999996</v>
      </c>
      <c r="H248">
        <f t="shared" si="15"/>
        <v>19936.575169365839</v>
      </c>
      <c r="I248" s="2">
        <f t="shared" si="12"/>
        <v>19059.774830634153</v>
      </c>
    </row>
    <row r="249" spans="1:9" x14ac:dyDescent="0.25">
      <c r="A249" s="1">
        <v>45182</v>
      </c>
      <c r="B249">
        <v>19989.5</v>
      </c>
      <c r="C249">
        <v>20096.900000000001</v>
      </c>
      <c r="D249">
        <v>19944.099999999999</v>
      </c>
      <c r="E249">
        <v>20070</v>
      </c>
      <c r="F249" s="4">
        <f t="shared" si="13"/>
        <v>251.84871872812846</v>
      </c>
      <c r="G249">
        <f t="shared" si="14"/>
        <v>19528.424999999996</v>
      </c>
      <c r="H249">
        <f t="shared" si="15"/>
        <v>20032.122437456252</v>
      </c>
      <c r="I249" s="2">
        <f t="shared" si="12"/>
        <v>19024.72756254374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aseemblack@outlook.com</cp:lastModifiedBy>
  <dcterms:created xsi:type="dcterms:W3CDTF">2017-01-30T13:02:27Z</dcterms:created>
  <dcterms:modified xsi:type="dcterms:W3CDTF">2023-09-14T10:15:09Z</dcterms:modified>
</cp:coreProperties>
</file>