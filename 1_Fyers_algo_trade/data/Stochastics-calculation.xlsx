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Aseem\Shares\Fyers\Udemy\"/>
    </mc:Choice>
  </mc:AlternateContent>
  <xr:revisionPtr revIDLastSave="0" documentId="13_ncr:1_{55B16D7A-0D84-46BD-ADAD-FA7BDACD1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DaysInYear">[1]Parameters!$B$9</definedName>
  </definedNames>
  <calcPr calcId="191029"/>
</workbook>
</file>

<file path=xl/calcChain.xml><?xml version="1.0" encoding="utf-8"?>
<calcChain xmlns="http://schemas.openxmlformats.org/spreadsheetml/2006/main">
  <c r="H189" i="1" l="1"/>
  <c r="H195" i="1"/>
  <c r="H221" i="1"/>
  <c r="H227" i="1"/>
  <c r="H234" i="1"/>
  <c r="F16" i="1"/>
  <c r="G16" i="1"/>
  <c r="H16" i="1" s="1"/>
  <c r="I18" i="1" s="1"/>
  <c r="F17" i="1"/>
  <c r="G17" i="1"/>
  <c r="H17" i="1" s="1"/>
  <c r="F18" i="1"/>
  <c r="G18" i="1"/>
  <c r="H18" i="1" s="1"/>
  <c r="F19" i="1"/>
  <c r="G19" i="1"/>
  <c r="H19" i="1" s="1"/>
  <c r="F20" i="1"/>
  <c r="G20" i="1"/>
  <c r="H20" i="1" s="1"/>
  <c r="I22" i="1" s="1"/>
  <c r="F21" i="1"/>
  <c r="G21" i="1"/>
  <c r="H21" i="1" s="1"/>
  <c r="F22" i="1"/>
  <c r="G22" i="1"/>
  <c r="H22" i="1" s="1"/>
  <c r="F23" i="1"/>
  <c r="G23" i="1"/>
  <c r="H23" i="1" s="1"/>
  <c r="F24" i="1"/>
  <c r="G24" i="1"/>
  <c r="H24" i="1" s="1"/>
  <c r="I26" i="1" s="1"/>
  <c r="F25" i="1"/>
  <c r="G25" i="1"/>
  <c r="H25" i="1" s="1"/>
  <c r="F26" i="1"/>
  <c r="G26" i="1"/>
  <c r="H26" i="1" s="1"/>
  <c r="F27" i="1"/>
  <c r="G27" i="1"/>
  <c r="H27" i="1" s="1"/>
  <c r="F28" i="1"/>
  <c r="H28" i="1" s="1"/>
  <c r="G28" i="1"/>
  <c r="F29" i="1"/>
  <c r="G29" i="1"/>
  <c r="H29" i="1" s="1"/>
  <c r="F30" i="1"/>
  <c r="G30" i="1"/>
  <c r="H30" i="1" s="1"/>
  <c r="F31" i="1"/>
  <c r="G31" i="1"/>
  <c r="H31" i="1" s="1"/>
  <c r="F32" i="1"/>
  <c r="G32" i="1"/>
  <c r="H32" i="1" s="1"/>
  <c r="I34" i="1" s="1"/>
  <c r="F33" i="1"/>
  <c r="G33" i="1"/>
  <c r="H33" i="1" s="1"/>
  <c r="F34" i="1"/>
  <c r="G34" i="1"/>
  <c r="H34" i="1" s="1"/>
  <c r="F35" i="1"/>
  <c r="G35" i="1"/>
  <c r="H35" i="1" s="1"/>
  <c r="F36" i="1"/>
  <c r="G36" i="1"/>
  <c r="H36" i="1" s="1"/>
  <c r="I38" i="1" s="1"/>
  <c r="F37" i="1"/>
  <c r="G37" i="1"/>
  <c r="H37" i="1" s="1"/>
  <c r="F38" i="1"/>
  <c r="G38" i="1"/>
  <c r="H38" i="1" s="1"/>
  <c r="F39" i="1"/>
  <c r="G39" i="1"/>
  <c r="H39" i="1" s="1"/>
  <c r="F40" i="1"/>
  <c r="G40" i="1"/>
  <c r="H40" i="1" s="1"/>
  <c r="I42" i="1" s="1"/>
  <c r="F41" i="1"/>
  <c r="G41" i="1"/>
  <c r="H41" i="1" s="1"/>
  <c r="F42" i="1"/>
  <c r="G42" i="1"/>
  <c r="H42" i="1" s="1"/>
  <c r="F43" i="1"/>
  <c r="G43" i="1"/>
  <c r="H43" i="1" s="1"/>
  <c r="F44" i="1"/>
  <c r="H44" i="1" s="1"/>
  <c r="G44" i="1"/>
  <c r="F45" i="1"/>
  <c r="G45" i="1"/>
  <c r="H45" i="1" s="1"/>
  <c r="F46" i="1"/>
  <c r="G46" i="1"/>
  <c r="H46" i="1" s="1"/>
  <c r="F47" i="1"/>
  <c r="G47" i="1"/>
  <c r="H47" i="1" s="1"/>
  <c r="F48" i="1"/>
  <c r="G48" i="1"/>
  <c r="H48" i="1" s="1"/>
  <c r="I50" i="1" s="1"/>
  <c r="F49" i="1"/>
  <c r="G49" i="1"/>
  <c r="H49" i="1" s="1"/>
  <c r="F50" i="1"/>
  <c r="G50" i="1"/>
  <c r="H50" i="1" s="1"/>
  <c r="F51" i="1"/>
  <c r="G51" i="1"/>
  <c r="H51" i="1" s="1"/>
  <c r="F52" i="1"/>
  <c r="G52" i="1"/>
  <c r="H52" i="1" s="1"/>
  <c r="I54" i="1" s="1"/>
  <c r="F53" i="1"/>
  <c r="G53" i="1"/>
  <c r="H53" i="1" s="1"/>
  <c r="F54" i="1"/>
  <c r="G54" i="1"/>
  <c r="H54" i="1" s="1"/>
  <c r="F55" i="1"/>
  <c r="G55" i="1"/>
  <c r="H55" i="1" s="1"/>
  <c r="F56" i="1"/>
  <c r="G56" i="1"/>
  <c r="H56" i="1" s="1"/>
  <c r="I58" i="1" s="1"/>
  <c r="F57" i="1"/>
  <c r="G57" i="1"/>
  <c r="H57" i="1" s="1"/>
  <c r="F58" i="1"/>
  <c r="G58" i="1"/>
  <c r="H58" i="1" s="1"/>
  <c r="F59" i="1"/>
  <c r="G59" i="1"/>
  <c r="H59" i="1" s="1"/>
  <c r="F60" i="1"/>
  <c r="H60" i="1" s="1"/>
  <c r="G60" i="1"/>
  <c r="F61" i="1"/>
  <c r="G61" i="1"/>
  <c r="H61" i="1" s="1"/>
  <c r="F62" i="1"/>
  <c r="G62" i="1"/>
  <c r="H62" i="1" s="1"/>
  <c r="F63" i="1"/>
  <c r="G63" i="1"/>
  <c r="H63" i="1" s="1"/>
  <c r="F64" i="1"/>
  <c r="G64" i="1"/>
  <c r="H64" i="1" s="1"/>
  <c r="I66" i="1" s="1"/>
  <c r="F65" i="1"/>
  <c r="G65" i="1"/>
  <c r="H65" i="1" s="1"/>
  <c r="F66" i="1"/>
  <c r="G66" i="1"/>
  <c r="H66" i="1" s="1"/>
  <c r="F67" i="1"/>
  <c r="G67" i="1"/>
  <c r="H67" i="1" s="1"/>
  <c r="F68" i="1"/>
  <c r="G68" i="1"/>
  <c r="H68" i="1" s="1"/>
  <c r="I70" i="1" s="1"/>
  <c r="F69" i="1"/>
  <c r="G69" i="1"/>
  <c r="H69" i="1" s="1"/>
  <c r="F70" i="1"/>
  <c r="G70" i="1"/>
  <c r="H70" i="1" s="1"/>
  <c r="F71" i="1"/>
  <c r="G71" i="1"/>
  <c r="H71" i="1" s="1"/>
  <c r="F72" i="1"/>
  <c r="G72" i="1"/>
  <c r="H72" i="1" s="1"/>
  <c r="I74" i="1" s="1"/>
  <c r="F73" i="1"/>
  <c r="G73" i="1"/>
  <c r="H73" i="1" s="1"/>
  <c r="F74" i="1"/>
  <c r="G74" i="1"/>
  <c r="H74" i="1" s="1"/>
  <c r="F75" i="1"/>
  <c r="G75" i="1"/>
  <c r="H75" i="1" s="1"/>
  <c r="F76" i="1"/>
  <c r="H76" i="1" s="1"/>
  <c r="G76" i="1"/>
  <c r="F77" i="1"/>
  <c r="G77" i="1"/>
  <c r="H77" i="1" s="1"/>
  <c r="F78" i="1"/>
  <c r="G78" i="1"/>
  <c r="H78" i="1" s="1"/>
  <c r="F79" i="1"/>
  <c r="G79" i="1"/>
  <c r="H79" i="1" s="1"/>
  <c r="F80" i="1"/>
  <c r="G80" i="1"/>
  <c r="H80" i="1" s="1"/>
  <c r="I82" i="1" s="1"/>
  <c r="F81" i="1"/>
  <c r="G81" i="1"/>
  <c r="H81" i="1" s="1"/>
  <c r="F82" i="1"/>
  <c r="G82" i="1"/>
  <c r="H82" i="1" s="1"/>
  <c r="F83" i="1"/>
  <c r="G83" i="1"/>
  <c r="H83" i="1" s="1"/>
  <c r="F84" i="1"/>
  <c r="G84" i="1"/>
  <c r="H84" i="1" s="1"/>
  <c r="I86" i="1" s="1"/>
  <c r="F85" i="1"/>
  <c r="G85" i="1"/>
  <c r="H85" i="1" s="1"/>
  <c r="F86" i="1"/>
  <c r="G86" i="1"/>
  <c r="H86" i="1" s="1"/>
  <c r="F87" i="1"/>
  <c r="G87" i="1"/>
  <c r="H87" i="1" s="1"/>
  <c r="F88" i="1"/>
  <c r="G88" i="1"/>
  <c r="H88" i="1" s="1"/>
  <c r="I90" i="1" s="1"/>
  <c r="F89" i="1"/>
  <c r="G89" i="1"/>
  <c r="H89" i="1" s="1"/>
  <c r="F90" i="1"/>
  <c r="G90" i="1"/>
  <c r="H90" i="1" s="1"/>
  <c r="F91" i="1"/>
  <c r="G91" i="1"/>
  <c r="H91" i="1" s="1"/>
  <c r="F92" i="1"/>
  <c r="H92" i="1" s="1"/>
  <c r="G92" i="1"/>
  <c r="F93" i="1"/>
  <c r="G93" i="1"/>
  <c r="H93" i="1" s="1"/>
  <c r="F94" i="1"/>
  <c r="G94" i="1"/>
  <c r="H94" i="1" s="1"/>
  <c r="F95" i="1"/>
  <c r="G95" i="1"/>
  <c r="H95" i="1" s="1"/>
  <c r="F96" i="1"/>
  <c r="G96" i="1"/>
  <c r="H96" i="1" s="1"/>
  <c r="I98" i="1" s="1"/>
  <c r="F97" i="1"/>
  <c r="G97" i="1"/>
  <c r="H97" i="1" s="1"/>
  <c r="F98" i="1"/>
  <c r="G98" i="1"/>
  <c r="H98" i="1" s="1"/>
  <c r="F99" i="1"/>
  <c r="G99" i="1"/>
  <c r="H99" i="1" s="1"/>
  <c r="F100" i="1"/>
  <c r="G100" i="1"/>
  <c r="H100" i="1" s="1"/>
  <c r="I102" i="1" s="1"/>
  <c r="F101" i="1"/>
  <c r="G101" i="1"/>
  <c r="H101" i="1" s="1"/>
  <c r="F102" i="1"/>
  <c r="G102" i="1"/>
  <c r="H102" i="1" s="1"/>
  <c r="F103" i="1"/>
  <c r="G103" i="1"/>
  <c r="H103" i="1" s="1"/>
  <c r="F104" i="1"/>
  <c r="G104" i="1"/>
  <c r="H104" i="1" s="1"/>
  <c r="I106" i="1" s="1"/>
  <c r="F105" i="1"/>
  <c r="G105" i="1"/>
  <c r="H105" i="1" s="1"/>
  <c r="F106" i="1"/>
  <c r="G106" i="1"/>
  <c r="H106" i="1" s="1"/>
  <c r="F107" i="1"/>
  <c r="G107" i="1"/>
  <c r="H107" i="1" s="1"/>
  <c r="F108" i="1"/>
  <c r="H108" i="1" s="1"/>
  <c r="G108" i="1"/>
  <c r="F109" i="1"/>
  <c r="G109" i="1"/>
  <c r="H109" i="1" s="1"/>
  <c r="F110" i="1"/>
  <c r="G110" i="1"/>
  <c r="H110" i="1" s="1"/>
  <c r="F111" i="1"/>
  <c r="G111" i="1"/>
  <c r="H111" i="1" s="1"/>
  <c r="F112" i="1"/>
  <c r="G112" i="1"/>
  <c r="H112" i="1" s="1"/>
  <c r="I114" i="1" s="1"/>
  <c r="F113" i="1"/>
  <c r="G113" i="1"/>
  <c r="H113" i="1" s="1"/>
  <c r="F114" i="1"/>
  <c r="G114" i="1"/>
  <c r="H114" i="1" s="1"/>
  <c r="F115" i="1"/>
  <c r="G115" i="1"/>
  <c r="H115" i="1" s="1"/>
  <c r="F116" i="1"/>
  <c r="G116" i="1"/>
  <c r="H116" i="1" s="1"/>
  <c r="I118" i="1" s="1"/>
  <c r="F117" i="1"/>
  <c r="G117" i="1"/>
  <c r="H117" i="1" s="1"/>
  <c r="F118" i="1"/>
  <c r="G118" i="1"/>
  <c r="H118" i="1" s="1"/>
  <c r="F119" i="1"/>
  <c r="G119" i="1"/>
  <c r="H119" i="1" s="1"/>
  <c r="F120" i="1"/>
  <c r="G120" i="1"/>
  <c r="H120" i="1" s="1"/>
  <c r="I122" i="1" s="1"/>
  <c r="F121" i="1"/>
  <c r="G121" i="1"/>
  <c r="H121" i="1" s="1"/>
  <c r="F122" i="1"/>
  <c r="G122" i="1"/>
  <c r="H122" i="1" s="1"/>
  <c r="F123" i="1"/>
  <c r="G123" i="1"/>
  <c r="H123" i="1" s="1"/>
  <c r="F124" i="1"/>
  <c r="H124" i="1" s="1"/>
  <c r="G124" i="1"/>
  <c r="F125" i="1"/>
  <c r="G125" i="1"/>
  <c r="H125" i="1" s="1"/>
  <c r="F126" i="1"/>
  <c r="G126" i="1"/>
  <c r="H126" i="1" s="1"/>
  <c r="F127" i="1"/>
  <c r="G127" i="1"/>
  <c r="H127" i="1" s="1"/>
  <c r="F128" i="1"/>
  <c r="G128" i="1"/>
  <c r="H128" i="1" s="1"/>
  <c r="I130" i="1" s="1"/>
  <c r="F129" i="1"/>
  <c r="G129" i="1"/>
  <c r="H129" i="1" s="1"/>
  <c r="F130" i="1"/>
  <c r="G130" i="1"/>
  <c r="H130" i="1" s="1"/>
  <c r="F131" i="1"/>
  <c r="G131" i="1"/>
  <c r="H131" i="1" s="1"/>
  <c r="F132" i="1"/>
  <c r="G132" i="1"/>
  <c r="H132" i="1" s="1"/>
  <c r="I134" i="1" s="1"/>
  <c r="F133" i="1"/>
  <c r="G133" i="1"/>
  <c r="H133" i="1" s="1"/>
  <c r="F134" i="1"/>
  <c r="G134" i="1"/>
  <c r="H134" i="1" s="1"/>
  <c r="F135" i="1"/>
  <c r="G135" i="1"/>
  <c r="H135" i="1" s="1"/>
  <c r="F136" i="1"/>
  <c r="G136" i="1"/>
  <c r="H136" i="1" s="1"/>
  <c r="I138" i="1" s="1"/>
  <c r="F137" i="1"/>
  <c r="G137" i="1"/>
  <c r="H137" i="1" s="1"/>
  <c r="F138" i="1"/>
  <c r="G138" i="1"/>
  <c r="H138" i="1" s="1"/>
  <c r="F139" i="1"/>
  <c r="G139" i="1"/>
  <c r="H139" i="1" s="1"/>
  <c r="F140" i="1"/>
  <c r="H140" i="1" s="1"/>
  <c r="G140" i="1"/>
  <c r="F141" i="1"/>
  <c r="G141" i="1"/>
  <c r="H141" i="1" s="1"/>
  <c r="F142" i="1"/>
  <c r="G142" i="1"/>
  <c r="H142" i="1" s="1"/>
  <c r="F143" i="1"/>
  <c r="G143" i="1"/>
  <c r="H143" i="1" s="1"/>
  <c r="F144" i="1"/>
  <c r="G144" i="1"/>
  <c r="H144" i="1" s="1"/>
  <c r="I146" i="1" s="1"/>
  <c r="F145" i="1"/>
  <c r="G145" i="1"/>
  <c r="H145" i="1" s="1"/>
  <c r="F146" i="1"/>
  <c r="G146" i="1"/>
  <c r="H146" i="1" s="1"/>
  <c r="F147" i="1"/>
  <c r="G147" i="1"/>
  <c r="H147" i="1" s="1"/>
  <c r="F148" i="1"/>
  <c r="G148" i="1"/>
  <c r="H148" i="1" s="1"/>
  <c r="I150" i="1" s="1"/>
  <c r="F149" i="1"/>
  <c r="G149" i="1"/>
  <c r="H149" i="1" s="1"/>
  <c r="F150" i="1"/>
  <c r="G150" i="1"/>
  <c r="H150" i="1" s="1"/>
  <c r="F151" i="1"/>
  <c r="G151" i="1"/>
  <c r="H151" i="1" s="1"/>
  <c r="F152" i="1"/>
  <c r="G152" i="1"/>
  <c r="H152" i="1" s="1"/>
  <c r="I154" i="1" s="1"/>
  <c r="F153" i="1"/>
  <c r="G153" i="1"/>
  <c r="H153" i="1" s="1"/>
  <c r="F154" i="1"/>
  <c r="G154" i="1"/>
  <c r="H154" i="1" s="1"/>
  <c r="F155" i="1"/>
  <c r="G155" i="1"/>
  <c r="H155" i="1" s="1"/>
  <c r="F156" i="1"/>
  <c r="H156" i="1" s="1"/>
  <c r="G156" i="1"/>
  <c r="F157" i="1"/>
  <c r="G157" i="1"/>
  <c r="H157" i="1" s="1"/>
  <c r="F158" i="1"/>
  <c r="G158" i="1"/>
  <c r="H158" i="1" s="1"/>
  <c r="F159" i="1"/>
  <c r="G159" i="1"/>
  <c r="H159" i="1" s="1"/>
  <c r="F160" i="1"/>
  <c r="G160" i="1"/>
  <c r="H160" i="1" s="1"/>
  <c r="I162" i="1" s="1"/>
  <c r="F161" i="1"/>
  <c r="G161" i="1"/>
  <c r="H161" i="1" s="1"/>
  <c r="I163" i="1" s="1"/>
  <c r="F162" i="1"/>
  <c r="G162" i="1"/>
  <c r="H162" i="1" s="1"/>
  <c r="F163" i="1"/>
  <c r="G163" i="1"/>
  <c r="H163" i="1" s="1"/>
  <c r="F164" i="1"/>
  <c r="G164" i="1"/>
  <c r="H164" i="1" s="1"/>
  <c r="I166" i="1" s="1"/>
  <c r="F165" i="1"/>
  <c r="G165" i="1"/>
  <c r="H165" i="1" s="1"/>
  <c r="I167" i="1" s="1"/>
  <c r="F166" i="1"/>
  <c r="G166" i="1"/>
  <c r="H166" i="1" s="1"/>
  <c r="F167" i="1"/>
  <c r="G167" i="1"/>
  <c r="H167" i="1" s="1"/>
  <c r="F168" i="1"/>
  <c r="G168" i="1"/>
  <c r="H168" i="1" s="1"/>
  <c r="I170" i="1" s="1"/>
  <c r="F169" i="1"/>
  <c r="G169" i="1"/>
  <c r="H169" i="1" s="1"/>
  <c r="I171" i="1" s="1"/>
  <c r="F170" i="1"/>
  <c r="G170" i="1"/>
  <c r="H170" i="1" s="1"/>
  <c r="F171" i="1"/>
  <c r="G171" i="1"/>
  <c r="H171" i="1" s="1"/>
  <c r="F172" i="1"/>
  <c r="H172" i="1" s="1"/>
  <c r="G172" i="1"/>
  <c r="F173" i="1"/>
  <c r="G173" i="1"/>
  <c r="H173" i="1" s="1"/>
  <c r="I175" i="1" s="1"/>
  <c r="F174" i="1"/>
  <c r="G174" i="1"/>
  <c r="H174" i="1" s="1"/>
  <c r="F175" i="1"/>
  <c r="G175" i="1"/>
  <c r="H175" i="1" s="1"/>
  <c r="F176" i="1"/>
  <c r="G176" i="1"/>
  <c r="H176" i="1" s="1"/>
  <c r="F177" i="1"/>
  <c r="G177" i="1"/>
  <c r="H177" i="1" s="1"/>
  <c r="I179" i="1" s="1"/>
  <c r="F178" i="1"/>
  <c r="G178" i="1"/>
  <c r="H178" i="1" s="1"/>
  <c r="F179" i="1"/>
  <c r="G179" i="1"/>
  <c r="H179" i="1" s="1"/>
  <c r="F180" i="1"/>
  <c r="G180" i="1"/>
  <c r="H180" i="1" s="1"/>
  <c r="F181" i="1"/>
  <c r="G181" i="1"/>
  <c r="H181" i="1" s="1"/>
  <c r="I183" i="1" s="1"/>
  <c r="F182" i="1"/>
  <c r="G182" i="1"/>
  <c r="H182" i="1" s="1"/>
  <c r="F183" i="1"/>
  <c r="G183" i="1"/>
  <c r="H183" i="1" s="1"/>
  <c r="F184" i="1"/>
  <c r="G184" i="1"/>
  <c r="H184" i="1" s="1"/>
  <c r="F185" i="1"/>
  <c r="G185" i="1"/>
  <c r="H185" i="1" s="1"/>
  <c r="I187" i="1" s="1"/>
  <c r="F186" i="1"/>
  <c r="G186" i="1"/>
  <c r="H186" i="1" s="1"/>
  <c r="F187" i="1"/>
  <c r="G187" i="1"/>
  <c r="H187" i="1" s="1"/>
  <c r="F188" i="1"/>
  <c r="G188" i="1"/>
  <c r="H188" i="1" s="1"/>
  <c r="I190" i="1" s="1"/>
  <c r="F189" i="1"/>
  <c r="G189" i="1"/>
  <c r="F190" i="1"/>
  <c r="G190" i="1"/>
  <c r="H190" i="1" s="1"/>
  <c r="F191" i="1"/>
  <c r="G191" i="1"/>
  <c r="H191" i="1" s="1"/>
  <c r="F192" i="1"/>
  <c r="G192" i="1"/>
  <c r="H192" i="1" s="1"/>
  <c r="F193" i="1"/>
  <c r="G193" i="1"/>
  <c r="H193" i="1" s="1"/>
  <c r="I195" i="1" s="1"/>
  <c r="F194" i="1"/>
  <c r="G194" i="1"/>
  <c r="H194" i="1" s="1"/>
  <c r="F195" i="1"/>
  <c r="G195" i="1"/>
  <c r="F196" i="1"/>
  <c r="G196" i="1"/>
  <c r="H196" i="1" s="1"/>
  <c r="F197" i="1"/>
  <c r="G197" i="1"/>
  <c r="H197" i="1" s="1"/>
  <c r="I199" i="1" s="1"/>
  <c r="F198" i="1"/>
  <c r="G198" i="1"/>
  <c r="H198" i="1" s="1"/>
  <c r="F199" i="1"/>
  <c r="G199" i="1"/>
  <c r="H199" i="1" s="1"/>
  <c r="F200" i="1"/>
  <c r="G200" i="1"/>
  <c r="H200" i="1" s="1"/>
  <c r="F201" i="1"/>
  <c r="G201" i="1"/>
  <c r="H201" i="1" s="1"/>
  <c r="I203" i="1" s="1"/>
  <c r="F202" i="1"/>
  <c r="H202" i="1" s="1"/>
  <c r="G202" i="1"/>
  <c r="F203" i="1"/>
  <c r="G203" i="1"/>
  <c r="H203" i="1" s="1"/>
  <c r="F204" i="1"/>
  <c r="G204" i="1"/>
  <c r="H204" i="1" s="1"/>
  <c r="F205" i="1"/>
  <c r="G205" i="1"/>
  <c r="H205" i="1" s="1"/>
  <c r="I207" i="1" s="1"/>
  <c r="F206" i="1"/>
  <c r="G206" i="1"/>
  <c r="H206" i="1" s="1"/>
  <c r="F207" i="1"/>
  <c r="G207" i="1"/>
  <c r="H207" i="1" s="1"/>
  <c r="F208" i="1"/>
  <c r="H208" i="1" s="1"/>
  <c r="G208" i="1"/>
  <c r="F209" i="1"/>
  <c r="G209" i="1"/>
  <c r="H209" i="1" s="1"/>
  <c r="I211" i="1" s="1"/>
  <c r="F210" i="1"/>
  <c r="G210" i="1"/>
  <c r="H210" i="1" s="1"/>
  <c r="F211" i="1"/>
  <c r="G211" i="1"/>
  <c r="H211" i="1" s="1"/>
  <c r="F212" i="1"/>
  <c r="G212" i="1"/>
  <c r="H212" i="1" s="1"/>
  <c r="F213" i="1"/>
  <c r="G213" i="1"/>
  <c r="H213" i="1" s="1"/>
  <c r="I215" i="1" s="1"/>
  <c r="F214" i="1"/>
  <c r="G214" i="1"/>
  <c r="H214" i="1" s="1"/>
  <c r="F215" i="1"/>
  <c r="G215" i="1"/>
  <c r="H215" i="1" s="1"/>
  <c r="F216" i="1"/>
  <c r="G216" i="1"/>
  <c r="H216" i="1" s="1"/>
  <c r="F217" i="1"/>
  <c r="G217" i="1"/>
  <c r="H217" i="1" s="1"/>
  <c r="I219" i="1" s="1"/>
  <c r="F218" i="1"/>
  <c r="G218" i="1"/>
  <c r="H218" i="1" s="1"/>
  <c r="F219" i="1"/>
  <c r="G219" i="1"/>
  <c r="H219" i="1" s="1"/>
  <c r="F220" i="1"/>
  <c r="G220" i="1"/>
  <c r="H220" i="1" s="1"/>
  <c r="I222" i="1" s="1"/>
  <c r="F221" i="1"/>
  <c r="G221" i="1"/>
  <c r="F222" i="1"/>
  <c r="G222" i="1"/>
  <c r="H222" i="1" s="1"/>
  <c r="F223" i="1"/>
  <c r="G223" i="1"/>
  <c r="H223" i="1" s="1"/>
  <c r="F224" i="1"/>
  <c r="G224" i="1"/>
  <c r="H224" i="1" s="1"/>
  <c r="F225" i="1"/>
  <c r="G225" i="1"/>
  <c r="H225" i="1" s="1"/>
  <c r="I227" i="1" s="1"/>
  <c r="F226" i="1"/>
  <c r="G226" i="1"/>
  <c r="H226" i="1" s="1"/>
  <c r="F227" i="1"/>
  <c r="G227" i="1"/>
  <c r="F228" i="1"/>
  <c r="G228" i="1"/>
  <c r="H228" i="1" s="1"/>
  <c r="F229" i="1"/>
  <c r="G229" i="1"/>
  <c r="H229" i="1" s="1"/>
  <c r="I231" i="1" s="1"/>
  <c r="F230" i="1"/>
  <c r="G230" i="1"/>
  <c r="H230" i="1" s="1"/>
  <c r="F231" i="1"/>
  <c r="G231" i="1"/>
  <c r="H231" i="1" s="1"/>
  <c r="F232" i="1"/>
  <c r="G232" i="1"/>
  <c r="H232" i="1" s="1"/>
  <c r="F233" i="1"/>
  <c r="G233" i="1"/>
  <c r="H233" i="1" s="1"/>
  <c r="I235" i="1" s="1"/>
  <c r="F234" i="1"/>
  <c r="G234" i="1"/>
  <c r="F235" i="1"/>
  <c r="G235" i="1"/>
  <c r="H235" i="1" s="1"/>
  <c r="F236" i="1"/>
  <c r="G236" i="1"/>
  <c r="H236" i="1" s="1"/>
  <c r="F237" i="1"/>
  <c r="G237" i="1"/>
  <c r="H237" i="1" s="1"/>
  <c r="I239" i="1" s="1"/>
  <c r="F238" i="1"/>
  <c r="G238" i="1"/>
  <c r="H238" i="1" s="1"/>
  <c r="F239" i="1"/>
  <c r="G239" i="1"/>
  <c r="H239" i="1" s="1"/>
  <c r="F240" i="1"/>
  <c r="H240" i="1" s="1"/>
  <c r="G240" i="1"/>
  <c r="F241" i="1"/>
  <c r="G241" i="1"/>
  <c r="H241" i="1" s="1"/>
  <c r="I243" i="1" s="1"/>
  <c r="F242" i="1"/>
  <c r="G242" i="1"/>
  <c r="H242" i="1" s="1"/>
  <c r="F243" i="1"/>
  <c r="G243" i="1"/>
  <c r="H243" i="1" s="1"/>
  <c r="F244" i="1"/>
  <c r="G244" i="1"/>
  <c r="H244" i="1" s="1"/>
  <c r="F245" i="1"/>
  <c r="G245" i="1"/>
  <c r="H245" i="1" s="1"/>
  <c r="I247" i="1" s="1"/>
  <c r="F246" i="1"/>
  <c r="G246" i="1"/>
  <c r="H246" i="1" s="1"/>
  <c r="F247" i="1"/>
  <c r="G247" i="1"/>
  <c r="H247" i="1" s="1"/>
  <c r="F248" i="1"/>
  <c r="G248" i="1"/>
  <c r="H248" i="1" s="1"/>
  <c r="F249" i="1"/>
  <c r="G249" i="1"/>
  <c r="H249" i="1" s="1"/>
  <c r="G15" i="1"/>
  <c r="H15" i="1" s="1"/>
  <c r="F15" i="1"/>
  <c r="I186" i="1" l="1"/>
  <c r="I226" i="1"/>
  <c r="I198" i="1"/>
  <c r="I178" i="1"/>
  <c r="I242" i="1"/>
  <c r="I210" i="1"/>
  <c r="I174" i="1"/>
  <c r="I158" i="1"/>
  <c r="I142" i="1"/>
  <c r="I126" i="1"/>
  <c r="I110" i="1"/>
  <c r="I94" i="1"/>
  <c r="I78" i="1"/>
  <c r="I62" i="1"/>
  <c r="I46" i="1"/>
  <c r="I30" i="1"/>
  <c r="I238" i="1"/>
  <c r="I206" i="1"/>
  <c r="I248" i="1"/>
  <c r="I220" i="1"/>
  <c r="I201" i="1"/>
  <c r="I176" i="1"/>
  <c r="I177" i="1"/>
  <c r="I155" i="1"/>
  <c r="I157" i="1"/>
  <c r="I139" i="1"/>
  <c r="I141" i="1"/>
  <c r="I127" i="1"/>
  <c r="I129" i="1"/>
  <c r="I119" i="1"/>
  <c r="I121" i="1"/>
  <c r="I111" i="1"/>
  <c r="I113" i="1"/>
  <c r="I103" i="1"/>
  <c r="I105" i="1"/>
  <c r="I99" i="1"/>
  <c r="I101" i="1"/>
  <c r="I91" i="1"/>
  <c r="I93" i="1"/>
  <c r="I87" i="1"/>
  <c r="I89" i="1"/>
  <c r="I83" i="1"/>
  <c r="I85" i="1"/>
  <c r="I79" i="1"/>
  <c r="I81" i="1"/>
  <c r="I75" i="1"/>
  <c r="I77" i="1"/>
  <c r="I71" i="1"/>
  <c r="I73" i="1"/>
  <c r="I67" i="1"/>
  <c r="I69" i="1"/>
  <c r="I63" i="1"/>
  <c r="I65" i="1"/>
  <c r="I59" i="1"/>
  <c r="I61" i="1"/>
  <c r="I55" i="1"/>
  <c r="I57" i="1"/>
  <c r="I51" i="1"/>
  <c r="I53" i="1"/>
  <c r="I47" i="1"/>
  <c r="I49" i="1"/>
  <c r="I43" i="1"/>
  <c r="I45" i="1"/>
  <c r="I39" i="1"/>
  <c r="I41" i="1"/>
  <c r="I35" i="1"/>
  <c r="I37" i="1"/>
  <c r="I31" i="1"/>
  <c r="I33" i="1"/>
  <c r="I27" i="1"/>
  <c r="I29" i="1"/>
  <c r="I23" i="1"/>
  <c r="I25" i="1"/>
  <c r="I19" i="1"/>
  <c r="I21" i="1"/>
  <c r="I218" i="1"/>
  <c r="I194" i="1"/>
  <c r="I241" i="1"/>
  <c r="I225" i="1"/>
  <c r="I209" i="1"/>
  <c r="I189" i="1"/>
  <c r="I172" i="1"/>
  <c r="I173" i="1"/>
  <c r="I159" i="1"/>
  <c r="I161" i="1"/>
  <c r="I151" i="1"/>
  <c r="I153" i="1"/>
  <c r="I135" i="1"/>
  <c r="I137" i="1"/>
  <c r="I131" i="1"/>
  <c r="I133" i="1"/>
  <c r="I123" i="1"/>
  <c r="I125" i="1"/>
  <c r="I115" i="1"/>
  <c r="I117" i="1"/>
  <c r="I107" i="1"/>
  <c r="I109" i="1"/>
  <c r="I95" i="1"/>
  <c r="I97" i="1"/>
  <c r="I234" i="1"/>
  <c r="I214" i="1"/>
  <c r="I236" i="1"/>
  <c r="I216" i="1"/>
  <c r="I192" i="1"/>
  <c r="I180" i="1"/>
  <c r="I181" i="1"/>
  <c r="I168" i="1"/>
  <c r="I169" i="1"/>
  <c r="I147" i="1"/>
  <c r="I149" i="1"/>
  <c r="I246" i="1"/>
  <c r="I230" i="1"/>
  <c r="I202" i="1"/>
  <c r="I182" i="1"/>
  <c r="I245" i="1"/>
  <c r="I232" i="1"/>
  <c r="I213" i="1"/>
  <c r="I205" i="1"/>
  <c r="I185" i="1"/>
  <c r="I164" i="1"/>
  <c r="I165" i="1"/>
  <c r="I143" i="1"/>
  <c r="I145" i="1"/>
  <c r="I17" i="1"/>
  <c r="I191" i="1"/>
  <c r="I223" i="1"/>
  <c r="I196" i="1"/>
  <c r="I229" i="1"/>
  <c r="I249" i="1"/>
  <c r="I233" i="1"/>
  <c r="I217" i="1"/>
  <c r="I193" i="1"/>
  <c r="I237" i="1"/>
  <c r="I221" i="1"/>
  <c r="I197" i="1"/>
  <c r="I240" i="1"/>
  <c r="I228" i="1"/>
  <c r="I224" i="1"/>
  <c r="I212" i="1"/>
  <c r="I208" i="1"/>
  <c r="I204" i="1"/>
  <c r="I200" i="1"/>
  <c r="I188" i="1"/>
  <c r="I184" i="1"/>
  <c r="I160" i="1"/>
  <c r="I156" i="1"/>
  <c r="I152" i="1"/>
  <c r="I148" i="1"/>
  <c r="I144" i="1"/>
  <c r="I140" i="1"/>
  <c r="I136" i="1"/>
  <c r="I132" i="1"/>
  <c r="I128" i="1"/>
  <c r="I124" i="1"/>
  <c r="I120" i="1"/>
  <c r="I116" i="1"/>
  <c r="I112" i="1"/>
  <c r="I108" i="1"/>
  <c r="I104" i="1"/>
  <c r="I100" i="1"/>
  <c r="I96" i="1"/>
  <c r="I92" i="1"/>
  <c r="I88" i="1"/>
  <c r="I84" i="1"/>
  <c r="I80" i="1"/>
  <c r="I76" i="1"/>
  <c r="I72" i="1"/>
  <c r="I68" i="1"/>
  <c r="I64" i="1"/>
  <c r="I60" i="1"/>
  <c r="I56" i="1"/>
  <c r="I52" i="1"/>
  <c r="I48" i="1"/>
  <c r="I44" i="1"/>
  <c r="I40" i="1"/>
  <c r="I36" i="1"/>
  <c r="I32" i="1"/>
  <c r="I28" i="1"/>
  <c r="I24" i="1"/>
  <c r="I20" i="1"/>
  <c r="I244" i="1"/>
</calcChain>
</file>

<file path=xl/sharedStrings.xml><?xml version="1.0" encoding="utf-8"?>
<sst xmlns="http://schemas.openxmlformats.org/spreadsheetml/2006/main" count="9" uniqueCount="9">
  <si>
    <t>Date</t>
  </si>
  <si>
    <t>Close</t>
  </si>
  <si>
    <t>Open</t>
  </si>
  <si>
    <t>High</t>
  </si>
  <si>
    <t>Low</t>
  </si>
  <si>
    <t>Highest High</t>
  </si>
  <si>
    <t>Lowest Low</t>
  </si>
  <si>
    <t>%K</t>
  </si>
  <si>
    <t>%D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</si>
</sst>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Rockwell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numFmt numFmtId="20" formatCode="dd/mmm/yy"/>
    </dxf>
    <dxf>
      <numFmt numFmtId="20" formatCode="dd/mmm/yy"/>
    </dxf>
    <dxf>
      <numFmt numFmtId="20" formatCode="dd/mmm/yy"/>
    </dxf>
    <dxf>
      <numFmt numFmtId="2" formatCode="0.00"/>
    </dxf>
    <dxf>
      <numFmt numFmtId="0" formatCode="General"/>
    </dxf>
    <dxf>
      <numFmt numFmtId="164" formatCode="d\-mmm\-yy"/>
    </dxf>
    <dxf>
      <border outline="0">
        <top style="thin">
          <color theme="8" tint="0.5999938962981048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8" tint="0.59999389629810485"/>
        </left>
        <right style="thin">
          <color theme="8" tint="0.5999938962981048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Stochastics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4453097808951726E-2"/>
          <c:y val="0.15826065942410339"/>
          <c:w val="0.91097063725068683"/>
          <c:h val="0.68875349481344506"/>
        </c:manualLayout>
      </c:layout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%K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numRef>
              <c:f>Sheet1!$A$17:$A$249</c:f>
              <c:numCache>
                <c:formatCode>d\-mmm\-yy</c:formatCode>
                <c:ptCount val="233"/>
                <c:pt idx="0">
                  <c:v>44840</c:v>
                </c:pt>
                <c:pt idx="1">
                  <c:v>44841</c:v>
                </c:pt>
                <c:pt idx="2">
                  <c:v>44844</c:v>
                </c:pt>
                <c:pt idx="3">
                  <c:v>44845</c:v>
                </c:pt>
                <c:pt idx="4">
                  <c:v>44846</c:v>
                </c:pt>
                <c:pt idx="5">
                  <c:v>44847</c:v>
                </c:pt>
                <c:pt idx="6">
                  <c:v>44848</c:v>
                </c:pt>
                <c:pt idx="7">
                  <c:v>44851</c:v>
                </c:pt>
                <c:pt idx="8">
                  <c:v>44852</c:v>
                </c:pt>
                <c:pt idx="9">
                  <c:v>44853</c:v>
                </c:pt>
                <c:pt idx="10">
                  <c:v>44854</c:v>
                </c:pt>
                <c:pt idx="11">
                  <c:v>44855</c:v>
                </c:pt>
                <c:pt idx="12">
                  <c:v>44858</c:v>
                </c:pt>
                <c:pt idx="13">
                  <c:v>44859</c:v>
                </c:pt>
                <c:pt idx="14">
                  <c:v>44861</c:v>
                </c:pt>
                <c:pt idx="15">
                  <c:v>44862</c:v>
                </c:pt>
                <c:pt idx="16">
                  <c:v>44865</c:v>
                </c:pt>
                <c:pt idx="17">
                  <c:v>44866</c:v>
                </c:pt>
                <c:pt idx="18">
                  <c:v>44867</c:v>
                </c:pt>
                <c:pt idx="19">
                  <c:v>44868</c:v>
                </c:pt>
                <c:pt idx="20">
                  <c:v>44869</c:v>
                </c:pt>
                <c:pt idx="21">
                  <c:v>44872</c:v>
                </c:pt>
                <c:pt idx="22">
                  <c:v>44874</c:v>
                </c:pt>
                <c:pt idx="23">
                  <c:v>44875</c:v>
                </c:pt>
                <c:pt idx="24">
                  <c:v>44876</c:v>
                </c:pt>
                <c:pt idx="25">
                  <c:v>44880</c:v>
                </c:pt>
                <c:pt idx="26">
                  <c:v>44881</c:v>
                </c:pt>
                <c:pt idx="27">
                  <c:v>44882</c:v>
                </c:pt>
                <c:pt idx="28">
                  <c:v>44883</c:v>
                </c:pt>
                <c:pt idx="29">
                  <c:v>44886</c:v>
                </c:pt>
                <c:pt idx="30">
                  <c:v>44887</c:v>
                </c:pt>
                <c:pt idx="31">
                  <c:v>44888</c:v>
                </c:pt>
                <c:pt idx="32">
                  <c:v>44889</c:v>
                </c:pt>
                <c:pt idx="33">
                  <c:v>44890</c:v>
                </c:pt>
                <c:pt idx="34">
                  <c:v>44893</c:v>
                </c:pt>
                <c:pt idx="35">
                  <c:v>44894</c:v>
                </c:pt>
                <c:pt idx="36">
                  <c:v>44895</c:v>
                </c:pt>
                <c:pt idx="37">
                  <c:v>44896</c:v>
                </c:pt>
                <c:pt idx="38">
                  <c:v>44897</c:v>
                </c:pt>
                <c:pt idx="39">
                  <c:v>44900</c:v>
                </c:pt>
                <c:pt idx="40">
                  <c:v>44901</c:v>
                </c:pt>
                <c:pt idx="41">
                  <c:v>44902</c:v>
                </c:pt>
                <c:pt idx="42">
                  <c:v>44903</c:v>
                </c:pt>
                <c:pt idx="43">
                  <c:v>44904</c:v>
                </c:pt>
                <c:pt idx="44">
                  <c:v>44907</c:v>
                </c:pt>
                <c:pt idx="45">
                  <c:v>44908</c:v>
                </c:pt>
                <c:pt idx="46">
                  <c:v>44909</c:v>
                </c:pt>
                <c:pt idx="47">
                  <c:v>44910</c:v>
                </c:pt>
                <c:pt idx="48">
                  <c:v>44911</c:v>
                </c:pt>
                <c:pt idx="49">
                  <c:v>44914</c:v>
                </c:pt>
                <c:pt idx="50">
                  <c:v>44915</c:v>
                </c:pt>
                <c:pt idx="51">
                  <c:v>44916</c:v>
                </c:pt>
                <c:pt idx="52">
                  <c:v>44917</c:v>
                </c:pt>
                <c:pt idx="53">
                  <c:v>44918</c:v>
                </c:pt>
                <c:pt idx="54">
                  <c:v>44921</c:v>
                </c:pt>
                <c:pt idx="55">
                  <c:v>44922</c:v>
                </c:pt>
                <c:pt idx="56">
                  <c:v>44923</c:v>
                </c:pt>
                <c:pt idx="57">
                  <c:v>44924</c:v>
                </c:pt>
                <c:pt idx="58">
                  <c:v>44925</c:v>
                </c:pt>
                <c:pt idx="59">
                  <c:v>44928</c:v>
                </c:pt>
                <c:pt idx="60">
                  <c:v>44929</c:v>
                </c:pt>
                <c:pt idx="61">
                  <c:v>44930</c:v>
                </c:pt>
                <c:pt idx="62">
                  <c:v>44931</c:v>
                </c:pt>
                <c:pt idx="63">
                  <c:v>44932</c:v>
                </c:pt>
                <c:pt idx="64">
                  <c:v>44935</c:v>
                </c:pt>
                <c:pt idx="65">
                  <c:v>44936</c:v>
                </c:pt>
                <c:pt idx="66">
                  <c:v>44937</c:v>
                </c:pt>
                <c:pt idx="67">
                  <c:v>44938</c:v>
                </c:pt>
                <c:pt idx="68">
                  <c:v>44939</c:v>
                </c:pt>
                <c:pt idx="69">
                  <c:v>44942</c:v>
                </c:pt>
                <c:pt idx="70">
                  <c:v>44943</c:v>
                </c:pt>
                <c:pt idx="71">
                  <c:v>44944</c:v>
                </c:pt>
                <c:pt idx="72">
                  <c:v>44945</c:v>
                </c:pt>
                <c:pt idx="73">
                  <c:v>44946</c:v>
                </c:pt>
                <c:pt idx="74">
                  <c:v>44949</c:v>
                </c:pt>
                <c:pt idx="75">
                  <c:v>44950</c:v>
                </c:pt>
                <c:pt idx="76">
                  <c:v>44951</c:v>
                </c:pt>
                <c:pt idx="77">
                  <c:v>44953</c:v>
                </c:pt>
                <c:pt idx="78">
                  <c:v>44956</c:v>
                </c:pt>
                <c:pt idx="79">
                  <c:v>44957</c:v>
                </c:pt>
                <c:pt idx="80">
                  <c:v>44958</c:v>
                </c:pt>
                <c:pt idx="81">
                  <c:v>44959</c:v>
                </c:pt>
                <c:pt idx="82">
                  <c:v>44960</c:v>
                </c:pt>
                <c:pt idx="83">
                  <c:v>44963</c:v>
                </c:pt>
                <c:pt idx="84">
                  <c:v>44964</c:v>
                </c:pt>
                <c:pt idx="85">
                  <c:v>44965</c:v>
                </c:pt>
                <c:pt idx="86">
                  <c:v>44966</c:v>
                </c:pt>
                <c:pt idx="87">
                  <c:v>44967</c:v>
                </c:pt>
                <c:pt idx="88">
                  <c:v>44970</c:v>
                </c:pt>
                <c:pt idx="89">
                  <c:v>44971</c:v>
                </c:pt>
                <c:pt idx="90">
                  <c:v>44972</c:v>
                </c:pt>
                <c:pt idx="91">
                  <c:v>44973</c:v>
                </c:pt>
                <c:pt idx="92">
                  <c:v>44974</c:v>
                </c:pt>
                <c:pt idx="93">
                  <c:v>44977</c:v>
                </c:pt>
                <c:pt idx="94">
                  <c:v>44978</c:v>
                </c:pt>
                <c:pt idx="95">
                  <c:v>44979</c:v>
                </c:pt>
                <c:pt idx="96">
                  <c:v>44980</c:v>
                </c:pt>
                <c:pt idx="97">
                  <c:v>44981</c:v>
                </c:pt>
                <c:pt idx="98">
                  <c:v>44984</c:v>
                </c:pt>
                <c:pt idx="99">
                  <c:v>44985</c:v>
                </c:pt>
                <c:pt idx="100">
                  <c:v>44986</c:v>
                </c:pt>
                <c:pt idx="101">
                  <c:v>44987</c:v>
                </c:pt>
                <c:pt idx="102">
                  <c:v>44988</c:v>
                </c:pt>
                <c:pt idx="103">
                  <c:v>44991</c:v>
                </c:pt>
                <c:pt idx="104">
                  <c:v>44993</c:v>
                </c:pt>
                <c:pt idx="105">
                  <c:v>44994</c:v>
                </c:pt>
                <c:pt idx="106">
                  <c:v>44995</c:v>
                </c:pt>
                <c:pt idx="107">
                  <c:v>44998</c:v>
                </c:pt>
                <c:pt idx="108">
                  <c:v>44999</c:v>
                </c:pt>
                <c:pt idx="109">
                  <c:v>45000</c:v>
                </c:pt>
                <c:pt idx="110">
                  <c:v>45001</c:v>
                </c:pt>
                <c:pt idx="111">
                  <c:v>45002</c:v>
                </c:pt>
                <c:pt idx="112">
                  <c:v>45005</c:v>
                </c:pt>
                <c:pt idx="113">
                  <c:v>45006</c:v>
                </c:pt>
                <c:pt idx="114">
                  <c:v>45007</c:v>
                </c:pt>
                <c:pt idx="115">
                  <c:v>45008</c:v>
                </c:pt>
                <c:pt idx="116">
                  <c:v>45009</c:v>
                </c:pt>
                <c:pt idx="117">
                  <c:v>45012</c:v>
                </c:pt>
                <c:pt idx="118">
                  <c:v>45013</c:v>
                </c:pt>
                <c:pt idx="119">
                  <c:v>45014</c:v>
                </c:pt>
                <c:pt idx="120">
                  <c:v>45016</c:v>
                </c:pt>
                <c:pt idx="121">
                  <c:v>45019</c:v>
                </c:pt>
                <c:pt idx="122">
                  <c:v>45021</c:v>
                </c:pt>
                <c:pt idx="123">
                  <c:v>45022</c:v>
                </c:pt>
                <c:pt idx="124">
                  <c:v>45026</c:v>
                </c:pt>
                <c:pt idx="125">
                  <c:v>45027</c:v>
                </c:pt>
                <c:pt idx="126">
                  <c:v>45028</c:v>
                </c:pt>
                <c:pt idx="127">
                  <c:v>45029</c:v>
                </c:pt>
                <c:pt idx="128">
                  <c:v>45033</c:v>
                </c:pt>
                <c:pt idx="129">
                  <c:v>45034</c:v>
                </c:pt>
                <c:pt idx="130">
                  <c:v>45035</c:v>
                </c:pt>
                <c:pt idx="131">
                  <c:v>45036</c:v>
                </c:pt>
                <c:pt idx="132">
                  <c:v>45037</c:v>
                </c:pt>
                <c:pt idx="133">
                  <c:v>45040</c:v>
                </c:pt>
                <c:pt idx="134">
                  <c:v>45041</c:v>
                </c:pt>
                <c:pt idx="135">
                  <c:v>45042</c:v>
                </c:pt>
                <c:pt idx="136">
                  <c:v>45043</c:v>
                </c:pt>
                <c:pt idx="137">
                  <c:v>45044</c:v>
                </c:pt>
                <c:pt idx="138">
                  <c:v>45048</c:v>
                </c:pt>
                <c:pt idx="139">
                  <c:v>45049</c:v>
                </c:pt>
                <c:pt idx="140">
                  <c:v>45050</c:v>
                </c:pt>
                <c:pt idx="141">
                  <c:v>45051</c:v>
                </c:pt>
                <c:pt idx="142">
                  <c:v>45054</c:v>
                </c:pt>
                <c:pt idx="143">
                  <c:v>45055</c:v>
                </c:pt>
                <c:pt idx="144">
                  <c:v>45056</c:v>
                </c:pt>
                <c:pt idx="145">
                  <c:v>45057</c:v>
                </c:pt>
                <c:pt idx="146">
                  <c:v>45058</c:v>
                </c:pt>
                <c:pt idx="147">
                  <c:v>45061</c:v>
                </c:pt>
                <c:pt idx="148">
                  <c:v>45062</c:v>
                </c:pt>
                <c:pt idx="149">
                  <c:v>45063</c:v>
                </c:pt>
                <c:pt idx="150">
                  <c:v>45064</c:v>
                </c:pt>
                <c:pt idx="151">
                  <c:v>45065</c:v>
                </c:pt>
                <c:pt idx="152">
                  <c:v>45068</c:v>
                </c:pt>
                <c:pt idx="153">
                  <c:v>45069</c:v>
                </c:pt>
                <c:pt idx="154">
                  <c:v>45070</c:v>
                </c:pt>
                <c:pt idx="155">
                  <c:v>45071</c:v>
                </c:pt>
                <c:pt idx="156">
                  <c:v>45072</c:v>
                </c:pt>
                <c:pt idx="157">
                  <c:v>45075</c:v>
                </c:pt>
                <c:pt idx="158">
                  <c:v>45076</c:v>
                </c:pt>
                <c:pt idx="159">
                  <c:v>45077</c:v>
                </c:pt>
                <c:pt idx="160">
                  <c:v>45078</c:v>
                </c:pt>
                <c:pt idx="161">
                  <c:v>45079</c:v>
                </c:pt>
                <c:pt idx="162">
                  <c:v>45082</c:v>
                </c:pt>
                <c:pt idx="163">
                  <c:v>45083</c:v>
                </c:pt>
                <c:pt idx="164">
                  <c:v>45084</c:v>
                </c:pt>
                <c:pt idx="165">
                  <c:v>45085</c:v>
                </c:pt>
                <c:pt idx="166">
                  <c:v>45086</c:v>
                </c:pt>
                <c:pt idx="167">
                  <c:v>45089</c:v>
                </c:pt>
                <c:pt idx="168">
                  <c:v>45090</c:v>
                </c:pt>
                <c:pt idx="169">
                  <c:v>45091</c:v>
                </c:pt>
                <c:pt idx="170">
                  <c:v>45092</c:v>
                </c:pt>
                <c:pt idx="171">
                  <c:v>45093</c:v>
                </c:pt>
                <c:pt idx="172">
                  <c:v>45096</c:v>
                </c:pt>
                <c:pt idx="173">
                  <c:v>45097</c:v>
                </c:pt>
                <c:pt idx="174">
                  <c:v>45098</c:v>
                </c:pt>
                <c:pt idx="175">
                  <c:v>45099</c:v>
                </c:pt>
                <c:pt idx="176">
                  <c:v>45100</c:v>
                </c:pt>
                <c:pt idx="177">
                  <c:v>45103</c:v>
                </c:pt>
                <c:pt idx="178">
                  <c:v>45104</c:v>
                </c:pt>
                <c:pt idx="179">
                  <c:v>45105</c:v>
                </c:pt>
                <c:pt idx="180">
                  <c:v>45107</c:v>
                </c:pt>
                <c:pt idx="181">
                  <c:v>45110</c:v>
                </c:pt>
                <c:pt idx="182">
                  <c:v>45111</c:v>
                </c:pt>
                <c:pt idx="183">
                  <c:v>45112</c:v>
                </c:pt>
                <c:pt idx="184">
                  <c:v>45113</c:v>
                </c:pt>
                <c:pt idx="185">
                  <c:v>45114</c:v>
                </c:pt>
                <c:pt idx="186">
                  <c:v>45117</c:v>
                </c:pt>
                <c:pt idx="187">
                  <c:v>45118</c:v>
                </c:pt>
                <c:pt idx="188">
                  <c:v>45119</c:v>
                </c:pt>
                <c:pt idx="189">
                  <c:v>45120</c:v>
                </c:pt>
                <c:pt idx="190">
                  <c:v>45121</c:v>
                </c:pt>
                <c:pt idx="191">
                  <c:v>45124</c:v>
                </c:pt>
                <c:pt idx="192">
                  <c:v>45125</c:v>
                </c:pt>
                <c:pt idx="193">
                  <c:v>45126</c:v>
                </c:pt>
                <c:pt idx="194">
                  <c:v>45127</c:v>
                </c:pt>
                <c:pt idx="195">
                  <c:v>45128</c:v>
                </c:pt>
                <c:pt idx="196">
                  <c:v>45131</c:v>
                </c:pt>
                <c:pt idx="197">
                  <c:v>45132</c:v>
                </c:pt>
                <c:pt idx="198">
                  <c:v>45133</c:v>
                </c:pt>
                <c:pt idx="199">
                  <c:v>45134</c:v>
                </c:pt>
                <c:pt idx="200">
                  <c:v>45135</c:v>
                </c:pt>
                <c:pt idx="201">
                  <c:v>45138</c:v>
                </c:pt>
                <c:pt idx="202">
                  <c:v>45139</c:v>
                </c:pt>
                <c:pt idx="203">
                  <c:v>45140</c:v>
                </c:pt>
                <c:pt idx="204">
                  <c:v>45141</c:v>
                </c:pt>
                <c:pt idx="205">
                  <c:v>45142</c:v>
                </c:pt>
                <c:pt idx="206">
                  <c:v>45145</c:v>
                </c:pt>
                <c:pt idx="207">
                  <c:v>45146</c:v>
                </c:pt>
                <c:pt idx="208">
                  <c:v>45147</c:v>
                </c:pt>
                <c:pt idx="209">
                  <c:v>45148</c:v>
                </c:pt>
                <c:pt idx="210">
                  <c:v>45149</c:v>
                </c:pt>
                <c:pt idx="211">
                  <c:v>45152</c:v>
                </c:pt>
                <c:pt idx="212">
                  <c:v>45154</c:v>
                </c:pt>
                <c:pt idx="213">
                  <c:v>45155</c:v>
                </c:pt>
                <c:pt idx="214">
                  <c:v>45156</c:v>
                </c:pt>
                <c:pt idx="215">
                  <c:v>45159</c:v>
                </c:pt>
                <c:pt idx="216">
                  <c:v>45160</c:v>
                </c:pt>
                <c:pt idx="217">
                  <c:v>45161</c:v>
                </c:pt>
                <c:pt idx="218">
                  <c:v>45162</c:v>
                </c:pt>
                <c:pt idx="219">
                  <c:v>45163</c:v>
                </c:pt>
                <c:pt idx="220">
                  <c:v>45166</c:v>
                </c:pt>
                <c:pt idx="221">
                  <c:v>45167</c:v>
                </c:pt>
                <c:pt idx="222">
                  <c:v>45168</c:v>
                </c:pt>
                <c:pt idx="223">
                  <c:v>45169</c:v>
                </c:pt>
                <c:pt idx="224">
                  <c:v>45170</c:v>
                </c:pt>
                <c:pt idx="225">
                  <c:v>45173</c:v>
                </c:pt>
                <c:pt idx="226">
                  <c:v>45174</c:v>
                </c:pt>
                <c:pt idx="227">
                  <c:v>45175</c:v>
                </c:pt>
                <c:pt idx="228">
                  <c:v>45176</c:v>
                </c:pt>
                <c:pt idx="229">
                  <c:v>45177</c:v>
                </c:pt>
                <c:pt idx="230">
                  <c:v>45180</c:v>
                </c:pt>
                <c:pt idx="231">
                  <c:v>45181</c:v>
                </c:pt>
                <c:pt idx="232">
                  <c:v>45182</c:v>
                </c:pt>
              </c:numCache>
            </c:numRef>
          </c:cat>
          <c:val>
            <c:numRef>
              <c:f>Sheet1!$H$17:$H$249</c:f>
              <c:numCache>
                <c:formatCode>General</c:formatCode>
                <c:ptCount val="233"/>
                <c:pt idx="0">
                  <c:v>49.854899283031692</c:v>
                </c:pt>
                <c:pt idx="1">
                  <c:v>48.391089108911011</c:v>
                </c:pt>
                <c:pt idx="2">
                  <c:v>42.104813929668822</c:v>
                </c:pt>
                <c:pt idx="3">
                  <c:v>21.617781851512241</c:v>
                </c:pt>
                <c:pt idx="4">
                  <c:v>38.551869134915961</c:v>
                </c:pt>
                <c:pt idx="5">
                  <c:v>29.811616076918508</c:v>
                </c:pt>
                <c:pt idx="6">
                  <c:v>64.30773748348274</c:v>
                </c:pt>
                <c:pt idx="7">
                  <c:v>82.821905740713518</c:v>
                </c:pt>
                <c:pt idx="8">
                  <c:v>94.763491860018121</c:v>
                </c:pt>
                <c:pt idx="9">
                  <c:v>88.911501337364953</c:v>
                </c:pt>
                <c:pt idx="10">
                  <c:v>94.923828352134208</c:v>
                </c:pt>
                <c:pt idx="11">
                  <c:v>88.479008102135779</c:v>
                </c:pt>
                <c:pt idx="12">
                  <c:v>94.342701722574887</c:v>
                </c:pt>
                <c:pt idx="13">
                  <c:v>81.984440315838214</c:v>
                </c:pt>
                <c:pt idx="14">
                  <c:v>91.343474222015885</c:v>
                </c:pt>
                <c:pt idx="15">
                  <c:v>94.136844474453966</c:v>
                </c:pt>
                <c:pt idx="16">
                  <c:v>99.011655011655151</c:v>
                </c:pt>
                <c:pt idx="17">
                  <c:v>97.505845674201268</c:v>
                </c:pt>
                <c:pt idx="18">
                  <c:v>92.150924864953225</c:v>
                </c:pt>
                <c:pt idx="19">
                  <c:v>88.330864654693656</c:v>
                </c:pt>
                <c:pt idx="20">
                  <c:v>94.297352342159002</c:v>
                </c:pt>
                <c:pt idx="21">
                  <c:v>93.684841222288711</c:v>
                </c:pt>
                <c:pt idx="22">
                  <c:v>84.07585103952465</c:v>
                </c:pt>
                <c:pt idx="23">
                  <c:v>69.362577107607919</c:v>
                </c:pt>
                <c:pt idx="24">
                  <c:v>98.502762759194511</c:v>
                </c:pt>
                <c:pt idx="25">
                  <c:v>96.896137556103511</c:v>
                </c:pt>
                <c:pt idx="26">
                  <c:v>95.963485064894741</c:v>
                </c:pt>
                <c:pt idx="27">
                  <c:v>87.526185488478404</c:v>
                </c:pt>
                <c:pt idx="28">
                  <c:v>81.279142598649884</c:v>
                </c:pt>
                <c:pt idx="29">
                  <c:v>47.957584140156619</c:v>
                </c:pt>
                <c:pt idx="30">
                  <c:v>59.012320115953941</c:v>
                </c:pt>
                <c:pt idx="31">
                  <c:v>63.785070918314275</c:v>
                </c:pt>
                <c:pt idx="32">
                  <c:v>92.007011393514077</c:v>
                </c:pt>
                <c:pt idx="33">
                  <c:v>96.083112290008586</c:v>
                </c:pt>
                <c:pt idx="34">
                  <c:v>92.013646584476987</c:v>
                </c:pt>
                <c:pt idx="35">
                  <c:v>91.526739099760192</c:v>
                </c:pt>
                <c:pt idx="36">
                  <c:v>93.18490521466947</c:v>
                </c:pt>
                <c:pt idx="37">
                  <c:v>90.04308916141882</c:v>
                </c:pt>
                <c:pt idx="38">
                  <c:v>74.61054027179317</c:v>
                </c:pt>
                <c:pt idx="39">
                  <c:v>75.266821345707754</c:v>
                </c:pt>
                <c:pt idx="40">
                  <c:v>67.537288697381697</c:v>
                </c:pt>
                <c:pt idx="41">
                  <c:v>56.632416307590518</c:v>
                </c:pt>
                <c:pt idx="42">
                  <c:v>63.109048723897914</c:v>
                </c:pt>
                <c:pt idx="43">
                  <c:v>47.859714628616999</c:v>
                </c:pt>
                <c:pt idx="44">
                  <c:v>39.144326683292086</c:v>
                </c:pt>
                <c:pt idx="45">
                  <c:v>52.877728153703679</c:v>
                </c:pt>
                <c:pt idx="46">
                  <c:v>58.054991695884816</c:v>
                </c:pt>
                <c:pt idx="47">
                  <c:v>12.76988374238808</c:v>
                </c:pt>
                <c:pt idx="48">
                  <c:v>2.1898964345005312</c:v>
                </c:pt>
                <c:pt idx="49">
                  <c:v>27.354016017417255</c:v>
                </c:pt>
                <c:pt idx="50">
                  <c:v>26.666180013139439</c:v>
                </c:pt>
                <c:pt idx="51">
                  <c:v>5.8704780361754683</c:v>
                </c:pt>
                <c:pt idx="52">
                  <c:v>8.9015151515151523</c:v>
                </c:pt>
                <c:pt idx="53">
                  <c:v>2.9783984289765781</c:v>
                </c:pt>
                <c:pt idx="54">
                  <c:v>26.072571459564887</c:v>
                </c:pt>
                <c:pt idx="55">
                  <c:v>38.840375332212382</c:v>
                </c:pt>
                <c:pt idx="56">
                  <c:v>37.777295655475463</c:v>
                </c:pt>
                <c:pt idx="57">
                  <c:v>45.208005640831011</c:v>
                </c:pt>
                <c:pt idx="58">
                  <c:v>35.911482345283915</c:v>
                </c:pt>
                <c:pt idx="59">
                  <c:v>45.907685632152891</c:v>
                </c:pt>
                <c:pt idx="60">
                  <c:v>52.159562965913452</c:v>
                </c:pt>
                <c:pt idx="61">
                  <c:v>38.435130882563477</c:v>
                </c:pt>
                <c:pt idx="62">
                  <c:v>31.168645401230425</c:v>
                </c:pt>
                <c:pt idx="63">
                  <c:v>12.18709769703918</c:v>
                </c:pt>
                <c:pt idx="64">
                  <c:v>46.767272207123646</c:v>
                </c:pt>
                <c:pt idx="65">
                  <c:v>25.693296602387779</c:v>
                </c:pt>
                <c:pt idx="66">
                  <c:v>24.735234215886095</c:v>
                </c:pt>
                <c:pt idx="67">
                  <c:v>19.171961874503484</c:v>
                </c:pt>
                <c:pt idx="68">
                  <c:v>38.711278792692148</c:v>
                </c:pt>
                <c:pt idx="69">
                  <c:v>26.449563145352954</c:v>
                </c:pt>
                <c:pt idx="70">
                  <c:v>57.913026211278527</c:v>
                </c:pt>
                <c:pt idx="71">
                  <c:v>80.16282764098456</c:v>
                </c:pt>
                <c:pt idx="72">
                  <c:v>70.609830715887739</c:v>
                </c:pt>
                <c:pt idx="73">
                  <c:v>54.252498470324369</c:v>
                </c:pt>
                <c:pt idx="74">
                  <c:v>74.14563207645142</c:v>
                </c:pt>
                <c:pt idx="75">
                  <c:v>81.130573248407416</c:v>
                </c:pt>
                <c:pt idx="76">
                  <c:v>29.640582347588648</c:v>
                </c:pt>
                <c:pt idx="77">
                  <c:v>15.656351561395953</c:v>
                </c:pt>
                <c:pt idx="78">
                  <c:v>30.589418122408098</c:v>
                </c:pt>
                <c:pt idx="79">
                  <c:v>32.248334799547813</c:v>
                </c:pt>
                <c:pt idx="80">
                  <c:v>31.00784336852017</c:v>
                </c:pt>
                <c:pt idx="81">
                  <c:v>30.311965559945797</c:v>
                </c:pt>
                <c:pt idx="82">
                  <c:v>59.049360146252127</c:v>
                </c:pt>
                <c:pt idx="83">
                  <c:v>48.499144895912934</c:v>
                </c:pt>
                <c:pt idx="84">
                  <c:v>43.415698531579778</c:v>
                </c:pt>
                <c:pt idx="85">
                  <c:v>61.131096302412004</c:v>
                </c:pt>
                <c:pt idx="86">
                  <c:v>63.69640856283543</c:v>
                </c:pt>
                <c:pt idx="87">
                  <c:v>59.33832635489761</c:v>
                </c:pt>
                <c:pt idx="88">
                  <c:v>49.242200861001443</c:v>
                </c:pt>
                <c:pt idx="89">
                  <c:v>77.148019271948513</c:v>
                </c:pt>
                <c:pt idx="90">
                  <c:v>97.318936389011299</c:v>
                </c:pt>
                <c:pt idx="91">
                  <c:v>87.342420170218006</c:v>
                </c:pt>
                <c:pt idx="92">
                  <c:v>75.612721571638872</c:v>
                </c:pt>
                <c:pt idx="93">
                  <c:v>62.865553209188967</c:v>
                </c:pt>
                <c:pt idx="94">
                  <c:v>55.277293844367072</c:v>
                </c:pt>
                <c:pt idx="95">
                  <c:v>4.1054022798609902</c:v>
                </c:pt>
                <c:pt idx="96">
                  <c:v>8.2210936924999878</c:v>
                </c:pt>
                <c:pt idx="97">
                  <c:v>6.1715407812609513</c:v>
                </c:pt>
                <c:pt idx="98">
                  <c:v>11.211486688603138</c:v>
                </c:pt>
                <c:pt idx="99">
                  <c:v>5.542607014950832</c:v>
                </c:pt>
                <c:pt idx="100">
                  <c:v>22.25001421181296</c:v>
                </c:pt>
                <c:pt idx="101">
                  <c:v>7.5834233414815282</c:v>
                </c:pt>
                <c:pt idx="102">
                  <c:v>38.55949064862692</c:v>
                </c:pt>
                <c:pt idx="103">
                  <c:v>51.873116934796244</c:v>
                </c:pt>
                <c:pt idx="104">
                  <c:v>56.756295833096601</c:v>
                </c:pt>
                <c:pt idx="105">
                  <c:v>42.924074192927044</c:v>
                </c:pt>
                <c:pt idx="106">
                  <c:v>21.05052392711756</c:v>
                </c:pt>
                <c:pt idx="107">
                  <c:v>5.0341980405445197</c:v>
                </c:pt>
                <c:pt idx="108">
                  <c:v>6.9139447622563299</c:v>
                </c:pt>
                <c:pt idx="109">
                  <c:v>3.8615643690842609</c:v>
                </c:pt>
                <c:pt idx="110">
                  <c:v>14.26089703095359</c:v>
                </c:pt>
                <c:pt idx="111">
                  <c:v>26.310802274162771</c:v>
                </c:pt>
                <c:pt idx="112">
                  <c:v>16.472828324413602</c:v>
                </c:pt>
                <c:pt idx="113">
                  <c:v>28.730959242486705</c:v>
                </c:pt>
                <c:pt idx="114">
                  <c:v>33.300741045698039</c:v>
                </c:pt>
                <c:pt idx="115">
                  <c:v>25.581515026760226</c:v>
                </c:pt>
                <c:pt idx="116">
                  <c:v>12.011115685467319</c:v>
                </c:pt>
                <c:pt idx="117">
                  <c:v>16.668432203390061</c:v>
                </c:pt>
                <c:pt idx="118">
                  <c:v>13.066737288135824</c:v>
                </c:pt>
                <c:pt idx="119">
                  <c:v>35.970351364835167</c:v>
                </c:pt>
                <c:pt idx="120">
                  <c:v>75.746561185945296</c:v>
                </c:pt>
                <c:pt idx="121">
                  <c:v>94.997498749374699</c:v>
                </c:pt>
                <c:pt idx="122">
                  <c:v>98.181083265966052</c:v>
                </c:pt>
                <c:pt idx="123">
                  <c:v>95.119392854939321</c:v>
                </c:pt>
                <c:pt idx="124">
                  <c:v>91.908749639041375</c:v>
                </c:pt>
                <c:pt idx="125">
                  <c:v>97.126249456757861</c:v>
                </c:pt>
                <c:pt idx="126">
                  <c:v>98.536184210526471</c:v>
                </c:pt>
                <c:pt idx="127">
                  <c:v>98.475872468763313</c:v>
                </c:pt>
                <c:pt idx="128">
                  <c:v>83.550171187779668</c:v>
                </c:pt>
                <c:pt idx="129">
                  <c:v>78.630497761390728</c:v>
                </c:pt>
                <c:pt idx="130">
                  <c:v>74.269159863049779</c:v>
                </c:pt>
                <c:pt idx="131">
                  <c:v>74.869633921517064</c:v>
                </c:pt>
                <c:pt idx="132">
                  <c:v>74.094752818733696</c:v>
                </c:pt>
                <c:pt idx="133">
                  <c:v>81.8333713070557</c:v>
                </c:pt>
                <c:pt idx="134">
                  <c:v>82.962289868241712</c:v>
                </c:pt>
                <c:pt idx="135">
                  <c:v>89.267868781229296</c:v>
                </c:pt>
                <c:pt idx="136">
                  <c:v>96.139941690962274</c:v>
                </c:pt>
                <c:pt idx="137">
                  <c:v>95.487668161434712</c:v>
                </c:pt>
                <c:pt idx="138">
                  <c:v>94.794826760338722</c:v>
                </c:pt>
                <c:pt idx="139">
                  <c:v>85.566022672840248</c:v>
                </c:pt>
                <c:pt idx="140">
                  <c:v>98.367203924316541</c:v>
                </c:pt>
                <c:pt idx="141">
                  <c:v>72.186405045550003</c:v>
                </c:pt>
                <c:pt idx="142">
                  <c:v>96.923601637107879</c:v>
                </c:pt>
                <c:pt idx="143">
                  <c:v>90.09807023093957</c:v>
                </c:pt>
                <c:pt idx="144">
                  <c:v>96.317621006010484</c:v>
                </c:pt>
                <c:pt idx="145">
                  <c:v>88.908166317678649</c:v>
                </c:pt>
                <c:pt idx="146">
                  <c:v>90.362840967575735</c:v>
                </c:pt>
                <c:pt idx="147">
                  <c:v>91.968704025678363</c:v>
                </c:pt>
                <c:pt idx="148">
                  <c:v>76.94262404707753</c:v>
                </c:pt>
                <c:pt idx="149">
                  <c:v>58.071104387291761</c:v>
                </c:pt>
                <c:pt idx="150">
                  <c:v>42.651673640167452</c:v>
                </c:pt>
                <c:pt idx="151">
                  <c:v>38.655462184873947</c:v>
                </c:pt>
                <c:pt idx="152">
                  <c:v>65.306122448979593</c:v>
                </c:pt>
                <c:pt idx="153">
                  <c:v>72.51208328169507</c:v>
                </c:pt>
                <c:pt idx="154">
                  <c:v>56.995910273887795</c:v>
                </c:pt>
                <c:pt idx="155">
                  <c:v>65.43287327478042</c:v>
                </c:pt>
                <c:pt idx="156">
                  <c:v>97.947115921008418</c:v>
                </c:pt>
                <c:pt idx="157">
                  <c:v>92.673898071625459</c:v>
                </c:pt>
                <c:pt idx="158">
                  <c:v>95.249563989701485</c:v>
                </c:pt>
                <c:pt idx="159">
                  <c:v>78.731002408437931</c:v>
                </c:pt>
                <c:pt idx="160">
                  <c:v>70.98247653849333</c:v>
                </c:pt>
                <c:pt idx="161">
                  <c:v>78.681172660077678</c:v>
                </c:pt>
                <c:pt idx="162">
                  <c:v>88.605597541732038</c:v>
                </c:pt>
                <c:pt idx="163">
                  <c:v>89.461008221908344</c:v>
                </c:pt>
                <c:pt idx="164">
                  <c:v>98.15046790951304</c:v>
                </c:pt>
                <c:pt idx="165">
                  <c:v>76.070444871045581</c:v>
                </c:pt>
                <c:pt idx="166">
                  <c:v>62.728062554300607</c:v>
                </c:pt>
                <c:pt idx="167">
                  <c:v>69.348392701998009</c:v>
                </c:pt>
                <c:pt idx="168">
                  <c:v>89.270199826238056</c:v>
                </c:pt>
                <c:pt idx="169">
                  <c:v>95.05340078695896</c:v>
                </c:pt>
                <c:pt idx="170">
                  <c:v>67.834926414807995</c:v>
                </c:pt>
                <c:pt idx="171">
                  <c:v>90.328626764962991</c:v>
                </c:pt>
                <c:pt idx="172">
                  <c:v>69.776924922043762</c:v>
                </c:pt>
                <c:pt idx="173">
                  <c:v>84.468697529383604</c:v>
                </c:pt>
                <c:pt idx="174">
                  <c:v>93.89653889095591</c:v>
                </c:pt>
                <c:pt idx="175">
                  <c:v>67.507042253521533</c:v>
                </c:pt>
                <c:pt idx="176">
                  <c:v>37.71830985915534</c:v>
                </c:pt>
                <c:pt idx="177">
                  <c:v>41.002415458937335</c:v>
                </c:pt>
                <c:pt idx="178">
                  <c:v>79.10628019323741</c:v>
                </c:pt>
                <c:pt idx="179">
                  <c:v>91.411648568607745</c:v>
                </c:pt>
                <c:pt idx="180">
                  <c:v>98.029441545291462</c:v>
                </c:pt>
                <c:pt idx="181">
                  <c:v>96.838637319501004</c:v>
                </c:pt>
                <c:pt idx="182">
                  <c:v>94.266302622388537</c:v>
                </c:pt>
                <c:pt idx="183">
                  <c:v>95.472728427201545</c:v>
                </c:pt>
                <c:pt idx="184">
                  <c:v>98.278451761987128</c:v>
                </c:pt>
                <c:pt idx="185">
                  <c:v>78.12749458319081</c:v>
                </c:pt>
                <c:pt idx="186">
                  <c:v>80.875812521382429</c:v>
                </c:pt>
                <c:pt idx="187">
                  <c:v>90.397992929638804</c:v>
                </c:pt>
                <c:pt idx="188">
                  <c:v>84.114494241076557</c:v>
                </c:pt>
                <c:pt idx="189">
                  <c:v>83.347821362599134</c:v>
                </c:pt>
                <c:pt idx="190">
                  <c:v>96.748010330469754</c:v>
                </c:pt>
                <c:pt idx="191">
                  <c:v>97.995283018868136</c:v>
                </c:pt>
                <c:pt idx="192">
                  <c:v>92.672998643147835</c:v>
                </c:pt>
                <c:pt idx="193">
                  <c:v>97.757224035787786</c:v>
                </c:pt>
                <c:pt idx="194">
                  <c:v>98.323321671397835</c:v>
                </c:pt>
                <c:pt idx="195">
                  <c:v>64.32030064320314</c:v>
                </c:pt>
                <c:pt idx="196">
                  <c:v>53.577915001816201</c:v>
                </c:pt>
                <c:pt idx="197">
                  <c:v>54.776607337450052</c:v>
                </c:pt>
                <c:pt idx="198">
                  <c:v>68.972030512168644</c:v>
                </c:pt>
                <c:pt idx="199">
                  <c:v>50.063933809703336</c:v>
                </c:pt>
                <c:pt idx="200">
                  <c:v>45.119822250436428</c:v>
                </c:pt>
                <c:pt idx="201">
                  <c:v>62.220282494842117</c:v>
                </c:pt>
                <c:pt idx="202">
                  <c:v>57.379754145697618</c:v>
                </c:pt>
                <c:pt idx="203">
                  <c:v>18.124230160126718</c:v>
                </c:pt>
                <c:pt idx="204">
                  <c:v>12.251941328731808</c:v>
                </c:pt>
                <c:pt idx="205">
                  <c:v>31.715559390278973</c:v>
                </c:pt>
                <c:pt idx="206">
                  <c:v>43.262870290480222</c:v>
                </c:pt>
                <c:pt idx="207">
                  <c:v>39.459303997698974</c:v>
                </c:pt>
                <c:pt idx="208">
                  <c:v>56.874524071410121</c:v>
                </c:pt>
                <c:pt idx="209">
                  <c:v>43.188583435475124</c:v>
                </c:pt>
                <c:pt idx="210">
                  <c:v>23.087025039397457</c:v>
                </c:pt>
                <c:pt idx="211">
                  <c:v>28.975641761666274</c:v>
                </c:pt>
                <c:pt idx="212">
                  <c:v>33.970310834085012</c:v>
                </c:pt>
                <c:pt idx="213">
                  <c:v>19.9646643109539</c:v>
                </c:pt>
                <c:pt idx="214">
                  <c:v>10.433579335793896</c:v>
                </c:pt>
                <c:pt idx="215">
                  <c:v>25.830258302583026</c:v>
                </c:pt>
                <c:pt idx="216">
                  <c:v>33.639467797009701</c:v>
                </c:pt>
                <c:pt idx="217">
                  <c:v>48.583822403674596</c:v>
                </c:pt>
                <c:pt idx="218">
                  <c:v>33.962745598367363</c:v>
                </c:pt>
                <c:pt idx="219">
                  <c:v>8.6820586820583472</c:v>
                </c:pt>
                <c:pt idx="220">
                  <c:v>18.362193362193043</c:v>
                </c:pt>
                <c:pt idx="221">
                  <c:v>27.164502164502387</c:v>
                </c:pt>
                <c:pt idx="222">
                  <c:v>29.89337395278006</c:v>
                </c:pt>
                <c:pt idx="223">
                  <c:v>8.3564301552100542</c:v>
                </c:pt>
                <c:pt idx="224">
                  <c:v>58.661308203990643</c:v>
                </c:pt>
                <c:pt idx="225">
                  <c:v>84.575942350332156</c:v>
                </c:pt>
                <c:pt idx="226">
                  <c:v>96.656576774904266</c:v>
                </c:pt>
                <c:pt idx="227">
                  <c:v>93.846899224805838</c:v>
                </c:pt>
                <c:pt idx="228">
                  <c:v>98.061751241842657</c:v>
                </c:pt>
                <c:pt idx="229">
                  <c:v>92.665112665112545</c:v>
                </c:pt>
                <c:pt idx="230">
                  <c:v>98.495857233906577</c:v>
                </c:pt>
                <c:pt idx="231">
                  <c:v>86.788090673283165</c:v>
                </c:pt>
                <c:pt idx="232">
                  <c:v>95.449419194767259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E2-4A64-8318-644972504E52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%D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Sheet1!$A$17:$A$249</c:f>
              <c:numCache>
                <c:formatCode>d\-mmm\-yy</c:formatCode>
                <c:ptCount val="233"/>
                <c:pt idx="0">
                  <c:v>44840</c:v>
                </c:pt>
                <c:pt idx="1">
                  <c:v>44841</c:v>
                </c:pt>
                <c:pt idx="2">
                  <c:v>44844</c:v>
                </c:pt>
                <c:pt idx="3">
                  <c:v>44845</c:v>
                </c:pt>
                <c:pt idx="4">
                  <c:v>44846</c:v>
                </c:pt>
                <c:pt idx="5">
                  <c:v>44847</c:v>
                </c:pt>
                <c:pt idx="6">
                  <c:v>44848</c:v>
                </c:pt>
                <c:pt idx="7">
                  <c:v>44851</c:v>
                </c:pt>
                <c:pt idx="8">
                  <c:v>44852</c:v>
                </c:pt>
                <c:pt idx="9">
                  <c:v>44853</c:v>
                </c:pt>
                <c:pt idx="10">
                  <c:v>44854</c:v>
                </c:pt>
                <c:pt idx="11">
                  <c:v>44855</c:v>
                </c:pt>
                <c:pt idx="12">
                  <c:v>44858</c:v>
                </c:pt>
                <c:pt idx="13">
                  <c:v>44859</c:v>
                </c:pt>
                <c:pt idx="14">
                  <c:v>44861</c:v>
                </c:pt>
                <c:pt idx="15">
                  <c:v>44862</c:v>
                </c:pt>
                <c:pt idx="16">
                  <c:v>44865</c:v>
                </c:pt>
                <c:pt idx="17">
                  <c:v>44866</c:v>
                </c:pt>
                <c:pt idx="18">
                  <c:v>44867</c:v>
                </c:pt>
                <c:pt idx="19">
                  <c:v>44868</c:v>
                </c:pt>
                <c:pt idx="20">
                  <c:v>44869</c:v>
                </c:pt>
                <c:pt idx="21">
                  <c:v>44872</c:v>
                </c:pt>
                <c:pt idx="22">
                  <c:v>44874</c:v>
                </c:pt>
                <c:pt idx="23">
                  <c:v>44875</c:v>
                </c:pt>
                <c:pt idx="24">
                  <c:v>44876</c:v>
                </c:pt>
                <c:pt idx="25">
                  <c:v>44880</c:v>
                </c:pt>
                <c:pt idx="26">
                  <c:v>44881</c:v>
                </c:pt>
                <c:pt idx="27">
                  <c:v>44882</c:v>
                </c:pt>
                <c:pt idx="28">
                  <c:v>44883</c:v>
                </c:pt>
                <c:pt idx="29">
                  <c:v>44886</c:v>
                </c:pt>
                <c:pt idx="30">
                  <c:v>44887</c:v>
                </c:pt>
                <c:pt idx="31">
                  <c:v>44888</c:v>
                </c:pt>
                <c:pt idx="32">
                  <c:v>44889</c:v>
                </c:pt>
                <c:pt idx="33">
                  <c:v>44890</c:v>
                </c:pt>
                <c:pt idx="34">
                  <c:v>44893</c:v>
                </c:pt>
                <c:pt idx="35">
                  <c:v>44894</c:v>
                </c:pt>
                <c:pt idx="36">
                  <c:v>44895</c:v>
                </c:pt>
                <c:pt idx="37">
                  <c:v>44896</c:v>
                </c:pt>
                <c:pt idx="38">
                  <c:v>44897</c:v>
                </c:pt>
                <c:pt idx="39">
                  <c:v>44900</c:v>
                </c:pt>
                <c:pt idx="40">
                  <c:v>44901</c:v>
                </c:pt>
                <c:pt idx="41">
                  <c:v>44902</c:v>
                </c:pt>
                <c:pt idx="42">
                  <c:v>44903</c:v>
                </c:pt>
                <c:pt idx="43">
                  <c:v>44904</c:v>
                </c:pt>
                <c:pt idx="44">
                  <c:v>44907</c:v>
                </c:pt>
                <c:pt idx="45">
                  <c:v>44908</c:v>
                </c:pt>
                <c:pt idx="46">
                  <c:v>44909</c:v>
                </c:pt>
                <c:pt idx="47">
                  <c:v>44910</c:v>
                </c:pt>
                <c:pt idx="48">
                  <c:v>44911</c:v>
                </c:pt>
                <c:pt idx="49">
                  <c:v>44914</c:v>
                </c:pt>
                <c:pt idx="50">
                  <c:v>44915</c:v>
                </c:pt>
                <c:pt idx="51">
                  <c:v>44916</c:v>
                </c:pt>
                <c:pt idx="52">
                  <c:v>44917</c:v>
                </c:pt>
                <c:pt idx="53">
                  <c:v>44918</c:v>
                </c:pt>
                <c:pt idx="54">
                  <c:v>44921</c:v>
                </c:pt>
                <c:pt idx="55">
                  <c:v>44922</c:v>
                </c:pt>
                <c:pt idx="56">
                  <c:v>44923</c:v>
                </c:pt>
                <c:pt idx="57">
                  <c:v>44924</c:v>
                </c:pt>
                <c:pt idx="58">
                  <c:v>44925</c:v>
                </c:pt>
                <c:pt idx="59">
                  <c:v>44928</c:v>
                </c:pt>
                <c:pt idx="60">
                  <c:v>44929</c:v>
                </c:pt>
                <c:pt idx="61">
                  <c:v>44930</c:v>
                </c:pt>
                <c:pt idx="62">
                  <c:v>44931</c:v>
                </c:pt>
                <c:pt idx="63">
                  <c:v>44932</c:v>
                </c:pt>
                <c:pt idx="64">
                  <c:v>44935</c:v>
                </c:pt>
                <c:pt idx="65">
                  <c:v>44936</c:v>
                </c:pt>
                <c:pt idx="66">
                  <c:v>44937</c:v>
                </c:pt>
                <c:pt idx="67">
                  <c:v>44938</c:v>
                </c:pt>
                <c:pt idx="68">
                  <c:v>44939</c:v>
                </c:pt>
                <c:pt idx="69">
                  <c:v>44942</c:v>
                </c:pt>
                <c:pt idx="70">
                  <c:v>44943</c:v>
                </c:pt>
                <c:pt idx="71">
                  <c:v>44944</c:v>
                </c:pt>
                <c:pt idx="72">
                  <c:v>44945</c:v>
                </c:pt>
                <c:pt idx="73">
                  <c:v>44946</c:v>
                </c:pt>
                <c:pt idx="74">
                  <c:v>44949</c:v>
                </c:pt>
                <c:pt idx="75">
                  <c:v>44950</c:v>
                </c:pt>
                <c:pt idx="76">
                  <c:v>44951</c:v>
                </c:pt>
                <c:pt idx="77">
                  <c:v>44953</c:v>
                </c:pt>
                <c:pt idx="78">
                  <c:v>44956</c:v>
                </c:pt>
                <c:pt idx="79">
                  <c:v>44957</c:v>
                </c:pt>
                <c:pt idx="80">
                  <c:v>44958</c:v>
                </c:pt>
                <c:pt idx="81">
                  <c:v>44959</c:v>
                </c:pt>
                <c:pt idx="82">
                  <c:v>44960</c:v>
                </c:pt>
                <c:pt idx="83">
                  <c:v>44963</c:v>
                </c:pt>
                <c:pt idx="84">
                  <c:v>44964</c:v>
                </c:pt>
                <c:pt idx="85">
                  <c:v>44965</c:v>
                </c:pt>
                <c:pt idx="86">
                  <c:v>44966</c:v>
                </c:pt>
                <c:pt idx="87">
                  <c:v>44967</c:v>
                </c:pt>
                <c:pt idx="88">
                  <c:v>44970</c:v>
                </c:pt>
                <c:pt idx="89">
                  <c:v>44971</c:v>
                </c:pt>
                <c:pt idx="90">
                  <c:v>44972</c:v>
                </c:pt>
                <c:pt idx="91">
                  <c:v>44973</c:v>
                </c:pt>
                <c:pt idx="92">
                  <c:v>44974</c:v>
                </c:pt>
                <c:pt idx="93">
                  <c:v>44977</c:v>
                </c:pt>
                <c:pt idx="94">
                  <c:v>44978</c:v>
                </c:pt>
                <c:pt idx="95">
                  <c:v>44979</c:v>
                </c:pt>
                <c:pt idx="96">
                  <c:v>44980</c:v>
                </c:pt>
                <c:pt idx="97">
                  <c:v>44981</c:v>
                </c:pt>
                <c:pt idx="98">
                  <c:v>44984</c:v>
                </c:pt>
                <c:pt idx="99">
                  <c:v>44985</c:v>
                </c:pt>
                <c:pt idx="100">
                  <c:v>44986</c:v>
                </c:pt>
                <c:pt idx="101">
                  <c:v>44987</c:v>
                </c:pt>
                <c:pt idx="102">
                  <c:v>44988</c:v>
                </c:pt>
                <c:pt idx="103">
                  <c:v>44991</c:v>
                </c:pt>
                <c:pt idx="104">
                  <c:v>44993</c:v>
                </c:pt>
                <c:pt idx="105">
                  <c:v>44994</c:v>
                </c:pt>
                <c:pt idx="106">
                  <c:v>44995</c:v>
                </c:pt>
                <c:pt idx="107">
                  <c:v>44998</c:v>
                </c:pt>
                <c:pt idx="108">
                  <c:v>44999</c:v>
                </c:pt>
                <c:pt idx="109">
                  <c:v>45000</c:v>
                </c:pt>
                <c:pt idx="110">
                  <c:v>45001</c:v>
                </c:pt>
                <c:pt idx="111">
                  <c:v>45002</c:v>
                </c:pt>
                <c:pt idx="112">
                  <c:v>45005</c:v>
                </c:pt>
                <c:pt idx="113">
                  <c:v>45006</c:v>
                </c:pt>
                <c:pt idx="114">
                  <c:v>45007</c:v>
                </c:pt>
                <c:pt idx="115">
                  <c:v>45008</c:v>
                </c:pt>
                <c:pt idx="116">
                  <c:v>45009</c:v>
                </c:pt>
                <c:pt idx="117">
                  <c:v>45012</c:v>
                </c:pt>
                <c:pt idx="118">
                  <c:v>45013</c:v>
                </c:pt>
                <c:pt idx="119">
                  <c:v>45014</c:v>
                </c:pt>
                <c:pt idx="120">
                  <c:v>45016</c:v>
                </c:pt>
                <c:pt idx="121">
                  <c:v>45019</c:v>
                </c:pt>
                <c:pt idx="122">
                  <c:v>45021</c:v>
                </c:pt>
                <c:pt idx="123">
                  <c:v>45022</c:v>
                </c:pt>
                <c:pt idx="124">
                  <c:v>45026</c:v>
                </c:pt>
                <c:pt idx="125">
                  <c:v>45027</c:v>
                </c:pt>
                <c:pt idx="126">
                  <c:v>45028</c:v>
                </c:pt>
                <c:pt idx="127">
                  <c:v>45029</c:v>
                </c:pt>
                <c:pt idx="128">
                  <c:v>45033</c:v>
                </c:pt>
                <c:pt idx="129">
                  <c:v>45034</c:v>
                </c:pt>
                <c:pt idx="130">
                  <c:v>45035</c:v>
                </c:pt>
                <c:pt idx="131">
                  <c:v>45036</c:v>
                </c:pt>
                <c:pt idx="132">
                  <c:v>45037</c:v>
                </c:pt>
                <c:pt idx="133">
                  <c:v>45040</c:v>
                </c:pt>
                <c:pt idx="134">
                  <c:v>45041</c:v>
                </c:pt>
                <c:pt idx="135">
                  <c:v>45042</c:v>
                </c:pt>
                <c:pt idx="136">
                  <c:v>45043</c:v>
                </c:pt>
                <c:pt idx="137">
                  <c:v>45044</c:v>
                </c:pt>
                <c:pt idx="138">
                  <c:v>45048</c:v>
                </c:pt>
                <c:pt idx="139">
                  <c:v>45049</c:v>
                </c:pt>
                <c:pt idx="140">
                  <c:v>45050</c:v>
                </c:pt>
                <c:pt idx="141">
                  <c:v>45051</c:v>
                </c:pt>
                <c:pt idx="142">
                  <c:v>45054</c:v>
                </c:pt>
                <c:pt idx="143">
                  <c:v>45055</c:v>
                </c:pt>
                <c:pt idx="144">
                  <c:v>45056</c:v>
                </c:pt>
                <c:pt idx="145">
                  <c:v>45057</c:v>
                </c:pt>
                <c:pt idx="146">
                  <c:v>45058</c:v>
                </c:pt>
                <c:pt idx="147">
                  <c:v>45061</c:v>
                </c:pt>
                <c:pt idx="148">
                  <c:v>45062</c:v>
                </c:pt>
                <c:pt idx="149">
                  <c:v>45063</c:v>
                </c:pt>
                <c:pt idx="150">
                  <c:v>45064</c:v>
                </c:pt>
                <c:pt idx="151">
                  <c:v>45065</c:v>
                </c:pt>
                <c:pt idx="152">
                  <c:v>45068</c:v>
                </c:pt>
                <c:pt idx="153">
                  <c:v>45069</c:v>
                </c:pt>
                <c:pt idx="154">
                  <c:v>45070</c:v>
                </c:pt>
                <c:pt idx="155">
                  <c:v>45071</c:v>
                </c:pt>
                <c:pt idx="156">
                  <c:v>45072</c:v>
                </c:pt>
                <c:pt idx="157">
                  <c:v>45075</c:v>
                </c:pt>
                <c:pt idx="158">
                  <c:v>45076</c:v>
                </c:pt>
                <c:pt idx="159">
                  <c:v>45077</c:v>
                </c:pt>
                <c:pt idx="160">
                  <c:v>45078</c:v>
                </c:pt>
                <c:pt idx="161">
                  <c:v>45079</c:v>
                </c:pt>
                <c:pt idx="162">
                  <c:v>45082</c:v>
                </c:pt>
                <c:pt idx="163">
                  <c:v>45083</c:v>
                </c:pt>
                <c:pt idx="164">
                  <c:v>45084</c:v>
                </c:pt>
                <c:pt idx="165">
                  <c:v>45085</c:v>
                </c:pt>
                <c:pt idx="166">
                  <c:v>45086</c:v>
                </c:pt>
                <c:pt idx="167">
                  <c:v>45089</c:v>
                </c:pt>
                <c:pt idx="168">
                  <c:v>45090</c:v>
                </c:pt>
                <c:pt idx="169">
                  <c:v>45091</c:v>
                </c:pt>
                <c:pt idx="170">
                  <c:v>45092</c:v>
                </c:pt>
                <c:pt idx="171">
                  <c:v>45093</c:v>
                </c:pt>
                <c:pt idx="172">
                  <c:v>45096</c:v>
                </c:pt>
                <c:pt idx="173">
                  <c:v>45097</c:v>
                </c:pt>
                <c:pt idx="174">
                  <c:v>45098</c:v>
                </c:pt>
                <c:pt idx="175">
                  <c:v>45099</c:v>
                </c:pt>
                <c:pt idx="176">
                  <c:v>45100</c:v>
                </c:pt>
                <c:pt idx="177">
                  <c:v>45103</c:v>
                </c:pt>
                <c:pt idx="178">
                  <c:v>45104</c:v>
                </c:pt>
                <c:pt idx="179">
                  <c:v>45105</c:v>
                </c:pt>
                <c:pt idx="180">
                  <c:v>45107</c:v>
                </c:pt>
                <c:pt idx="181">
                  <c:v>45110</c:v>
                </c:pt>
                <c:pt idx="182">
                  <c:v>45111</c:v>
                </c:pt>
                <c:pt idx="183">
                  <c:v>45112</c:v>
                </c:pt>
                <c:pt idx="184">
                  <c:v>45113</c:v>
                </c:pt>
                <c:pt idx="185">
                  <c:v>45114</c:v>
                </c:pt>
                <c:pt idx="186">
                  <c:v>45117</c:v>
                </c:pt>
                <c:pt idx="187">
                  <c:v>45118</c:v>
                </c:pt>
                <c:pt idx="188">
                  <c:v>45119</c:v>
                </c:pt>
                <c:pt idx="189">
                  <c:v>45120</c:v>
                </c:pt>
                <c:pt idx="190">
                  <c:v>45121</c:v>
                </c:pt>
                <c:pt idx="191">
                  <c:v>45124</c:v>
                </c:pt>
                <c:pt idx="192">
                  <c:v>45125</c:v>
                </c:pt>
                <c:pt idx="193">
                  <c:v>45126</c:v>
                </c:pt>
                <c:pt idx="194">
                  <c:v>45127</c:v>
                </c:pt>
                <c:pt idx="195">
                  <c:v>45128</c:v>
                </c:pt>
                <c:pt idx="196">
                  <c:v>45131</c:v>
                </c:pt>
                <c:pt idx="197">
                  <c:v>45132</c:v>
                </c:pt>
                <c:pt idx="198">
                  <c:v>45133</c:v>
                </c:pt>
                <c:pt idx="199">
                  <c:v>45134</c:v>
                </c:pt>
                <c:pt idx="200">
                  <c:v>45135</c:v>
                </c:pt>
                <c:pt idx="201">
                  <c:v>45138</c:v>
                </c:pt>
                <c:pt idx="202">
                  <c:v>45139</c:v>
                </c:pt>
                <c:pt idx="203">
                  <c:v>45140</c:v>
                </c:pt>
                <c:pt idx="204">
                  <c:v>45141</c:v>
                </c:pt>
                <c:pt idx="205">
                  <c:v>45142</c:v>
                </c:pt>
                <c:pt idx="206">
                  <c:v>45145</c:v>
                </c:pt>
                <c:pt idx="207">
                  <c:v>45146</c:v>
                </c:pt>
                <c:pt idx="208">
                  <c:v>45147</c:v>
                </c:pt>
                <c:pt idx="209">
                  <c:v>45148</c:v>
                </c:pt>
                <c:pt idx="210">
                  <c:v>45149</c:v>
                </c:pt>
                <c:pt idx="211">
                  <c:v>45152</c:v>
                </c:pt>
                <c:pt idx="212">
                  <c:v>45154</c:v>
                </c:pt>
                <c:pt idx="213">
                  <c:v>45155</c:v>
                </c:pt>
                <c:pt idx="214">
                  <c:v>45156</c:v>
                </c:pt>
                <c:pt idx="215">
                  <c:v>45159</c:v>
                </c:pt>
                <c:pt idx="216">
                  <c:v>45160</c:v>
                </c:pt>
                <c:pt idx="217">
                  <c:v>45161</c:v>
                </c:pt>
                <c:pt idx="218">
                  <c:v>45162</c:v>
                </c:pt>
                <c:pt idx="219">
                  <c:v>45163</c:v>
                </c:pt>
                <c:pt idx="220">
                  <c:v>45166</c:v>
                </c:pt>
                <c:pt idx="221">
                  <c:v>45167</c:v>
                </c:pt>
                <c:pt idx="222">
                  <c:v>45168</c:v>
                </c:pt>
                <c:pt idx="223">
                  <c:v>45169</c:v>
                </c:pt>
                <c:pt idx="224">
                  <c:v>45170</c:v>
                </c:pt>
                <c:pt idx="225">
                  <c:v>45173</c:v>
                </c:pt>
                <c:pt idx="226">
                  <c:v>45174</c:v>
                </c:pt>
                <c:pt idx="227">
                  <c:v>45175</c:v>
                </c:pt>
                <c:pt idx="228">
                  <c:v>45176</c:v>
                </c:pt>
                <c:pt idx="229">
                  <c:v>45177</c:v>
                </c:pt>
                <c:pt idx="230">
                  <c:v>45180</c:v>
                </c:pt>
                <c:pt idx="231">
                  <c:v>45181</c:v>
                </c:pt>
                <c:pt idx="232">
                  <c:v>45182</c:v>
                </c:pt>
              </c:numCache>
            </c:numRef>
          </c:cat>
          <c:val>
            <c:numRef>
              <c:f>Sheet1!$I$17:$I$249</c:f>
              <c:numCache>
                <c:formatCode>0.00</c:formatCode>
                <c:ptCount val="233"/>
                <c:pt idx="0">
                  <c:v>33.087826501589156</c:v>
                </c:pt>
                <c:pt idx="1">
                  <c:v>45.766077854107799</c:v>
                </c:pt>
                <c:pt idx="2">
                  <c:v>46.783600773870511</c:v>
                </c:pt>
                <c:pt idx="3">
                  <c:v>37.371228296697353</c:v>
                </c:pt>
                <c:pt idx="4">
                  <c:v>34.091488305365679</c:v>
                </c:pt>
                <c:pt idx="5">
                  <c:v>29.993755687782237</c:v>
                </c:pt>
                <c:pt idx="6">
                  <c:v>44.223740898439075</c:v>
                </c:pt>
                <c:pt idx="7">
                  <c:v>58.980419767038256</c:v>
                </c:pt>
                <c:pt idx="8">
                  <c:v>80.631045028071455</c:v>
                </c:pt>
                <c:pt idx="9">
                  <c:v>88.832299646032197</c:v>
                </c:pt>
                <c:pt idx="10">
                  <c:v>92.866273849839089</c:v>
                </c:pt>
                <c:pt idx="11">
                  <c:v>90.771445930544985</c:v>
                </c:pt>
                <c:pt idx="12">
                  <c:v>92.581846058948301</c:v>
                </c:pt>
                <c:pt idx="13">
                  <c:v>88.268716713516298</c:v>
                </c:pt>
                <c:pt idx="14">
                  <c:v>89.223538753476348</c:v>
                </c:pt>
                <c:pt idx="15">
                  <c:v>89.154919670769345</c:v>
                </c:pt>
                <c:pt idx="16">
                  <c:v>94.830657902708325</c:v>
                </c:pt>
                <c:pt idx="17">
                  <c:v>96.884781720103476</c:v>
                </c:pt>
                <c:pt idx="18">
                  <c:v>96.222808516936539</c:v>
                </c:pt>
                <c:pt idx="19">
                  <c:v>92.66254506461604</c:v>
                </c:pt>
                <c:pt idx="20">
                  <c:v>91.593047287268632</c:v>
                </c:pt>
                <c:pt idx="21">
                  <c:v>92.104352739713775</c:v>
                </c:pt>
                <c:pt idx="22">
                  <c:v>90.686014867990778</c:v>
                </c:pt>
                <c:pt idx="23">
                  <c:v>82.374423123140431</c:v>
                </c:pt>
                <c:pt idx="24">
                  <c:v>83.980396968775707</c:v>
                </c:pt>
                <c:pt idx="25">
                  <c:v>88.253825807635323</c:v>
                </c:pt>
                <c:pt idx="26">
                  <c:v>97.120795126730926</c:v>
                </c:pt>
                <c:pt idx="27">
                  <c:v>93.461936036492219</c:v>
                </c:pt>
                <c:pt idx="28">
                  <c:v>88.256271050674343</c:v>
                </c:pt>
                <c:pt idx="29">
                  <c:v>72.254304075761638</c:v>
                </c:pt>
                <c:pt idx="30">
                  <c:v>62.749682284920148</c:v>
                </c:pt>
                <c:pt idx="31">
                  <c:v>56.918325058141612</c:v>
                </c:pt>
                <c:pt idx="32">
                  <c:v>71.601467475927436</c:v>
                </c:pt>
                <c:pt idx="33">
                  <c:v>83.958398200612308</c:v>
                </c:pt>
                <c:pt idx="34">
                  <c:v>93.36792342266655</c:v>
                </c:pt>
                <c:pt idx="35">
                  <c:v>93.207832658081927</c:v>
                </c:pt>
                <c:pt idx="36">
                  <c:v>92.241763632968897</c:v>
                </c:pt>
                <c:pt idx="37">
                  <c:v>91.584911158616151</c:v>
                </c:pt>
                <c:pt idx="38">
                  <c:v>85.946178215960501</c:v>
                </c:pt>
                <c:pt idx="39">
                  <c:v>79.973483592973253</c:v>
                </c:pt>
                <c:pt idx="40">
                  <c:v>72.471550104960883</c:v>
                </c:pt>
                <c:pt idx="41">
                  <c:v>66.478842116893318</c:v>
                </c:pt>
                <c:pt idx="42">
                  <c:v>62.42625124295671</c:v>
                </c:pt>
                <c:pt idx="43">
                  <c:v>55.86705988670181</c:v>
                </c:pt>
                <c:pt idx="44">
                  <c:v>50.037696678602337</c:v>
                </c:pt>
                <c:pt idx="45">
                  <c:v>46.62725648853759</c:v>
                </c:pt>
                <c:pt idx="46">
                  <c:v>50.025682177626862</c:v>
                </c:pt>
                <c:pt idx="47">
                  <c:v>41.234201197325525</c:v>
                </c:pt>
                <c:pt idx="48">
                  <c:v>24.338257290924474</c:v>
                </c:pt>
                <c:pt idx="49">
                  <c:v>14.104598731435289</c:v>
                </c:pt>
                <c:pt idx="50">
                  <c:v>18.736697488352409</c:v>
                </c:pt>
                <c:pt idx="51">
                  <c:v>19.963558022244055</c:v>
                </c:pt>
                <c:pt idx="52">
                  <c:v>13.812724400276688</c:v>
                </c:pt>
                <c:pt idx="53">
                  <c:v>5.9167972055557323</c:v>
                </c:pt>
                <c:pt idx="54">
                  <c:v>12.650828346685538</c:v>
                </c:pt>
                <c:pt idx="55">
                  <c:v>22.630448406917949</c:v>
                </c:pt>
                <c:pt idx="56">
                  <c:v>34.23008081575091</c:v>
                </c:pt>
                <c:pt idx="57">
                  <c:v>40.608558876172957</c:v>
                </c:pt>
                <c:pt idx="58">
                  <c:v>39.632261213863465</c:v>
                </c:pt>
                <c:pt idx="59">
                  <c:v>42.342391206089275</c:v>
                </c:pt>
                <c:pt idx="60">
                  <c:v>44.65957698111675</c:v>
                </c:pt>
                <c:pt idx="61">
                  <c:v>45.500793160209945</c:v>
                </c:pt>
                <c:pt idx="62">
                  <c:v>40.587779749902452</c:v>
                </c:pt>
                <c:pt idx="63">
                  <c:v>27.263624660277696</c:v>
                </c:pt>
                <c:pt idx="64">
                  <c:v>30.041005101797751</c:v>
                </c:pt>
                <c:pt idx="65">
                  <c:v>28.215888835516868</c:v>
                </c:pt>
                <c:pt idx="66">
                  <c:v>32.398601008465839</c:v>
                </c:pt>
                <c:pt idx="67">
                  <c:v>23.200164230925783</c:v>
                </c:pt>
                <c:pt idx="68">
                  <c:v>27.539491627693906</c:v>
                </c:pt>
                <c:pt idx="69">
                  <c:v>28.110934604182862</c:v>
                </c:pt>
                <c:pt idx="70">
                  <c:v>41.024622716441208</c:v>
                </c:pt>
                <c:pt idx="71">
                  <c:v>54.841805665872016</c:v>
                </c:pt>
                <c:pt idx="72">
                  <c:v>69.561894856050273</c:v>
                </c:pt>
                <c:pt idx="73">
                  <c:v>68.341718942398884</c:v>
                </c:pt>
                <c:pt idx="74">
                  <c:v>66.3359870875545</c:v>
                </c:pt>
                <c:pt idx="75">
                  <c:v>69.842901265061073</c:v>
                </c:pt>
                <c:pt idx="76">
                  <c:v>61.638929224149159</c:v>
                </c:pt>
                <c:pt idx="77">
                  <c:v>42.142502385797336</c:v>
                </c:pt>
                <c:pt idx="78">
                  <c:v>25.295450677130901</c:v>
                </c:pt>
                <c:pt idx="79">
                  <c:v>26.164701494450622</c:v>
                </c:pt>
                <c:pt idx="80">
                  <c:v>31.281865430158692</c:v>
                </c:pt>
                <c:pt idx="81">
                  <c:v>31.18938124267126</c:v>
                </c:pt>
                <c:pt idx="82">
                  <c:v>40.12305635823936</c:v>
                </c:pt>
                <c:pt idx="83">
                  <c:v>45.953490200703619</c:v>
                </c:pt>
                <c:pt idx="84">
                  <c:v>50.321401191248277</c:v>
                </c:pt>
                <c:pt idx="85">
                  <c:v>51.01531324330157</c:v>
                </c:pt>
                <c:pt idx="86">
                  <c:v>56.081067798942399</c:v>
                </c:pt>
                <c:pt idx="87">
                  <c:v>61.38861040671501</c:v>
                </c:pt>
                <c:pt idx="88">
                  <c:v>57.425645259578154</c:v>
                </c:pt>
                <c:pt idx="89">
                  <c:v>61.909515495949186</c:v>
                </c:pt>
                <c:pt idx="90">
                  <c:v>74.569718840653749</c:v>
                </c:pt>
                <c:pt idx="91">
                  <c:v>87.269791943725934</c:v>
                </c:pt>
                <c:pt idx="92">
                  <c:v>86.758026043622735</c:v>
                </c:pt>
                <c:pt idx="93">
                  <c:v>75.27356498368195</c:v>
                </c:pt>
                <c:pt idx="94">
                  <c:v>64.585189541731637</c:v>
                </c:pt>
                <c:pt idx="95">
                  <c:v>40.749416444472345</c:v>
                </c:pt>
                <c:pt idx="96">
                  <c:v>22.534596605576017</c:v>
                </c:pt>
                <c:pt idx="97">
                  <c:v>6.1660122512073094</c:v>
                </c:pt>
                <c:pt idx="98">
                  <c:v>8.534707054121359</c:v>
                </c:pt>
                <c:pt idx="99">
                  <c:v>7.641878161604974</c:v>
                </c:pt>
                <c:pt idx="100">
                  <c:v>13.00136930512231</c:v>
                </c:pt>
                <c:pt idx="101">
                  <c:v>11.792014856081773</c:v>
                </c:pt>
                <c:pt idx="102">
                  <c:v>22.797642733973802</c:v>
                </c:pt>
                <c:pt idx="103">
                  <c:v>32.672010308301566</c:v>
                </c:pt>
                <c:pt idx="104">
                  <c:v>49.062967805506588</c:v>
                </c:pt>
                <c:pt idx="105">
                  <c:v>50.517828986939968</c:v>
                </c:pt>
                <c:pt idx="106">
                  <c:v>40.243631317713728</c:v>
                </c:pt>
                <c:pt idx="107">
                  <c:v>23.002932053529708</c:v>
                </c:pt>
                <c:pt idx="108">
                  <c:v>10.999555576639471</c:v>
                </c:pt>
                <c:pt idx="109">
                  <c:v>5.2699023906283697</c:v>
                </c:pt>
                <c:pt idx="110">
                  <c:v>8.3454687207647265</c:v>
                </c:pt>
                <c:pt idx="111">
                  <c:v>14.811087891400206</c:v>
                </c:pt>
                <c:pt idx="112">
                  <c:v>19.014842543176655</c:v>
                </c:pt>
                <c:pt idx="113">
                  <c:v>23.838196613687689</c:v>
                </c:pt>
                <c:pt idx="114">
                  <c:v>26.168176204199444</c:v>
                </c:pt>
                <c:pt idx="115">
                  <c:v>29.204405104981657</c:v>
                </c:pt>
                <c:pt idx="116">
                  <c:v>23.631123919308525</c:v>
                </c:pt>
                <c:pt idx="117">
                  <c:v>18.087020971872537</c:v>
                </c:pt>
                <c:pt idx="118">
                  <c:v>13.915428392331068</c:v>
                </c:pt>
                <c:pt idx="119">
                  <c:v>21.901840285453687</c:v>
                </c:pt>
                <c:pt idx="120">
                  <c:v>41.594549946305428</c:v>
                </c:pt>
                <c:pt idx="121">
                  <c:v>68.904803766718388</c:v>
                </c:pt>
                <c:pt idx="122">
                  <c:v>89.641714400428683</c:v>
                </c:pt>
                <c:pt idx="123">
                  <c:v>96.099324956760029</c:v>
                </c:pt>
                <c:pt idx="124">
                  <c:v>95.069741919982263</c:v>
                </c:pt>
                <c:pt idx="125">
                  <c:v>94.718130650246181</c:v>
                </c:pt>
                <c:pt idx="126">
                  <c:v>95.85706110210856</c:v>
                </c:pt>
                <c:pt idx="127">
                  <c:v>98.04610204534923</c:v>
                </c:pt>
                <c:pt idx="128">
                  <c:v>93.52074262235648</c:v>
                </c:pt>
                <c:pt idx="129">
                  <c:v>86.885513805977894</c:v>
                </c:pt>
                <c:pt idx="130">
                  <c:v>78.816609604073392</c:v>
                </c:pt>
                <c:pt idx="131">
                  <c:v>75.923097181985852</c:v>
                </c:pt>
                <c:pt idx="132">
                  <c:v>74.411182201100175</c:v>
                </c:pt>
                <c:pt idx="133">
                  <c:v>76.93258601576882</c:v>
                </c:pt>
                <c:pt idx="134">
                  <c:v>79.630137998010369</c:v>
                </c:pt>
                <c:pt idx="135">
                  <c:v>84.687843318842241</c:v>
                </c:pt>
                <c:pt idx="136">
                  <c:v>89.456700113477766</c:v>
                </c:pt>
                <c:pt idx="137">
                  <c:v>93.631826211208761</c:v>
                </c:pt>
                <c:pt idx="138">
                  <c:v>95.474145537578565</c:v>
                </c:pt>
                <c:pt idx="139">
                  <c:v>91.949505864871227</c:v>
                </c:pt>
                <c:pt idx="140">
                  <c:v>92.90935111916518</c:v>
                </c:pt>
                <c:pt idx="141">
                  <c:v>85.373210547568931</c:v>
                </c:pt>
                <c:pt idx="142">
                  <c:v>89.159070202324813</c:v>
                </c:pt>
                <c:pt idx="143">
                  <c:v>86.402692304532479</c:v>
                </c:pt>
                <c:pt idx="144">
                  <c:v>94.44643095801932</c:v>
                </c:pt>
                <c:pt idx="145">
                  <c:v>91.774619184876244</c:v>
                </c:pt>
                <c:pt idx="146">
                  <c:v>91.862876097088289</c:v>
                </c:pt>
                <c:pt idx="147">
                  <c:v>90.413237103644249</c:v>
                </c:pt>
                <c:pt idx="148">
                  <c:v>86.424723013443881</c:v>
                </c:pt>
                <c:pt idx="149">
                  <c:v>75.660810820015897</c:v>
                </c:pt>
                <c:pt idx="150">
                  <c:v>59.221800691512243</c:v>
                </c:pt>
                <c:pt idx="151">
                  <c:v>46.459413404111054</c:v>
                </c:pt>
                <c:pt idx="152">
                  <c:v>48.871086091340338</c:v>
                </c:pt>
                <c:pt idx="153">
                  <c:v>58.824555971849541</c:v>
                </c:pt>
                <c:pt idx="154">
                  <c:v>64.938038668187488</c:v>
                </c:pt>
                <c:pt idx="155">
                  <c:v>64.980288943454426</c:v>
                </c:pt>
                <c:pt idx="156">
                  <c:v>73.458633156558875</c:v>
                </c:pt>
                <c:pt idx="157">
                  <c:v>85.351295755804756</c:v>
                </c:pt>
                <c:pt idx="158">
                  <c:v>95.290192660778459</c:v>
                </c:pt>
                <c:pt idx="159">
                  <c:v>88.884821489921634</c:v>
                </c:pt>
                <c:pt idx="160">
                  <c:v>81.654347645544249</c:v>
                </c:pt>
                <c:pt idx="161">
                  <c:v>76.131550535669646</c:v>
                </c:pt>
                <c:pt idx="162">
                  <c:v>79.423082246767692</c:v>
                </c:pt>
                <c:pt idx="163">
                  <c:v>85.582592807906011</c:v>
                </c:pt>
                <c:pt idx="164">
                  <c:v>92.072357891051141</c:v>
                </c:pt>
                <c:pt idx="165">
                  <c:v>87.893973667488993</c:v>
                </c:pt>
                <c:pt idx="166">
                  <c:v>78.982991778286404</c:v>
                </c:pt>
                <c:pt idx="167">
                  <c:v>69.38230004244808</c:v>
                </c:pt>
                <c:pt idx="168">
                  <c:v>73.782218360845562</c:v>
                </c:pt>
                <c:pt idx="169">
                  <c:v>84.557331105065018</c:v>
                </c:pt>
                <c:pt idx="170">
                  <c:v>84.052842342668342</c:v>
                </c:pt>
                <c:pt idx="171">
                  <c:v>84.405651322243315</c:v>
                </c:pt>
                <c:pt idx="172">
                  <c:v>75.980159367271582</c:v>
                </c:pt>
                <c:pt idx="173">
                  <c:v>81.524749738796785</c:v>
                </c:pt>
                <c:pt idx="174">
                  <c:v>82.71405378079443</c:v>
                </c:pt>
                <c:pt idx="175">
                  <c:v>81.957426224620349</c:v>
                </c:pt>
                <c:pt idx="176">
                  <c:v>66.37396366787759</c:v>
                </c:pt>
                <c:pt idx="177">
                  <c:v>48.742589190538069</c:v>
                </c:pt>
                <c:pt idx="178">
                  <c:v>52.609001837110021</c:v>
                </c:pt>
                <c:pt idx="179">
                  <c:v>70.506781406927487</c:v>
                </c:pt>
                <c:pt idx="180">
                  <c:v>89.515790102378858</c:v>
                </c:pt>
                <c:pt idx="181">
                  <c:v>95.426575811133418</c:v>
                </c:pt>
                <c:pt idx="182">
                  <c:v>96.378127162393682</c:v>
                </c:pt>
                <c:pt idx="183">
                  <c:v>95.5258894563637</c:v>
                </c:pt>
                <c:pt idx="184">
                  <c:v>96.005827603859075</c:v>
                </c:pt>
                <c:pt idx="185">
                  <c:v>90.626224924126504</c:v>
                </c:pt>
                <c:pt idx="186">
                  <c:v>85.76058628885346</c:v>
                </c:pt>
                <c:pt idx="187">
                  <c:v>83.133766678070685</c:v>
                </c:pt>
                <c:pt idx="188">
                  <c:v>85.129433230699263</c:v>
                </c:pt>
                <c:pt idx="189">
                  <c:v>85.953436177771493</c:v>
                </c:pt>
                <c:pt idx="190">
                  <c:v>88.070108644715148</c:v>
                </c:pt>
                <c:pt idx="191">
                  <c:v>92.697038237312327</c:v>
                </c:pt>
                <c:pt idx="192">
                  <c:v>95.805430664161904</c:v>
                </c:pt>
                <c:pt idx="193">
                  <c:v>96.141835232601252</c:v>
                </c:pt>
                <c:pt idx="194">
                  <c:v>96.251181450111162</c:v>
                </c:pt>
                <c:pt idx="195">
                  <c:v>86.800282116796254</c:v>
                </c:pt>
                <c:pt idx="196">
                  <c:v>72.073845772139052</c:v>
                </c:pt>
                <c:pt idx="197">
                  <c:v>57.558274327489805</c:v>
                </c:pt>
                <c:pt idx="198">
                  <c:v>59.108850950478292</c:v>
                </c:pt>
                <c:pt idx="199">
                  <c:v>57.93752388644068</c:v>
                </c:pt>
                <c:pt idx="200">
                  <c:v>54.718595524102795</c:v>
                </c:pt>
                <c:pt idx="201">
                  <c:v>52.468012851660625</c:v>
                </c:pt>
                <c:pt idx="202">
                  <c:v>54.906619630325395</c:v>
                </c:pt>
                <c:pt idx="203">
                  <c:v>45.90808893355549</c:v>
                </c:pt>
                <c:pt idx="204">
                  <c:v>29.251975211518712</c:v>
                </c:pt>
                <c:pt idx="205">
                  <c:v>20.697243626379166</c:v>
                </c:pt>
                <c:pt idx="206">
                  <c:v>29.076790336496998</c:v>
                </c:pt>
                <c:pt idx="207">
                  <c:v>38.14591122615272</c:v>
                </c:pt>
                <c:pt idx="208">
                  <c:v>46.532232786529768</c:v>
                </c:pt>
                <c:pt idx="209">
                  <c:v>46.507470501528076</c:v>
                </c:pt>
                <c:pt idx="210">
                  <c:v>41.050044182094233</c:v>
                </c:pt>
                <c:pt idx="211">
                  <c:v>31.75041674551295</c:v>
                </c:pt>
                <c:pt idx="212">
                  <c:v>28.677659211716247</c:v>
                </c:pt>
                <c:pt idx="213">
                  <c:v>27.636872302235062</c:v>
                </c:pt>
                <c:pt idx="214">
                  <c:v>21.45618482694427</c:v>
                </c:pt>
                <c:pt idx="215">
                  <c:v>18.742833983110273</c:v>
                </c:pt>
                <c:pt idx="216">
                  <c:v>23.301101811795537</c:v>
                </c:pt>
                <c:pt idx="217">
                  <c:v>36.01784950108911</c:v>
                </c:pt>
                <c:pt idx="218">
                  <c:v>38.728678599683882</c:v>
                </c:pt>
                <c:pt idx="219">
                  <c:v>30.409542228033434</c:v>
                </c:pt>
                <c:pt idx="220">
                  <c:v>20.33566588087292</c:v>
                </c:pt>
                <c:pt idx="221">
                  <c:v>18.069584736251258</c:v>
                </c:pt>
                <c:pt idx="222">
                  <c:v>25.140023159825166</c:v>
                </c:pt>
                <c:pt idx="223">
                  <c:v>21.804768757497499</c:v>
                </c:pt>
                <c:pt idx="224">
                  <c:v>32.303704103993589</c:v>
                </c:pt>
                <c:pt idx="225">
                  <c:v>50.531226903177618</c:v>
                </c:pt>
                <c:pt idx="226">
                  <c:v>79.964609109742355</c:v>
                </c:pt>
                <c:pt idx="227">
                  <c:v>91.693139450014087</c:v>
                </c:pt>
                <c:pt idx="228">
                  <c:v>96.188409080517587</c:v>
                </c:pt>
                <c:pt idx="229">
                  <c:v>94.857921043920342</c:v>
                </c:pt>
                <c:pt idx="230">
                  <c:v>96.407573713620593</c:v>
                </c:pt>
                <c:pt idx="231">
                  <c:v>92.649686857434105</c:v>
                </c:pt>
                <c:pt idx="232">
                  <c:v>93.577789033985667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E2-4A64-8318-644972504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507992"/>
        <c:axId val="358498976"/>
      </c:lineChart>
      <c:catAx>
        <c:axId val="358507992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txPr>
          <a:bodyPr rot="5400000"/>
          <a:lstStyle/>
          <a:p>
            <a:pPr>
              <a:defRPr/>
            </a:pPr>
            <a:endParaRPr lang="en-US"/>
          </a:p>
        </c:txPr>
        <c:crossAx val="358498976"/>
        <c:crosses val="autoZero"/>
        <c:auto val="0"/>
        <c:lblAlgn val="ctr"/>
        <c:lblOffset val="100"/>
        <c:noMultiLvlLbl val="0"/>
      </c:catAx>
      <c:valAx>
        <c:axId val="3584989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65000"/>
                  <a:alpha val="3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358507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9519331718150615"/>
          <c:y val="0.16301690480964209"/>
          <c:w val="0.23086588935998381"/>
          <c:h val="6.6862849109938172E-2"/>
        </c:manualLayout>
      </c:layout>
      <c:overlay val="0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289775</xdr:colOff>
      <xdr:row>7</xdr:row>
      <xdr:rowOff>55530</xdr:rowOff>
    </xdr:from>
    <xdr:to>
      <xdr:col>25</xdr:col>
      <xdr:colOff>246845</xdr:colOff>
      <xdr:row>39</xdr:row>
      <xdr:rowOff>160986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%20market\nse%20pgp%20gfm\ronak\Unprotected_RSI-ATR-MACD-EMA-H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ata"/>
    </sheetNames>
    <sheetDataSet>
      <sheetData sheetId="0">
        <row r="9">
          <cell r="B9">
            <v>252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49" totalsRowShown="0" headerRowDxfId="7" tableBorderDxfId="6">
  <tableColumns count="9">
    <tableColumn id="1" xr3:uid="{00000000-0010-0000-0000-000001000000}" name="Date" dataDxfId="5"/>
    <tableColumn id="3" xr3:uid="{38FAE48E-1D67-413B-A082-E6F029496E5D}" name="Open" dataDxfId="1"/>
    <tableColumn id="2" xr3:uid="{C334022C-961D-4A0B-9001-7C38CB0BB6F8}" name="High" dataDxfId="2"/>
    <tableColumn id="4" xr3:uid="{285385FD-6B36-41D8-BAAB-207D0129B1E5}" name="Low" dataDxfId="0"/>
    <tableColumn id="5" xr3:uid="{00000000-0010-0000-0000-000005000000}" name="Close"/>
    <tableColumn id="6" xr3:uid="{00000000-0010-0000-0000-000006000000}" name="Highest High">
      <calculatedColumnFormula>E2-E1</calculatedColumnFormula>
    </tableColumn>
    <tableColumn id="7" xr3:uid="{00000000-0010-0000-0000-000007000000}" name="Lowest Low">
      <calculatedColumnFormula>IF(F2&gt;0,F2,0)</calculatedColumnFormula>
    </tableColumn>
    <tableColumn id="8" xr3:uid="{00000000-0010-0000-0000-000008000000}" name="%K" dataDxfId="4">
      <calculatedColumnFormula>F2-G2</calculatedColumnFormula>
    </tableColumn>
    <tableColumn id="9" xr3:uid="{00000000-0010-0000-0000-000009000000}" name="%D" dataDxfId="3">
      <calculatedColumnFormula>(I1*13+G2 )/14</calculatedColumnFormula>
    </tableColumn>
  </tableColumns>
  <tableStyleInfo name="TableStyleLight8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"/>
  <sheetViews>
    <sheetView tabSelected="1" zoomScale="71" zoomScaleNormal="115" workbookViewId="0">
      <pane ySplit="1" topLeftCell="A3" activePane="bottomLeft" state="frozen"/>
      <selection pane="bottomLeft" activeCell="Z32" sqref="Z32"/>
    </sheetView>
  </sheetViews>
  <sheetFormatPr defaultRowHeight="13.8" x14ac:dyDescent="0.25"/>
  <cols>
    <col min="1" max="5" width="12.59765625" customWidth="1"/>
    <col min="6" max="6" width="9.796875" customWidth="1"/>
    <col min="9" max="9" width="11.8984375" customWidth="1"/>
  </cols>
  <sheetData>
    <row r="1" spans="1:9" ht="31.2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1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44818</v>
      </c>
      <c r="B2">
        <v>17771.150000000001</v>
      </c>
      <c r="C2">
        <v>18091.55</v>
      </c>
      <c r="D2">
        <v>17771.150000000001</v>
      </c>
      <c r="E2">
        <v>18003.75</v>
      </c>
    </row>
    <row r="3" spans="1:9" x14ac:dyDescent="0.25">
      <c r="A3" s="1">
        <v>44819</v>
      </c>
      <c r="B3">
        <v>18046.349999999999</v>
      </c>
      <c r="C3">
        <v>18096.150000000001</v>
      </c>
      <c r="D3">
        <v>17861.5</v>
      </c>
      <c r="E3">
        <v>17877.400000000001</v>
      </c>
    </row>
    <row r="4" spans="1:9" x14ac:dyDescent="0.25">
      <c r="A4" s="1">
        <v>44820</v>
      </c>
      <c r="B4">
        <v>17796.8</v>
      </c>
      <c r="C4">
        <v>17820.05</v>
      </c>
      <c r="D4">
        <v>17497.25</v>
      </c>
      <c r="E4">
        <v>17530.849999999999</v>
      </c>
    </row>
    <row r="5" spans="1:9" x14ac:dyDescent="0.25">
      <c r="A5" s="1">
        <v>44823</v>
      </c>
      <c r="B5">
        <v>17540.650000000001</v>
      </c>
      <c r="C5">
        <v>17667.2</v>
      </c>
      <c r="D5">
        <v>17429.7</v>
      </c>
      <c r="E5">
        <v>17622.25</v>
      </c>
    </row>
    <row r="6" spans="1:9" x14ac:dyDescent="0.25">
      <c r="A6" s="1">
        <v>44824</v>
      </c>
      <c r="B6">
        <v>17770.400000000001</v>
      </c>
      <c r="C6">
        <v>17919.3</v>
      </c>
      <c r="D6">
        <v>17744.400000000001</v>
      </c>
      <c r="E6">
        <v>17816.25</v>
      </c>
    </row>
    <row r="7" spans="1:9" x14ac:dyDescent="0.25">
      <c r="A7" s="1">
        <v>44825</v>
      </c>
      <c r="B7">
        <v>17766.349999999999</v>
      </c>
      <c r="C7">
        <v>17838.7</v>
      </c>
      <c r="D7">
        <v>17663.599999999999</v>
      </c>
      <c r="E7">
        <v>17718.349999999999</v>
      </c>
    </row>
    <row r="8" spans="1:9" x14ac:dyDescent="0.25">
      <c r="A8" s="1">
        <v>44826</v>
      </c>
      <c r="B8">
        <v>17609.650000000001</v>
      </c>
      <c r="C8">
        <v>17722.75</v>
      </c>
      <c r="D8">
        <v>17532.45</v>
      </c>
      <c r="E8">
        <v>17629.8</v>
      </c>
    </row>
    <row r="9" spans="1:9" x14ac:dyDescent="0.25">
      <c r="A9" s="1">
        <v>44827</v>
      </c>
      <c r="B9">
        <v>17593.849999999999</v>
      </c>
      <c r="C9">
        <v>17642.150000000001</v>
      </c>
      <c r="D9">
        <v>17291.650000000001</v>
      </c>
      <c r="E9">
        <v>17327.349999999999</v>
      </c>
    </row>
    <row r="10" spans="1:9" x14ac:dyDescent="0.25">
      <c r="A10" s="1">
        <v>44830</v>
      </c>
      <c r="B10">
        <v>17156.3</v>
      </c>
      <c r="C10">
        <v>17196.400000000001</v>
      </c>
      <c r="D10">
        <v>16978.3</v>
      </c>
      <c r="E10">
        <v>17016.3</v>
      </c>
    </row>
    <row r="11" spans="1:9" x14ac:dyDescent="0.25">
      <c r="A11" s="1">
        <v>44831</v>
      </c>
      <c r="B11">
        <v>17110.900000000001</v>
      </c>
      <c r="C11">
        <v>17176.45</v>
      </c>
      <c r="D11">
        <v>16942.349999999999</v>
      </c>
      <c r="E11">
        <v>17007.400000000001</v>
      </c>
    </row>
    <row r="12" spans="1:9" x14ac:dyDescent="0.25">
      <c r="A12" s="1">
        <v>44832</v>
      </c>
      <c r="B12">
        <v>16870.55</v>
      </c>
      <c r="C12">
        <v>17037.599999999999</v>
      </c>
      <c r="D12">
        <v>16820.400000000001</v>
      </c>
      <c r="E12">
        <v>16858.599999999999</v>
      </c>
    </row>
    <row r="13" spans="1:9" x14ac:dyDescent="0.25">
      <c r="A13" s="1">
        <v>44833</v>
      </c>
      <c r="B13">
        <v>16993.599999999999</v>
      </c>
      <c r="C13">
        <v>17026.05</v>
      </c>
      <c r="D13">
        <v>16788.599999999999</v>
      </c>
      <c r="E13">
        <v>16818.099999999999</v>
      </c>
    </row>
    <row r="14" spans="1:9" x14ac:dyDescent="0.25">
      <c r="A14" s="1">
        <v>44834</v>
      </c>
      <c r="B14">
        <v>16798.05</v>
      </c>
      <c r="C14">
        <v>17187.099999999999</v>
      </c>
      <c r="D14">
        <v>16747.7</v>
      </c>
      <c r="E14">
        <v>17094.349999999999</v>
      </c>
    </row>
    <row r="15" spans="1:9" x14ac:dyDescent="0.25">
      <c r="A15" s="1">
        <v>44837</v>
      </c>
      <c r="B15">
        <v>17102.099999999999</v>
      </c>
      <c r="C15">
        <v>17114.650000000001</v>
      </c>
      <c r="D15">
        <v>16855.55</v>
      </c>
      <c r="E15">
        <v>16887.349999999999</v>
      </c>
      <c r="F15">
        <f>MAX(C2:C15)</f>
        <v>18096.150000000001</v>
      </c>
      <c r="G15">
        <f>MIN(D2:D15)</f>
        <v>16747.7</v>
      </c>
      <c r="H15">
        <f>(E15-G15)*100/(F15-G15)</f>
        <v>10.356335051355092</v>
      </c>
    </row>
    <row r="16" spans="1:9" x14ac:dyDescent="0.25">
      <c r="A16" s="1">
        <v>44838</v>
      </c>
      <c r="B16">
        <v>17147.45</v>
      </c>
      <c r="C16">
        <v>17287.3</v>
      </c>
      <c r="D16">
        <v>17117.3</v>
      </c>
      <c r="E16">
        <v>17274.3</v>
      </c>
      <c r="F16">
        <f t="shared" ref="F16:F79" si="0">MAX(C3:C16)</f>
        <v>18096.150000000001</v>
      </c>
      <c r="G16">
        <f t="shared" ref="G16:G79" si="1">MIN(D3:D16)</f>
        <v>16747.7</v>
      </c>
      <c r="H16">
        <f>(E16-G16)*100/(F16-G16)</f>
        <v>39.052245170380679</v>
      </c>
      <c r="I16" s="2"/>
    </row>
    <row r="17" spans="1:9" x14ac:dyDescent="0.25">
      <c r="A17" s="1">
        <v>44840</v>
      </c>
      <c r="B17">
        <v>17379.25</v>
      </c>
      <c r="C17">
        <v>17428.8</v>
      </c>
      <c r="D17">
        <v>17315.650000000001</v>
      </c>
      <c r="E17">
        <v>17331.8</v>
      </c>
      <c r="F17">
        <f t="shared" si="0"/>
        <v>17919.3</v>
      </c>
      <c r="G17">
        <f t="shared" si="1"/>
        <v>16747.7</v>
      </c>
      <c r="H17">
        <f t="shared" ref="H17" si="2">(E17-G17)*100/(F17-G17)</f>
        <v>49.854899283031692</v>
      </c>
      <c r="I17" s="2">
        <f>AVERAGE(H15:H17)</f>
        <v>33.087826501589156</v>
      </c>
    </row>
    <row r="18" spans="1:9" x14ac:dyDescent="0.25">
      <c r="A18" s="1">
        <v>44841</v>
      </c>
      <c r="B18">
        <v>17287.2</v>
      </c>
      <c r="C18">
        <v>17337.349999999999</v>
      </c>
      <c r="D18">
        <v>17216.95</v>
      </c>
      <c r="E18">
        <v>17314.650000000001</v>
      </c>
      <c r="F18">
        <f t="shared" si="0"/>
        <v>17919.3</v>
      </c>
      <c r="G18">
        <f t="shared" si="1"/>
        <v>16747.7</v>
      </c>
      <c r="H18">
        <f t="shared" ref="H18:H81" si="3">(E18-G18)*100/(F18-G18)</f>
        <v>48.391089108911011</v>
      </c>
      <c r="I18" s="2">
        <f t="shared" ref="I18:I81" si="4">AVERAGE(H16:H18)</f>
        <v>45.766077854107799</v>
      </c>
    </row>
    <row r="19" spans="1:9" x14ac:dyDescent="0.25">
      <c r="A19" s="1">
        <v>44844</v>
      </c>
      <c r="B19">
        <v>17094.349999999999</v>
      </c>
      <c r="C19">
        <v>17280.150000000001</v>
      </c>
      <c r="D19">
        <v>17064.7</v>
      </c>
      <c r="E19">
        <v>17241</v>
      </c>
      <c r="F19">
        <f t="shared" si="0"/>
        <v>17919.3</v>
      </c>
      <c r="G19">
        <f t="shared" si="1"/>
        <v>16747.7</v>
      </c>
      <c r="H19">
        <f t="shared" si="3"/>
        <v>42.104813929668822</v>
      </c>
      <c r="I19" s="2">
        <f t="shared" si="4"/>
        <v>46.783600773870511</v>
      </c>
    </row>
    <row r="20" spans="1:9" x14ac:dyDescent="0.25">
      <c r="A20" s="1">
        <v>44845</v>
      </c>
      <c r="B20">
        <v>17256.05</v>
      </c>
      <c r="C20">
        <v>17261.8</v>
      </c>
      <c r="D20">
        <v>16950.3</v>
      </c>
      <c r="E20">
        <v>16983.55</v>
      </c>
      <c r="F20">
        <f t="shared" si="0"/>
        <v>17838.7</v>
      </c>
      <c r="G20">
        <f t="shared" si="1"/>
        <v>16747.7</v>
      </c>
      <c r="H20">
        <f t="shared" si="3"/>
        <v>21.617781851512241</v>
      </c>
      <c r="I20" s="2">
        <f t="shared" si="4"/>
        <v>37.371228296697353</v>
      </c>
    </row>
    <row r="21" spans="1:9" x14ac:dyDescent="0.25">
      <c r="A21" s="1">
        <v>44846</v>
      </c>
      <c r="B21">
        <v>17025.55</v>
      </c>
      <c r="C21">
        <v>17142.349999999999</v>
      </c>
      <c r="D21">
        <v>16960.05</v>
      </c>
      <c r="E21">
        <v>17123.599999999999</v>
      </c>
      <c r="F21">
        <f t="shared" si="0"/>
        <v>17722.75</v>
      </c>
      <c r="G21">
        <f t="shared" si="1"/>
        <v>16747.7</v>
      </c>
      <c r="H21">
        <f t="shared" si="3"/>
        <v>38.551869134915961</v>
      </c>
      <c r="I21" s="2">
        <f t="shared" si="4"/>
        <v>34.091488305365679</v>
      </c>
    </row>
    <row r="22" spans="1:9" x14ac:dyDescent="0.25">
      <c r="A22" s="1">
        <v>44847</v>
      </c>
      <c r="B22">
        <v>17087.349999999999</v>
      </c>
      <c r="C22">
        <v>17112.349999999999</v>
      </c>
      <c r="D22">
        <v>16956.95</v>
      </c>
      <c r="E22">
        <v>17014.349999999999</v>
      </c>
      <c r="F22">
        <f t="shared" si="0"/>
        <v>17642.150000000001</v>
      </c>
      <c r="G22">
        <f t="shared" si="1"/>
        <v>16747.7</v>
      </c>
      <c r="H22">
        <f t="shared" si="3"/>
        <v>29.811616076918508</v>
      </c>
      <c r="I22" s="2">
        <f t="shared" si="4"/>
        <v>29.993755687782237</v>
      </c>
    </row>
    <row r="23" spans="1:9" x14ac:dyDescent="0.25">
      <c r="A23" s="1">
        <v>44848</v>
      </c>
      <c r="B23">
        <v>17322.3</v>
      </c>
      <c r="C23">
        <v>17348.55</v>
      </c>
      <c r="D23">
        <v>17169.75</v>
      </c>
      <c r="E23">
        <v>17185.7</v>
      </c>
      <c r="F23">
        <f t="shared" si="0"/>
        <v>17428.8</v>
      </c>
      <c r="G23">
        <f t="shared" si="1"/>
        <v>16747.7</v>
      </c>
      <c r="H23">
        <f t="shared" si="3"/>
        <v>64.30773748348274</v>
      </c>
      <c r="I23" s="2">
        <f t="shared" si="4"/>
        <v>44.223740898439075</v>
      </c>
    </row>
    <row r="24" spans="1:9" x14ac:dyDescent="0.25">
      <c r="A24" s="1">
        <v>44851</v>
      </c>
      <c r="B24">
        <v>17144.8</v>
      </c>
      <c r="C24">
        <v>17328.55</v>
      </c>
      <c r="D24">
        <v>17098.55</v>
      </c>
      <c r="E24">
        <v>17311.8</v>
      </c>
      <c r="F24">
        <f t="shared" si="0"/>
        <v>17428.8</v>
      </c>
      <c r="G24">
        <f t="shared" si="1"/>
        <v>16747.7</v>
      </c>
      <c r="H24">
        <f t="shared" si="3"/>
        <v>82.821905740713518</v>
      </c>
      <c r="I24" s="2">
        <f t="shared" si="4"/>
        <v>58.980419767038256</v>
      </c>
    </row>
    <row r="25" spans="1:9" x14ac:dyDescent="0.25">
      <c r="A25" s="1">
        <v>44852</v>
      </c>
      <c r="B25">
        <v>17438.75</v>
      </c>
      <c r="C25">
        <v>17527.8</v>
      </c>
      <c r="D25">
        <v>17434.05</v>
      </c>
      <c r="E25">
        <v>17486.95</v>
      </c>
      <c r="F25">
        <f t="shared" si="0"/>
        <v>17527.8</v>
      </c>
      <c r="G25">
        <f t="shared" si="1"/>
        <v>16747.7</v>
      </c>
      <c r="H25">
        <f t="shared" si="3"/>
        <v>94.763491860018121</v>
      </c>
      <c r="I25" s="2">
        <f t="shared" si="4"/>
        <v>80.631045028071455</v>
      </c>
    </row>
    <row r="26" spans="1:9" x14ac:dyDescent="0.25">
      <c r="A26" s="1">
        <v>44853</v>
      </c>
      <c r="B26">
        <v>17568.150000000001</v>
      </c>
      <c r="C26">
        <v>17607.599999999999</v>
      </c>
      <c r="D26">
        <v>17472.849999999999</v>
      </c>
      <c r="E26">
        <v>17512.25</v>
      </c>
      <c r="F26">
        <f t="shared" si="0"/>
        <v>17607.599999999999</v>
      </c>
      <c r="G26">
        <f t="shared" si="1"/>
        <v>16747.7</v>
      </c>
      <c r="H26">
        <f t="shared" si="3"/>
        <v>88.911501337364953</v>
      </c>
      <c r="I26" s="2">
        <f t="shared" si="4"/>
        <v>88.832299646032197</v>
      </c>
    </row>
    <row r="27" spans="1:9" x14ac:dyDescent="0.25">
      <c r="A27" s="1">
        <v>44854</v>
      </c>
      <c r="B27">
        <v>17423.099999999999</v>
      </c>
      <c r="C27">
        <v>17584.150000000001</v>
      </c>
      <c r="D27">
        <v>17421</v>
      </c>
      <c r="E27">
        <v>17563.95</v>
      </c>
      <c r="F27">
        <f t="shared" si="0"/>
        <v>17607.599999999999</v>
      </c>
      <c r="G27">
        <f t="shared" si="1"/>
        <v>16747.7</v>
      </c>
      <c r="H27">
        <f t="shared" si="3"/>
        <v>94.923828352134208</v>
      </c>
      <c r="I27" s="2">
        <f t="shared" si="4"/>
        <v>92.866273849839089</v>
      </c>
    </row>
    <row r="28" spans="1:9" x14ac:dyDescent="0.25">
      <c r="A28" s="1">
        <v>44855</v>
      </c>
      <c r="B28">
        <v>17622.849999999999</v>
      </c>
      <c r="C28">
        <v>17670.150000000001</v>
      </c>
      <c r="D28">
        <v>17520.75</v>
      </c>
      <c r="E28">
        <v>17576.3</v>
      </c>
      <c r="F28">
        <f t="shared" si="0"/>
        <v>17670.150000000001</v>
      </c>
      <c r="G28">
        <f t="shared" si="1"/>
        <v>16855.55</v>
      </c>
      <c r="H28">
        <f t="shared" si="3"/>
        <v>88.479008102135779</v>
      </c>
      <c r="I28" s="2">
        <f t="shared" si="4"/>
        <v>90.771445930544985</v>
      </c>
    </row>
    <row r="29" spans="1:9" x14ac:dyDescent="0.25">
      <c r="A29" s="1">
        <v>44858</v>
      </c>
      <c r="B29">
        <v>17736.349999999999</v>
      </c>
      <c r="C29">
        <v>17777.55</v>
      </c>
      <c r="D29">
        <v>17707.400000000001</v>
      </c>
      <c r="E29">
        <v>17730.75</v>
      </c>
      <c r="F29">
        <f t="shared" si="0"/>
        <v>17777.55</v>
      </c>
      <c r="G29">
        <f t="shared" si="1"/>
        <v>16950.3</v>
      </c>
      <c r="H29">
        <f t="shared" si="3"/>
        <v>94.342701722574887</v>
      </c>
      <c r="I29" s="2">
        <f t="shared" si="4"/>
        <v>92.581846058948301</v>
      </c>
    </row>
    <row r="30" spans="1:9" x14ac:dyDescent="0.25">
      <c r="A30" s="1">
        <v>44859</v>
      </c>
      <c r="B30">
        <v>17808.3</v>
      </c>
      <c r="C30">
        <v>17811.5</v>
      </c>
      <c r="D30">
        <v>17637</v>
      </c>
      <c r="E30">
        <v>17656.349999999999</v>
      </c>
      <c r="F30">
        <f t="shared" si="0"/>
        <v>17811.5</v>
      </c>
      <c r="G30">
        <f t="shared" si="1"/>
        <v>16950.3</v>
      </c>
      <c r="H30">
        <f t="shared" si="3"/>
        <v>81.984440315838214</v>
      </c>
      <c r="I30" s="2">
        <f t="shared" si="4"/>
        <v>88.268716713516298</v>
      </c>
    </row>
    <row r="31" spans="1:9" x14ac:dyDescent="0.25">
      <c r="A31" s="1">
        <v>44861</v>
      </c>
      <c r="B31">
        <v>17771.400000000001</v>
      </c>
      <c r="C31">
        <v>17783.900000000001</v>
      </c>
      <c r="D31">
        <v>17654.5</v>
      </c>
      <c r="E31">
        <v>17736.95</v>
      </c>
      <c r="F31">
        <f t="shared" si="0"/>
        <v>17811.5</v>
      </c>
      <c r="G31">
        <f t="shared" si="1"/>
        <v>16950.3</v>
      </c>
      <c r="H31">
        <f t="shared" si="3"/>
        <v>91.343474222015885</v>
      </c>
      <c r="I31" s="2">
        <f t="shared" si="4"/>
        <v>89.223538753476348</v>
      </c>
    </row>
    <row r="32" spans="1:9" x14ac:dyDescent="0.25">
      <c r="A32" s="1">
        <v>44862</v>
      </c>
      <c r="B32">
        <v>17756.400000000001</v>
      </c>
      <c r="C32">
        <v>17838.900000000001</v>
      </c>
      <c r="D32">
        <v>17723.7</v>
      </c>
      <c r="E32">
        <v>17786.8</v>
      </c>
      <c r="F32">
        <f t="shared" si="0"/>
        <v>17838.900000000001</v>
      </c>
      <c r="G32">
        <f t="shared" si="1"/>
        <v>16950.3</v>
      </c>
      <c r="H32">
        <f t="shared" si="3"/>
        <v>94.136844474453966</v>
      </c>
      <c r="I32" s="2">
        <f t="shared" si="4"/>
        <v>89.154919670769345</v>
      </c>
    </row>
    <row r="33" spans="1:9" x14ac:dyDescent="0.25">
      <c r="A33" s="1">
        <v>44865</v>
      </c>
      <c r="B33">
        <v>17910.2</v>
      </c>
      <c r="C33">
        <v>18022.8</v>
      </c>
      <c r="D33">
        <v>17899.900000000001</v>
      </c>
      <c r="E33">
        <v>18012.2</v>
      </c>
      <c r="F33">
        <f t="shared" si="0"/>
        <v>18022.8</v>
      </c>
      <c r="G33">
        <f t="shared" si="1"/>
        <v>16950.3</v>
      </c>
      <c r="H33">
        <f t="shared" si="3"/>
        <v>99.011655011655151</v>
      </c>
      <c r="I33" s="2">
        <f t="shared" si="4"/>
        <v>94.830657902708325</v>
      </c>
    </row>
    <row r="34" spans="1:9" x14ac:dyDescent="0.25">
      <c r="A34" s="1">
        <v>44866</v>
      </c>
      <c r="B34">
        <v>18130.7</v>
      </c>
      <c r="C34">
        <v>18175.8</v>
      </c>
      <c r="D34">
        <v>18060.150000000001</v>
      </c>
      <c r="E34">
        <v>18145.400000000001</v>
      </c>
      <c r="F34">
        <f t="shared" si="0"/>
        <v>18175.8</v>
      </c>
      <c r="G34">
        <f t="shared" si="1"/>
        <v>16956.95</v>
      </c>
      <c r="H34">
        <f t="shared" si="3"/>
        <v>97.505845674201268</v>
      </c>
      <c r="I34" s="2">
        <f t="shared" si="4"/>
        <v>96.884781720103476</v>
      </c>
    </row>
    <row r="35" spans="1:9" x14ac:dyDescent="0.25">
      <c r="A35" s="1">
        <v>44867</v>
      </c>
      <c r="B35">
        <v>18177.900000000001</v>
      </c>
      <c r="C35">
        <v>18178.75</v>
      </c>
      <c r="D35">
        <v>18048.650000000001</v>
      </c>
      <c r="E35">
        <v>18082.849999999999</v>
      </c>
      <c r="F35">
        <f t="shared" si="0"/>
        <v>18178.75</v>
      </c>
      <c r="G35">
        <f t="shared" si="1"/>
        <v>16956.95</v>
      </c>
      <c r="H35">
        <f t="shared" si="3"/>
        <v>92.150924864953225</v>
      </c>
      <c r="I35" s="2">
        <f t="shared" si="4"/>
        <v>96.222808516936539</v>
      </c>
    </row>
    <row r="36" spans="1:9" x14ac:dyDescent="0.25">
      <c r="A36" s="1">
        <v>44868</v>
      </c>
      <c r="B36">
        <v>17968.349999999999</v>
      </c>
      <c r="C36">
        <v>18106.3</v>
      </c>
      <c r="D36">
        <v>17959.2</v>
      </c>
      <c r="E36">
        <v>18052.7</v>
      </c>
      <c r="F36">
        <f t="shared" si="0"/>
        <v>18178.75</v>
      </c>
      <c r="G36">
        <f t="shared" si="1"/>
        <v>17098.55</v>
      </c>
      <c r="H36">
        <f t="shared" si="3"/>
        <v>88.330864654693656</v>
      </c>
      <c r="I36" s="2">
        <f t="shared" si="4"/>
        <v>92.66254506461604</v>
      </c>
    </row>
    <row r="37" spans="1:9" x14ac:dyDescent="0.25">
      <c r="A37" s="1">
        <v>44869</v>
      </c>
      <c r="B37">
        <v>18053.400000000001</v>
      </c>
      <c r="C37">
        <v>18135.099999999999</v>
      </c>
      <c r="D37">
        <v>18017.150000000001</v>
      </c>
      <c r="E37">
        <v>18117.150000000001</v>
      </c>
      <c r="F37">
        <f t="shared" si="0"/>
        <v>18178.75</v>
      </c>
      <c r="G37">
        <f t="shared" si="1"/>
        <v>17098.55</v>
      </c>
      <c r="H37">
        <f t="shared" si="3"/>
        <v>94.297352342159002</v>
      </c>
      <c r="I37" s="2">
        <f t="shared" si="4"/>
        <v>91.593047287268632</v>
      </c>
    </row>
    <row r="38" spans="1:9" x14ac:dyDescent="0.25">
      <c r="A38" s="1">
        <v>44872</v>
      </c>
      <c r="B38">
        <v>18211.75</v>
      </c>
      <c r="C38">
        <v>18255.5</v>
      </c>
      <c r="D38">
        <v>18064.75</v>
      </c>
      <c r="E38">
        <v>18202.8</v>
      </c>
      <c r="F38">
        <f t="shared" si="0"/>
        <v>18255.5</v>
      </c>
      <c r="G38">
        <f t="shared" si="1"/>
        <v>17421</v>
      </c>
      <c r="H38">
        <f t="shared" si="3"/>
        <v>93.684841222288711</v>
      </c>
      <c r="I38" s="2">
        <f t="shared" si="4"/>
        <v>92.104352739713775</v>
      </c>
    </row>
    <row r="39" spans="1:9" x14ac:dyDescent="0.25">
      <c r="A39" s="1">
        <v>44874</v>
      </c>
      <c r="B39">
        <v>18288.25</v>
      </c>
      <c r="C39">
        <v>18296.400000000001</v>
      </c>
      <c r="D39">
        <v>18117.5</v>
      </c>
      <c r="E39">
        <v>18157</v>
      </c>
      <c r="F39">
        <f t="shared" si="0"/>
        <v>18296.400000000001</v>
      </c>
      <c r="G39">
        <f t="shared" si="1"/>
        <v>17421</v>
      </c>
      <c r="H39">
        <f t="shared" si="3"/>
        <v>84.07585103952465</v>
      </c>
      <c r="I39" s="2">
        <f t="shared" si="4"/>
        <v>90.686014867990778</v>
      </c>
    </row>
    <row r="40" spans="1:9" x14ac:dyDescent="0.25">
      <c r="A40" s="1">
        <v>44875</v>
      </c>
      <c r="B40">
        <v>18044.349999999999</v>
      </c>
      <c r="C40">
        <v>18103.099999999999</v>
      </c>
      <c r="D40">
        <v>17969.400000000001</v>
      </c>
      <c r="E40">
        <v>18028.2</v>
      </c>
      <c r="F40">
        <f t="shared" si="0"/>
        <v>18296.400000000001</v>
      </c>
      <c r="G40">
        <f t="shared" si="1"/>
        <v>17421</v>
      </c>
      <c r="H40">
        <f t="shared" si="3"/>
        <v>69.362577107607919</v>
      </c>
      <c r="I40" s="2">
        <f t="shared" si="4"/>
        <v>82.374423123140431</v>
      </c>
    </row>
    <row r="41" spans="1:9" x14ac:dyDescent="0.25">
      <c r="A41" s="1">
        <v>44876</v>
      </c>
      <c r="B41">
        <v>18272.349999999999</v>
      </c>
      <c r="C41">
        <v>18362.3</v>
      </c>
      <c r="D41">
        <v>18259.349999999999</v>
      </c>
      <c r="E41">
        <v>18349.7</v>
      </c>
      <c r="F41">
        <f t="shared" si="0"/>
        <v>18362.3</v>
      </c>
      <c r="G41">
        <f t="shared" si="1"/>
        <v>17520.75</v>
      </c>
      <c r="H41">
        <f t="shared" si="3"/>
        <v>98.502762759194511</v>
      </c>
      <c r="I41" s="2">
        <f t="shared" si="4"/>
        <v>83.980396968775707</v>
      </c>
    </row>
    <row r="42" spans="1:9" x14ac:dyDescent="0.25">
      <c r="A42" s="1">
        <v>44880</v>
      </c>
      <c r="B42">
        <v>18362.75</v>
      </c>
      <c r="C42">
        <v>18427.95</v>
      </c>
      <c r="D42">
        <v>18282</v>
      </c>
      <c r="E42">
        <v>18403.400000000001</v>
      </c>
      <c r="F42">
        <f t="shared" si="0"/>
        <v>18427.95</v>
      </c>
      <c r="G42">
        <f t="shared" si="1"/>
        <v>17637</v>
      </c>
      <c r="H42">
        <f t="shared" si="3"/>
        <v>96.896137556103511</v>
      </c>
      <c r="I42" s="2">
        <f t="shared" si="4"/>
        <v>88.253825807635323</v>
      </c>
    </row>
    <row r="43" spans="1:9" x14ac:dyDescent="0.25">
      <c r="A43" s="1">
        <v>44881</v>
      </c>
      <c r="B43">
        <v>18398.25</v>
      </c>
      <c r="C43">
        <v>18442.150000000001</v>
      </c>
      <c r="D43">
        <v>18344.150000000001</v>
      </c>
      <c r="E43">
        <v>18409.650000000001</v>
      </c>
      <c r="F43">
        <f t="shared" si="0"/>
        <v>18442.150000000001</v>
      </c>
      <c r="G43">
        <f t="shared" si="1"/>
        <v>17637</v>
      </c>
      <c r="H43">
        <f t="shared" si="3"/>
        <v>95.963485064894741</v>
      </c>
      <c r="I43" s="2">
        <f t="shared" si="4"/>
        <v>97.120795126730926</v>
      </c>
    </row>
    <row r="44" spans="1:9" x14ac:dyDescent="0.25">
      <c r="A44" s="1">
        <v>44882</v>
      </c>
      <c r="B44">
        <v>18358.7</v>
      </c>
      <c r="C44">
        <v>18417.599999999999</v>
      </c>
      <c r="D44">
        <v>18312.95</v>
      </c>
      <c r="E44">
        <v>18343.900000000001</v>
      </c>
      <c r="F44">
        <f t="shared" si="0"/>
        <v>18442.150000000001</v>
      </c>
      <c r="G44">
        <f t="shared" si="1"/>
        <v>17654.5</v>
      </c>
      <c r="H44">
        <f t="shared" si="3"/>
        <v>87.526185488478404</v>
      </c>
      <c r="I44" s="2">
        <f t="shared" si="4"/>
        <v>93.461936036492219</v>
      </c>
    </row>
    <row r="45" spans="1:9" x14ac:dyDescent="0.25">
      <c r="A45" s="1">
        <v>44883</v>
      </c>
      <c r="B45">
        <v>18382.95</v>
      </c>
      <c r="C45">
        <v>18394.599999999999</v>
      </c>
      <c r="D45">
        <v>18209.8</v>
      </c>
      <c r="E45">
        <v>18307.650000000001</v>
      </c>
      <c r="F45">
        <f t="shared" si="0"/>
        <v>18442.150000000001</v>
      </c>
      <c r="G45">
        <f t="shared" si="1"/>
        <v>17723.7</v>
      </c>
      <c r="H45">
        <f t="shared" si="3"/>
        <v>81.279142598649884</v>
      </c>
      <c r="I45" s="2">
        <f t="shared" si="4"/>
        <v>88.256271050674343</v>
      </c>
    </row>
    <row r="46" spans="1:9" x14ac:dyDescent="0.25">
      <c r="A46" s="1">
        <v>44886</v>
      </c>
      <c r="B46">
        <v>18246.400000000001</v>
      </c>
      <c r="C46">
        <v>18262.3</v>
      </c>
      <c r="D46">
        <v>18133.349999999999</v>
      </c>
      <c r="E46">
        <v>18159.95</v>
      </c>
      <c r="F46">
        <f t="shared" si="0"/>
        <v>18442.150000000001</v>
      </c>
      <c r="G46">
        <f t="shared" si="1"/>
        <v>17899.900000000001</v>
      </c>
      <c r="H46">
        <f t="shared" si="3"/>
        <v>47.957584140156619</v>
      </c>
      <c r="I46" s="2">
        <f t="shared" si="4"/>
        <v>72.254304075761638</v>
      </c>
    </row>
    <row r="47" spans="1:9" x14ac:dyDescent="0.25">
      <c r="A47" s="1">
        <v>44887</v>
      </c>
      <c r="B47">
        <v>18179.150000000001</v>
      </c>
      <c r="C47">
        <v>18261.849999999999</v>
      </c>
      <c r="D47">
        <v>18137.7</v>
      </c>
      <c r="E47">
        <v>18244.2</v>
      </c>
      <c r="F47">
        <f t="shared" si="0"/>
        <v>18442.150000000001</v>
      </c>
      <c r="G47">
        <f t="shared" si="1"/>
        <v>17959.2</v>
      </c>
      <c r="H47">
        <f t="shared" si="3"/>
        <v>59.012320115953941</v>
      </c>
      <c r="I47" s="2">
        <f t="shared" si="4"/>
        <v>62.749682284920148</v>
      </c>
    </row>
    <row r="48" spans="1:9" x14ac:dyDescent="0.25">
      <c r="A48" s="1">
        <v>44888</v>
      </c>
      <c r="B48">
        <v>18325.2</v>
      </c>
      <c r="C48">
        <v>18325.400000000001</v>
      </c>
      <c r="D48">
        <v>18246</v>
      </c>
      <c r="E48">
        <v>18267.25</v>
      </c>
      <c r="F48">
        <f t="shared" si="0"/>
        <v>18442.150000000001</v>
      </c>
      <c r="G48">
        <f t="shared" si="1"/>
        <v>17959.2</v>
      </c>
      <c r="H48">
        <f t="shared" si="3"/>
        <v>63.785070918314275</v>
      </c>
      <c r="I48" s="2">
        <f t="shared" si="4"/>
        <v>56.918325058141612</v>
      </c>
    </row>
    <row r="49" spans="1:9" x14ac:dyDescent="0.25">
      <c r="A49" s="1">
        <v>44889</v>
      </c>
      <c r="B49">
        <v>18326.099999999999</v>
      </c>
      <c r="C49">
        <v>18529.7</v>
      </c>
      <c r="D49">
        <v>18294.25</v>
      </c>
      <c r="E49">
        <v>18484.099999999999</v>
      </c>
      <c r="F49">
        <f t="shared" si="0"/>
        <v>18529.7</v>
      </c>
      <c r="G49">
        <f t="shared" si="1"/>
        <v>17959.2</v>
      </c>
      <c r="H49">
        <f t="shared" si="3"/>
        <v>92.007011393514077</v>
      </c>
      <c r="I49" s="2">
        <f t="shared" si="4"/>
        <v>71.601467475927436</v>
      </c>
    </row>
    <row r="50" spans="1:9" x14ac:dyDescent="0.25">
      <c r="A50" s="1">
        <v>44890</v>
      </c>
      <c r="B50">
        <v>18528.45</v>
      </c>
      <c r="C50">
        <v>18534.900000000001</v>
      </c>
      <c r="D50">
        <v>18445.099999999999</v>
      </c>
      <c r="E50">
        <v>18512.75</v>
      </c>
      <c r="F50">
        <f t="shared" si="0"/>
        <v>18534.900000000001</v>
      </c>
      <c r="G50">
        <f t="shared" si="1"/>
        <v>17969.400000000001</v>
      </c>
      <c r="H50">
        <f t="shared" si="3"/>
        <v>96.083112290008586</v>
      </c>
      <c r="I50" s="2">
        <f t="shared" si="4"/>
        <v>83.958398200612308</v>
      </c>
    </row>
    <row r="51" spans="1:9" x14ac:dyDescent="0.25">
      <c r="A51" s="1">
        <v>44893</v>
      </c>
      <c r="B51">
        <v>18430.55</v>
      </c>
      <c r="C51">
        <v>18614.25</v>
      </c>
      <c r="D51">
        <v>18365.599999999999</v>
      </c>
      <c r="E51">
        <v>18562.75</v>
      </c>
      <c r="F51">
        <f t="shared" si="0"/>
        <v>18614.25</v>
      </c>
      <c r="G51">
        <f t="shared" si="1"/>
        <v>17969.400000000001</v>
      </c>
      <c r="H51">
        <f t="shared" si="3"/>
        <v>92.013646584476987</v>
      </c>
      <c r="I51" s="2">
        <f t="shared" si="4"/>
        <v>93.36792342266655</v>
      </c>
    </row>
    <row r="52" spans="1:9" x14ac:dyDescent="0.25">
      <c r="A52" s="1">
        <v>44894</v>
      </c>
      <c r="B52">
        <v>18552.45</v>
      </c>
      <c r="C52">
        <v>18678.099999999999</v>
      </c>
      <c r="D52">
        <v>18552.150000000001</v>
      </c>
      <c r="E52">
        <v>18618.05</v>
      </c>
      <c r="F52">
        <f t="shared" si="0"/>
        <v>18678.099999999999</v>
      </c>
      <c r="G52">
        <f t="shared" si="1"/>
        <v>17969.400000000001</v>
      </c>
      <c r="H52">
        <f t="shared" si="3"/>
        <v>91.526739099760192</v>
      </c>
      <c r="I52" s="2">
        <f t="shared" si="4"/>
        <v>93.207832658081927</v>
      </c>
    </row>
    <row r="53" spans="1:9" x14ac:dyDescent="0.25">
      <c r="A53" s="1">
        <v>44895</v>
      </c>
      <c r="B53">
        <v>18625.7</v>
      </c>
      <c r="C53">
        <v>18816.05</v>
      </c>
      <c r="D53">
        <v>18616.55</v>
      </c>
      <c r="E53">
        <v>18758.349999999999</v>
      </c>
      <c r="F53">
        <f t="shared" si="0"/>
        <v>18816.05</v>
      </c>
      <c r="G53">
        <f t="shared" si="1"/>
        <v>17969.400000000001</v>
      </c>
      <c r="H53">
        <f t="shared" si="3"/>
        <v>93.18490521466947</v>
      </c>
      <c r="I53" s="2">
        <f t="shared" si="4"/>
        <v>92.241763632968897</v>
      </c>
    </row>
    <row r="54" spans="1:9" x14ac:dyDescent="0.25">
      <c r="A54" s="1">
        <v>44896</v>
      </c>
      <c r="B54">
        <v>18871.95</v>
      </c>
      <c r="C54">
        <v>18887.599999999999</v>
      </c>
      <c r="D54">
        <v>18778.2</v>
      </c>
      <c r="E54">
        <v>18812.5</v>
      </c>
      <c r="F54">
        <f t="shared" si="0"/>
        <v>18887.599999999999</v>
      </c>
      <c r="G54">
        <f t="shared" si="1"/>
        <v>18133.349999999999</v>
      </c>
      <c r="H54">
        <f t="shared" si="3"/>
        <v>90.04308916141882</v>
      </c>
      <c r="I54" s="2">
        <f t="shared" si="4"/>
        <v>91.584911158616151</v>
      </c>
    </row>
    <row r="55" spans="1:9" x14ac:dyDescent="0.25">
      <c r="A55" s="1">
        <v>44897</v>
      </c>
      <c r="B55">
        <v>18752.400000000001</v>
      </c>
      <c r="C55">
        <v>18781.95</v>
      </c>
      <c r="D55">
        <v>18639.2</v>
      </c>
      <c r="E55">
        <v>18696.099999999999</v>
      </c>
      <c r="F55">
        <f t="shared" si="0"/>
        <v>18887.599999999999</v>
      </c>
      <c r="G55">
        <f t="shared" si="1"/>
        <v>18133.349999999999</v>
      </c>
      <c r="H55">
        <f t="shared" si="3"/>
        <v>74.61054027179317</v>
      </c>
      <c r="I55" s="2">
        <f t="shared" si="4"/>
        <v>85.946178215960501</v>
      </c>
    </row>
    <row r="56" spans="1:9" x14ac:dyDescent="0.25">
      <c r="A56" s="1">
        <v>44900</v>
      </c>
      <c r="B56">
        <v>18719.55</v>
      </c>
      <c r="C56">
        <v>18728.599999999999</v>
      </c>
      <c r="D56">
        <v>18591.349999999999</v>
      </c>
      <c r="E56">
        <v>18701.05</v>
      </c>
      <c r="F56">
        <f t="shared" si="0"/>
        <v>18887.599999999999</v>
      </c>
      <c r="G56">
        <f t="shared" si="1"/>
        <v>18133.349999999999</v>
      </c>
      <c r="H56">
        <f t="shared" si="3"/>
        <v>75.266821345707754</v>
      </c>
      <c r="I56" s="2">
        <f t="shared" si="4"/>
        <v>79.973483592973253</v>
      </c>
    </row>
    <row r="57" spans="1:9" x14ac:dyDescent="0.25">
      <c r="A57" s="1">
        <v>44901</v>
      </c>
      <c r="B57">
        <v>18600.650000000001</v>
      </c>
      <c r="C57">
        <v>18654.900000000001</v>
      </c>
      <c r="D57">
        <v>18577.900000000001</v>
      </c>
      <c r="E57">
        <v>18642.75</v>
      </c>
      <c r="F57">
        <f t="shared" si="0"/>
        <v>18887.599999999999</v>
      </c>
      <c r="G57">
        <f t="shared" si="1"/>
        <v>18133.349999999999</v>
      </c>
      <c r="H57">
        <f t="shared" si="3"/>
        <v>67.537288697381697</v>
      </c>
      <c r="I57" s="2">
        <f t="shared" si="4"/>
        <v>72.471550104960883</v>
      </c>
    </row>
    <row r="58" spans="1:9" x14ac:dyDescent="0.25">
      <c r="A58" s="1">
        <v>44902</v>
      </c>
      <c r="B58">
        <v>18638.849999999999</v>
      </c>
      <c r="C58">
        <v>18668.3</v>
      </c>
      <c r="D58">
        <v>18528.400000000001</v>
      </c>
      <c r="E58">
        <v>18560.5</v>
      </c>
      <c r="F58">
        <f t="shared" si="0"/>
        <v>18887.599999999999</v>
      </c>
      <c r="G58">
        <f t="shared" si="1"/>
        <v>18133.349999999999</v>
      </c>
      <c r="H58">
        <f t="shared" si="3"/>
        <v>56.632416307590518</v>
      </c>
      <c r="I58" s="2">
        <f t="shared" si="4"/>
        <v>66.478842116893318</v>
      </c>
    </row>
    <row r="59" spans="1:9" x14ac:dyDescent="0.25">
      <c r="A59" s="1">
        <v>44903</v>
      </c>
      <c r="B59">
        <v>18570.849999999999</v>
      </c>
      <c r="C59">
        <v>18625</v>
      </c>
      <c r="D59">
        <v>18536.95</v>
      </c>
      <c r="E59">
        <v>18609.349999999999</v>
      </c>
      <c r="F59">
        <f t="shared" si="0"/>
        <v>18887.599999999999</v>
      </c>
      <c r="G59">
        <f t="shared" si="1"/>
        <v>18133.349999999999</v>
      </c>
      <c r="H59">
        <f t="shared" si="3"/>
        <v>63.109048723897914</v>
      </c>
      <c r="I59" s="2">
        <f t="shared" si="4"/>
        <v>62.42625124295671</v>
      </c>
    </row>
    <row r="60" spans="1:9" x14ac:dyDescent="0.25">
      <c r="A60" s="1">
        <v>44904</v>
      </c>
      <c r="B60">
        <v>18662.400000000001</v>
      </c>
      <c r="C60">
        <v>18664.7</v>
      </c>
      <c r="D60">
        <v>18410.099999999999</v>
      </c>
      <c r="E60">
        <v>18496.599999999999</v>
      </c>
      <c r="F60">
        <f t="shared" si="0"/>
        <v>18887.599999999999</v>
      </c>
      <c r="G60">
        <f t="shared" si="1"/>
        <v>18137.7</v>
      </c>
      <c r="H60">
        <f t="shared" si="3"/>
        <v>47.859714628616999</v>
      </c>
      <c r="I60" s="2">
        <f t="shared" si="4"/>
        <v>55.86705988670181</v>
      </c>
    </row>
    <row r="61" spans="1:9" x14ac:dyDescent="0.25">
      <c r="A61" s="1">
        <v>44907</v>
      </c>
      <c r="B61">
        <v>18402.150000000001</v>
      </c>
      <c r="C61">
        <v>18521.55</v>
      </c>
      <c r="D61">
        <v>18345.7</v>
      </c>
      <c r="E61">
        <v>18497.150000000001</v>
      </c>
      <c r="F61">
        <f t="shared" si="0"/>
        <v>18887.599999999999</v>
      </c>
      <c r="G61">
        <f t="shared" si="1"/>
        <v>18246</v>
      </c>
      <c r="H61">
        <f t="shared" si="3"/>
        <v>39.144326683292086</v>
      </c>
      <c r="I61" s="2">
        <f t="shared" si="4"/>
        <v>50.037696678602337</v>
      </c>
    </row>
    <row r="62" spans="1:9" x14ac:dyDescent="0.25">
      <c r="A62" s="1">
        <v>44908</v>
      </c>
      <c r="B62">
        <v>18524.400000000001</v>
      </c>
      <c r="C62">
        <v>18617.25</v>
      </c>
      <c r="D62">
        <v>18490.2</v>
      </c>
      <c r="E62">
        <v>18608</v>
      </c>
      <c r="F62">
        <f t="shared" si="0"/>
        <v>18887.599999999999</v>
      </c>
      <c r="G62">
        <f t="shared" si="1"/>
        <v>18294.25</v>
      </c>
      <c r="H62">
        <f t="shared" si="3"/>
        <v>52.877728153703679</v>
      </c>
      <c r="I62" s="2">
        <f t="shared" si="4"/>
        <v>46.62725648853759</v>
      </c>
    </row>
    <row r="63" spans="1:9" x14ac:dyDescent="0.25">
      <c r="A63" s="1">
        <v>44909</v>
      </c>
      <c r="B63">
        <v>18671.25</v>
      </c>
      <c r="C63">
        <v>18696.099999999999</v>
      </c>
      <c r="D63">
        <v>18632.900000000001</v>
      </c>
      <c r="E63">
        <v>18660.3</v>
      </c>
      <c r="F63">
        <f t="shared" si="0"/>
        <v>18887.599999999999</v>
      </c>
      <c r="G63">
        <f t="shared" si="1"/>
        <v>18345.7</v>
      </c>
      <c r="H63">
        <f t="shared" si="3"/>
        <v>58.054991695884816</v>
      </c>
      <c r="I63" s="2">
        <f t="shared" si="4"/>
        <v>50.025682177626862</v>
      </c>
    </row>
    <row r="64" spans="1:9" x14ac:dyDescent="0.25">
      <c r="A64" s="1">
        <v>44910</v>
      </c>
      <c r="B64">
        <v>18614.400000000001</v>
      </c>
      <c r="C64">
        <v>18652.900000000001</v>
      </c>
      <c r="D64">
        <v>18387.7</v>
      </c>
      <c r="E64">
        <v>18414.900000000001</v>
      </c>
      <c r="F64">
        <f t="shared" si="0"/>
        <v>18887.599999999999</v>
      </c>
      <c r="G64">
        <f t="shared" si="1"/>
        <v>18345.7</v>
      </c>
      <c r="H64">
        <f t="shared" si="3"/>
        <v>12.76988374238808</v>
      </c>
      <c r="I64" s="2">
        <f t="shared" si="4"/>
        <v>41.234201197325525</v>
      </c>
    </row>
    <row r="65" spans="1:9" x14ac:dyDescent="0.25">
      <c r="A65" s="1">
        <v>44911</v>
      </c>
      <c r="B65">
        <v>18319.099999999999</v>
      </c>
      <c r="C65">
        <v>18440.95</v>
      </c>
      <c r="D65">
        <v>18255.150000000001</v>
      </c>
      <c r="E65">
        <v>18269</v>
      </c>
      <c r="F65">
        <f t="shared" si="0"/>
        <v>18887.599999999999</v>
      </c>
      <c r="G65">
        <f t="shared" si="1"/>
        <v>18255.150000000001</v>
      </c>
      <c r="H65">
        <f t="shared" si="3"/>
        <v>2.1898964345005312</v>
      </c>
      <c r="I65" s="2">
        <f t="shared" si="4"/>
        <v>24.338257290924474</v>
      </c>
    </row>
    <row r="66" spans="1:9" x14ac:dyDescent="0.25">
      <c r="A66" s="1">
        <v>44914</v>
      </c>
      <c r="B66">
        <v>18288.099999999999</v>
      </c>
      <c r="C66">
        <v>18431.650000000001</v>
      </c>
      <c r="D66">
        <v>18244.55</v>
      </c>
      <c r="E66">
        <v>18420.45</v>
      </c>
      <c r="F66">
        <f t="shared" si="0"/>
        <v>18887.599999999999</v>
      </c>
      <c r="G66">
        <f t="shared" si="1"/>
        <v>18244.55</v>
      </c>
      <c r="H66">
        <f t="shared" si="3"/>
        <v>27.354016017417255</v>
      </c>
      <c r="I66" s="2">
        <f t="shared" si="4"/>
        <v>14.104598731435289</v>
      </c>
    </row>
    <row r="67" spans="1:9" x14ac:dyDescent="0.25">
      <c r="A67" s="1">
        <v>44915</v>
      </c>
      <c r="B67">
        <v>18340.3</v>
      </c>
      <c r="C67">
        <v>18404.900000000001</v>
      </c>
      <c r="D67">
        <v>18202.650000000001</v>
      </c>
      <c r="E67">
        <v>18385.3</v>
      </c>
      <c r="F67">
        <f t="shared" si="0"/>
        <v>18887.599999999999</v>
      </c>
      <c r="G67">
        <f t="shared" si="1"/>
        <v>18202.650000000001</v>
      </c>
      <c r="H67">
        <f t="shared" si="3"/>
        <v>26.666180013139439</v>
      </c>
      <c r="I67" s="2">
        <f t="shared" si="4"/>
        <v>18.736697488352409</v>
      </c>
    </row>
    <row r="68" spans="1:9" x14ac:dyDescent="0.25">
      <c r="A68" s="1">
        <v>44916</v>
      </c>
      <c r="B68">
        <v>18435.150000000001</v>
      </c>
      <c r="C68">
        <v>18473.349999999999</v>
      </c>
      <c r="D68">
        <v>18162.75</v>
      </c>
      <c r="E68">
        <v>18199.099999999999</v>
      </c>
      <c r="F68">
        <f t="shared" si="0"/>
        <v>18781.95</v>
      </c>
      <c r="G68">
        <f t="shared" si="1"/>
        <v>18162.75</v>
      </c>
      <c r="H68">
        <f t="shared" si="3"/>
        <v>5.8704780361754683</v>
      </c>
      <c r="I68" s="2">
        <f t="shared" si="4"/>
        <v>19.963558022244055</v>
      </c>
    </row>
    <row r="69" spans="1:9" x14ac:dyDescent="0.25">
      <c r="A69" s="1">
        <v>44917</v>
      </c>
      <c r="B69">
        <v>18288.8</v>
      </c>
      <c r="C69">
        <v>18318.75</v>
      </c>
      <c r="D69">
        <v>18068.599999999999</v>
      </c>
      <c r="E69">
        <v>18127.349999999999</v>
      </c>
      <c r="F69">
        <f t="shared" si="0"/>
        <v>18728.599999999999</v>
      </c>
      <c r="G69">
        <f t="shared" si="1"/>
        <v>18068.599999999999</v>
      </c>
      <c r="H69">
        <f t="shared" si="3"/>
        <v>8.9015151515151523</v>
      </c>
      <c r="I69" s="2">
        <f t="shared" si="4"/>
        <v>13.812724400276688</v>
      </c>
    </row>
    <row r="70" spans="1:9" x14ac:dyDescent="0.25">
      <c r="A70" s="1">
        <v>44918</v>
      </c>
      <c r="B70">
        <v>17977.650000000001</v>
      </c>
      <c r="C70">
        <v>18050.45</v>
      </c>
      <c r="D70">
        <v>17779.5</v>
      </c>
      <c r="E70">
        <v>17806.8</v>
      </c>
      <c r="F70">
        <f t="shared" si="0"/>
        <v>18696.099999999999</v>
      </c>
      <c r="G70">
        <f t="shared" si="1"/>
        <v>17779.5</v>
      </c>
      <c r="H70">
        <f t="shared" si="3"/>
        <v>2.9783984289765781</v>
      </c>
      <c r="I70" s="2">
        <f t="shared" si="4"/>
        <v>5.9167972055557323</v>
      </c>
    </row>
    <row r="71" spans="1:9" x14ac:dyDescent="0.25">
      <c r="A71" s="1">
        <v>44921</v>
      </c>
      <c r="B71">
        <v>17830.400000000001</v>
      </c>
      <c r="C71">
        <v>18084.099999999999</v>
      </c>
      <c r="D71">
        <v>17774.25</v>
      </c>
      <c r="E71">
        <v>18014.599999999999</v>
      </c>
      <c r="F71">
        <f t="shared" si="0"/>
        <v>18696.099999999999</v>
      </c>
      <c r="G71">
        <f t="shared" si="1"/>
        <v>17774.25</v>
      </c>
      <c r="H71">
        <f t="shared" si="3"/>
        <v>26.072571459564887</v>
      </c>
      <c r="I71" s="2">
        <f t="shared" si="4"/>
        <v>12.650828346685538</v>
      </c>
    </row>
    <row r="72" spans="1:9" x14ac:dyDescent="0.25">
      <c r="A72" s="1">
        <v>44922</v>
      </c>
      <c r="B72">
        <v>18089.8</v>
      </c>
      <c r="C72">
        <v>18149.25</v>
      </c>
      <c r="D72">
        <v>17967.45</v>
      </c>
      <c r="E72">
        <v>18132.3</v>
      </c>
      <c r="F72">
        <f t="shared" si="0"/>
        <v>18696.099999999999</v>
      </c>
      <c r="G72">
        <f t="shared" si="1"/>
        <v>17774.25</v>
      </c>
      <c r="H72">
        <f t="shared" si="3"/>
        <v>38.840375332212382</v>
      </c>
      <c r="I72" s="2">
        <f t="shared" si="4"/>
        <v>22.630448406917949</v>
      </c>
    </row>
    <row r="73" spans="1:9" x14ac:dyDescent="0.25">
      <c r="A73" s="1">
        <v>44923</v>
      </c>
      <c r="B73">
        <v>18084.75</v>
      </c>
      <c r="C73">
        <v>18173.099999999999</v>
      </c>
      <c r="D73">
        <v>18068.349999999999</v>
      </c>
      <c r="E73">
        <v>18122.5</v>
      </c>
      <c r="F73">
        <f t="shared" si="0"/>
        <v>18696.099999999999</v>
      </c>
      <c r="G73">
        <f t="shared" si="1"/>
        <v>17774.25</v>
      </c>
      <c r="H73">
        <f t="shared" si="3"/>
        <v>37.777295655475463</v>
      </c>
      <c r="I73" s="2">
        <f t="shared" si="4"/>
        <v>34.23008081575091</v>
      </c>
    </row>
    <row r="74" spans="1:9" x14ac:dyDescent="0.25">
      <c r="A74" s="1">
        <v>44924</v>
      </c>
      <c r="B74">
        <v>18045.7</v>
      </c>
      <c r="C74">
        <v>18229.7</v>
      </c>
      <c r="D74">
        <v>17992.8</v>
      </c>
      <c r="E74">
        <v>18191</v>
      </c>
      <c r="F74">
        <f t="shared" si="0"/>
        <v>18696.099999999999</v>
      </c>
      <c r="G74">
        <f t="shared" si="1"/>
        <v>17774.25</v>
      </c>
      <c r="H74">
        <f t="shared" si="3"/>
        <v>45.208005640831011</v>
      </c>
      <c r="I74" s="2">
        <f t="shared" si="4"/>
        <v>40.608558876172957</v>
      </c>
    </row>
    <row r="75" spans="1:9" x14ac:dyDescent="0.25">
      <c r="A75" s="1">
        <v>44925</v>
      </c>
      <c r="B75">
        <v>18259.099999999999</v>
      </c>
      <c r="C75">
        <v>18265.25</v>
      </c>
      <c r="D75">
        <v>18080.3</v>
      </c>
      <c r="E75">
        <v>18105.3</v>
      </c>
      <c r="F75">
        <f t="shared" si="0"/>
        <v>18696.099999999999</v>
      </c>
      <c r="G75">
        <f t="shared" si="1"/>
        <v>17774.25</v>
      </c>
      <c r="H75">
        <f t="shared" si="3"/>
        <v>35.911482345283915</v>
      </c>
      <c r="I75" s="2">
        <f t="shared" si="4"/>
        <v>39.632261213863465</v>
      </c>
    </row>
    <row r="76" spans="1:9" x14ac:dyDescent="0.25">
      <c r="A76" s="1">
        <v>44928</v>
      </c>
      <c r="B76">
        <v>18131.7</v>
      </c>
      <c r="C76">
        <v>18215.150000000001</v>
      </c>
      <c r="D76">
        <v>18086.5</v>
      </c>
      <c r="E76">
        <v>18197.45</v>
      </c>
      <c r="F76">
        <f t="shared" si="0"/>
        <v>18696.099999999999</v>
      </c>
      <c r="G76">
        <f t="shared" si="1"/>
        <v>17774.25</v>
      </c>
      <c r="H76">
        <f t="shared" si="3"/>
        <v>45.907685632152891</v>
      </c>
      <c r="I76" s="2">
        <f t="shared" si="4"/>
        <v>42.342391206089275</v>
      </c>
    </row>
    <row r="77" spans="1:9" x14ac:dyDescent="0.25">
      <c r="A77" s="1">
        <v>44929</v>
      </c>
      <c r="B77">
        <v>18163.2</v>
      </c>
      <c r="C77">
        <v>18251.95</v>
      </c>
      <c r="D77">
        <v>18149.8</v>
      </c>
      <c r="E77">
        <v>18232.55</v>
      </c>
      <c r="F77">
        <f t="shared" si="0"/>
        <v>18652.900000000001</v>
      </c>
      <c r="G77">
        <f t="shared" si="1"/>
        <v>17774.25</v>
      </c>
      <c r="H77">
        <f t="shared" si="3"/>
        <v>52.159562965913452</v>
      </c>
      <c r="I77" s="2">
        <f t="shared" si="4"/>
        <v>44.65957698111675</v>
      </c>
    </row>
    <row r="78" spans="1:9" x14ac:dyDescent="0.25">
      <c r="A78" s="1">
        <v>44930</v>
      </c>
      <c r="B78">
        <v>18230.650000000001</v>
      </c>
      <c r="C78">
        <v>18243</v>
      </c>
      <c r="D78">
        <v>18020.599999999999</v>
      </c>
      <c r="E78">
        <v>18042.95</v>
      </c>
      <c r="F78">
        <f t="shared" si="0"/>
        <v>18473.349999999999</v>
      </c>
      <c r="G78">
        <f t="shared" si="1"/>
        <v>17774.25</v>
      </c>
      <c r="H78">
        <f t="shared" si="3"/>
        <v>38.435130882563477</v>
      </c>
      <c r="I78" s="2">
        <f t="shared" si="4"/>
        <v>45.500793160209945</v>
      </c>
    </row>
    <row r="79" spans="1:9" x14ac:dyDescent="0.25">
      <c r="A79" s="1">
        <v>44931</v>
      </c>
      <c r="B79">
        <v>18101.95</v>
      </c>
      <c r="C79">
        <v>18120.3</v>
      </c>
      <c r="D79">
        <v>17892.599999999999</v>
      </c>
      <c r="E79">
        <v>17992.150000000001</v>
      </c>
      <c r="F79">
        <f t="shared" si="0"/>
        <v>18473.349999999999</v>
      </c>
      <c r="G79">
        <f t="shared" si="1"/>
        <v>17774.25</v>
      </c>
      <c r="H79">
        <f t="shared" si="3"/>
        <v>31.168645401230425</v>
      </c>
      <c r="I79" s="2">
        <f t="shared" si="4"/>
        <v>40.587779749902452</v>
      </c>
    </row>
    <row r="80" spans="1:9" x14ac:dyDescent="0.25">
      <c r="A80" s="1">
        <v>44932</v>
      </c>
      <c r="B80">
        <v>18008.05</v>
      </c>
      <c r="C80">
        <v>18047.400000000001</v>
      </c>
      <c r="D80">
        <v>17795.55</v>
      </c>
      <c r="E80">
        <v>17859.45</v>
      </c>
      <c r="F80">
        <f t="shared" ref="F80:F143" si="5">MAX(C67:C80)</f>
        <v>18473.349999999999</v>
      </c>
      <c r="G80">
        <f t="shared" ref="G80:G143" si="6">MIN(D67:D80)</f>
        <v>17774.25</v>
      </c>
      <c r="H80">
        <f t="shared" si="3"/>
        <v>12.18709769703918</v>
      </c>
      <c r="I80" s="2">
        <f t="shared" si="4"/>
        <v>27.263624660277696</v>
      </c>
    </row>
    <row r="81" spans="1:9" x14ac:dyDescent="0.25">
      <c r="A81" s="1">
        <v>44935</v>
      </c>
      <c r="B81">
        <v>17952.55</v>
      </c>
      <c r="C81">
        <v>18141.400000000001</v>
      </c>
      <c r="D81">
        <v>17936.150000000001</v>
      </c>
      <c r="E81">
        <v>18101.2</v>
      </c>
      <c r="F81">
        <f t="shared" si="5"/>
        <v>18473.349999999999</v>
      </c>
      <c r="G81">
        <f t="shared" si="6"/>
        <v>17774.25</v>
      </c>
      <c r="H81">
        <f t="shared" si="3"/>
        <v>46.767272207123646</v>
      </c>
      <c r="I81" s="2">
        <f t="shared" si="4"/>
        <v>30.041005101797751</v>
      </c>
    </row>
    <row r="82" spans="1:9" x14ac:dyDescent="0.25">
      <c r="A82" s="1">
        <v>44936</v>
      </c>
      <c r="B82">
        <v>18121.3</v>
      </c>
      <c r="C82">
        <v>18127.599999999999</v>
      </c>
      <c r="D82">
        <v>17856</v>
      </c>
      <c r="E82">
        <v>17914.150000000001</v>
      </c>
      <c r="F82">
        <f t="shared" si="5"/>
        <v>18318.75</v>
      </c>
      <c r="G82">
        <f t="shared" si="6"/>
        <v>17774.25</v>
      </c>
      <c r="H82">
        <f t="shared" ref="H82:H145" si="7">(E82-G82)*100/(F82-G82)</f>
        <v>25.693296602387779</v>
      </c>
      <c r="I82" s="2">
        <f t="shared" ref="I82:I145" si="8">AVERAGE(H80:H82)</f>
        <v>28.215888835516868</v>
      </c>
    </row>
    <row r="83" spans="1:9" x14ac:dyDescent="0.25">
      <c r="A83" s="1">
        <v>44937</v>
      </c>
      <c r="B83">
        <v>17924.25</v>
      </c>
      <c r="C83">
        <v>17976.349999999999</v>
      </c>
      <c r="D83">
        <v>17824.349999999999</v>
      </c>
      <c r="E83">
        <v>17895.7</v>
      </c>
      <c r="F83">
        <f t="shared" si="5"/>
        <v>18265.25</v>
      </c>
      <c r="G83">
        <f t="shared" si="6"/>
        <v>17774.25</v>
      </c>
      <c r="H83">
        <f t="shared" si="7"/>
        <v>24.735234215886095</v>
      </c>
      <c r="I83" s="2">
        <f t="shared" si="8"/>
        <v>32.398601008465839</v>
      </c>
    </row>
    <row r="84" spans="1:9" x14ac:dyDescent="0.25">
      <c r="A84" s="1">
        <v>44938</v>
      </c>
      <c r="B84">
        <v>17920.849999999999</v>
      </c>
      <c r="C84">
        <v>17945.8</v>
      </c>
      <c r="D84">
        <v>17761.650000000001</v>
      </c>
      <c r="E84">
        <v>17858.2</v>
      </c>
      <c r="F84">
        <f t="shared" si="5"/>
        <v>18265.25</v>
      </c>
      <c r="G84">
        <f t="shared" si="6"/>
        <v>17761.650000000001</v>
      </c>
      <c r="H84">
        <f t="shared" si="7"/>
        <v>19.171961874503484</v>
      </c>
      <c r="I84" s="2">
        <f t="shared" si="8"/>
        <v>23.200164230925783</v>
      </c>
    </row>
    <row r="85" spans="1:9" x14ac:dyDescent="0.25">
      <c r="A85" s="1">
        <v>44939</v>
      </c>
      <c r="B85">
        <v>17867.5</v>
      </c>
      <c r="C85">
        <v>17999.349999999999</v>
      </c>
      <c r="D85">
        <v>17774.25</v>
      </c>
      <c r="E85">
        <v>17956.599999999999</v>
      </c>
      <c r="F85">
        <f t="shared" si="5"/>
        <v>18265.25</v>
      </c>
      <c r="G85">
        <f t="shared" si="6"/>
        <v>17761.650000000001</v>
      </c>
      <c r="H85">
        <f t="shared" si="7"/>
        <v>38.711278792692148</v>
      </c>
      <c r="I85" s="2">
        <f t="shared" si="8"/>
        <v>27.539491627693906</v>
      </c>
    </row>
    <row r="86" spans="1:9" x14ac:dyDescent="0.25">
      <c r="A86" s="1">
        <v>44942</v>
      </c>
      <c r="B86">
        <v>18033.150000000001</v>
      </c>
      <c r="C86">
        <v>18049.650000000001</v>
      </c>
      <c r="D86">
        <v>17853.650000000001</v>
      </c>
      <c r="E86">
        <v>17894.849999999999</v>
      </c>
      <c r="F86">
        <f t="shared" si="5"/>
        <v>18265.25</v>
      </c>
      <c r="G86">
        <f t="shared" si="6"/>
        <v>17761.650000000001</v>
      </c>
      <c r="H86">
        <f t="shared" si="7"/>
        <v>26.449563145352954</v>
      </c>
      <c r="I86" s="2">
        <f t="shared" si="8"/>
        <v>28.110934604182862</v>
      </c>
    </row>
    <row r="87" spans="1:9" x14ac:dyDescent="0.25">
      <c r="A87" s="1">
        <v>44943</v>
      </c>
      <c r="B87">
        <v>17922.8</v>
      </c>
      <c r="C87">
        <v>18072.05</v>
      </c>
      <c r="D87">
        <v>17886.95</v>
      </c>
      <c r="E87">
        <v>18053.3</v>
      </c>
      <c r="F87">
        <f t="shared" si="5"/>
        <v>18265.25</v>
      </c>
      <c r="G87">
        <f t="shared" si="6"/>
        <v>17761.650000000001</v>
      </c>
      <c r="H87">
        <f t="shared" si="7"/>
        <v>57.913026211278527</v>
      </c>
      <c r="I87" s="2">
        <f t="shared" si="8"/>
        <v>41.024622716441208</v>
      </c>
    </row>
    <row r="88" spans="1:9" x14ac:dyDescent="0.25">
      <c r="A88" s="1">
        <v>44944</v>
      </c>
      <c r="B88">
        <v>18074.3</v>
      </c>
      <c r="C88">
        <v>18183.75</v>
      </c>
      <c r="D88">
        <v>18032.45</v>
      </c>
      <c r="E88">
        <v>18165.349999999999</v>
      </c>
      <c r="F88">
        <f t="shared" si="5"/>
        <v>18265.25</v>
      </c>
      <c r="G88">
        <f t="shared" si="6"/>
        <v>17761.650000000001</v>
      </c>
      <c r="H88">
        <f t="shared" si="7"/>
        <v>80.16282764098456</v>
      </c>
      <c r="I88" s="2">
        <f t="shared" si="8"/>
        <v>54.841805665872016</v>
      </c>
    </row>
    <row r="89" spans="1:9" x14ac:dyDescent="0.25">
      <c r="A89" s="1">
        <v>44945</v>
      </c>
      <c r="B89">
        <v>18119.8</v>
      </c>
      <c r="C89">
        <v>18155.2</v>
      </c>
      <c r="D89">
        <v>18063.75</v>
      </c>
      <c r="E89">
        <v>18107.849999999999</v>
      </c>
      <c r="F89">
        <f t="shared" si="5"/>
        <v>18251.95</v>
      </c>
      <c r="G89">
        <f t="shared" si="6"/>
        <v>17761.650000000001</v>
      </c>
      <c r="H89">
        <f t="shared" si="7"/>
        <v>70.609830715887739</v>
      </c>
      <c r="I89" s="2">
        <f t="shared" si="8"/>
        <v>69.561894856050273</v>
      </c>
    </row>
    <row r="90" spans="1:9" x14ac:dyDescent="0.25">
      <c r="A90" s="1">
        <v>44946</v>
      </c>
      <c r="B90">
        <v>18115.599999999999</v>
      </c>
      <c r="C90">
        <v>18145.45</v>
      </c>
      <c r="D90">
        <v>18016.2</v>
      </c>
      <c r="E90">
        <v>18027.650000000001</v>
      </c>
      <c r="F90">
        <f t="shared" si="5"/>
        <v>18251.95</v>
      </c>
      <c r="G90">
        <f t="shared" si="6"/>
        <v>17761.650000000001</v>
      </c>
      <c r="H90">
        <f t="shared" si="7"/>
        <v>54.252498470324369</v>
      </c>
      <c r="I90" s="2">
        <f t="shared" si="8"/>
        <v>68.341718942398884</v>
      </c>
    </row>
    <row r="91" spans="1:9" x14ac:dyDescent="0.25">
      <c r="A91" s="1">
        <v>44949</v>
      </c>
      <c r="B91">
        <v>18118.45</v>
      </c>
      <c r="C91">
        <v>18162.599999999999</v>
      </c>
      <c r="D91">
        <v>18063.45</v>
      </c>
      <c r="E91">
        <v>18118.55</v>
      </c>
      <c r="F91">
        <f t="shared" si="5"/>
        <v>18243</v>
      </c>
      <c r="G91">
        <f t="shared" si="6"/>
        <v>17761.650000000001</v>
      </c>
      <c r="H91">
        <f t="shared" si="7"/>
        <v>74.14563207645142</v>
      </c>
      <c r="I91" s="2">
        <f t="shared" si="8"/>
        <v>66.3359870875545</v>
      </c>
    </row>
    <row r="92" spans="1:9" x14ac:dyDescent="0.25">
      <c r="A92" s="1">
        <v>44950</v>
      </c>
      <c r="B92">
        <v>18183.95</v>
      </c>
      <c r="C92">
        <v>18201.25</v>
      </c>
      <c r="D92">
        <v>18078.650000000001</v>
      </c>
      <c r="E92">
        <v>18118.3</v>
      </c>
      <c r="F92">
        <f t="shared" si="5"/>
        <v>18201.25</v>
      </c>
      <c r="G92">
        <f t="shared" si="6"/>
        <v>17761.650000000001</v>
      </c>
      <c r="H92">
        <f t="shared" si="7"/>
        <v>81.130573248407416</v>
      </c>
      <c r="I92" s="2">
        <f t="shared" si="8"/>
        <v>69.842901265061073</v>
      </c>
    </row>
    <row r="93" spans="1:9" x14ac:dyDescent="0.25">
      <c r="A93" s="1">
        <v>44951</v>
      </c>
      <c r="B93">
        <v>18093.349999999999</v>
      </c>
      <c r="C93">
        <v>18100.599999999999</v>
      </c>
      <c r="D93">
        <v>17846.150000000001</v>
      </c>
      <c r="E93">
        <v>17891.95</v>
      </c>
      <c r="F93">
        <f t="shared" si="5"/>
        <v>18201.25</v>
      </c>
      <c r="G93">
        <f t="shared" si="6"/>
        <v>17761.650000000001</v>
      </c>
      <c r="H93">
        <f t="shared" si="7"/>
        <v>29.640582347588648</v>
      </c>
      <c r="I93" s="2">
        <f t="shared" si="8"/>
        <v>61.638929224149159</v>
      </c>
    </row>
    <row r="94" spans="1:9" x14ac:dyDescent="0.25">
      <c r="A94" s="1">
        <v>44953</v>
      </c>
      <c r="B94">
        <v>17877.2</v>
      </c>
      <c r="C94">
        <v>17884.75</v>
      </c>
      <c r="D94">
        <v>17493.55</v>
      </c>
      <c r="E94">
        <v>17604.349999999999</v>
      </c>
      <c r="F94">
        <f t="shared" si="5"/>
        <v>18201.25</v>
      </c>
      <c r="G94">
        <f t="shared" si="6"/>
        <v>17493.55</v>
      </c>
      <c r="H94">
        <f t="shared" si="7"/>
        <v>15.656351561395953</v>
      </c>
      <c r="I94" s="2">
        <f t="shared" si="8"/>
        <v>42.142502385797336</v>
      </c>
    </row>
    <row r="95" spans="1:9" x14ac:dyDescent="0.25">
      <c r="A95" s="1">
        <v>44956</v>
      </c>
      <c r="B95">
        <v>17541.95</v>
      </c>
      <c r="C95">
        <v>17709.150000000001</v>
      </c>
      <c r="D95">
        <v>17405.55</v>
      </c>
      <c r="E95">
        <v>17648.95</v>
      </c>
      <c r="F95">
        <f t="shared" si="5"/>
        <v>18201.25</v>
      </c>
      <c r="G95">
        <f t="shared" si="6"/>
        <v>17405.55</v>
      </c>
      <c r="H95">
        <f t="shared" si="7"/>
        <v>30.589418122408098</v>
      </c>
      <c r="I95" s="2">
        <f t="shared" si="8"/>
        <v>25.295450677130901</v>
      </c>
    </row>
    <row r="96" spans="1:9" x14ac:dyDescent="0.25">
      <c r="A96" s="1">
        <v>44957</v>
      </c>
      <c r="B96">
        <v>17731.45</v>
      </c>
      <c r="C96">
        <v>17735.7</v>
      </c>
      <c r="D96">
        <v>17537.55</v>
      </c>
      <c r="E96">
        <v>17662.150000000001</v>
      </c>
      <c r="F96">
        <f t="shared" si="5"/>
        <v>18201.25</v>
      </c>
      <c r="G96">
        <f t="shared" si="6"/>
        <v>17405.55</v>
      </c>
      <c r="H96">
        <f t="shared" si="7"/>
        <v>32.248334799547813</v>
      </c>
      <c r="I96" s="2">
        <f t="shared" si="8"/>
        <v>26.164701494450622</v>
      </c>
    </row>
    <row r="97" spans="1:9" x14ac:dyDescent="0.25">
      <c r="A97" s="1">
        <v>44958</v>
      </c>
      <c r="B97">
        <v>17811.599999999999</v>
      </c>
      <c r="C97">
        <v>17972.2</v>
      </c>
      <c r="D97">
        <v>17353.400000000001</v>
      </c>
      <c r="E97">
        <v>17616.3</v>
      </c>
      <c r="F97">
        <f t="shared" si="5"/>
        <v>18201.25</v>
      </c>
      <c r="G97">
        <f t="shared" si="6"/>
        <v>17353.400000000001</v>
      </c>
      <c r="H97">
        <f t="shared" si="7"/>
        <v>31.00784336852017</v>
      </c>
      <c r="I97" s="2">
        <f t="shared" si="8"/>
        <v>31.281865430158692</v>
      </c>
    </row>
    <row r="98" spans="1:9" x14ac:dyDescent="0.25">
      <c r="A98" s="1">
        <v>44959</v>
      </c>
      <c r="B98">
        <v>17517.099999999999</v>
      </c>
      <c r="C98">
        <v>17653.900000000001</v>
      </c>
      <c r="D98">
        <v>17445.95</v>
      </c>
      <c r="E98">
        <v>17610.400000000001</v>
      </c>
      <c r="F98">
        <f t="shared" si="5"/>
        <v>18201.25</v>
      </c>
      <c r="G98">
        <f t="shared" si="6"/>
        <v>17353.400000000001</v>
      </c>
      <c r="H98">
        <f t="shared" si="7"/>
        <v>30.311965559945797</v>
      </c>
      <c r="I98" s="2">
        <f t="shared" si="8"/>
        <v>31.18938124267126</v>
      </c>
    </row>
    <row r="99" spans="1:9" x14ac:dyDescent="0.25">
      <c r="A99" s="1">
        <v>44960</v>
      </c>
      <c r="B99">
        <v>17721.75</v>
      </c>
      <c r="C99">
        <v>17870.3</v>
      </c>
      <c r="D99">
        <v>17584.2</v>
      </c>
      <c r="E99">
        <v>17854.05</v>
      </c>
      <c r="F99">
        <f t="shared" si="5"/>
        <v>18201.25</v>
      </c>
      <c r="G99">
        <f t="shared" si="6"/>
        <v>17353.400000000001</v>
      </c>
      <c r="H99">
        <f t="shared" si="7"/>
        <v>59.049360146252127</v>
      </c>
      <c r="I99" s="2">
        <f t="shared" si="8"/>
        <v>40.12305635823936</v>
      </c>
    </row>
    <row r="100" spans="1:9" x14ac:dyDescent="0.25">
      <c r="A100" s="1">
        <v>44963</v>
      </c>
      <c r="B100">
        <v>17818.55</v>
      </c>
      <c r="C100">
        <v>17823.7</v>
      </c>
      <c r="D100">
        <v>17698.349999999999</v>
      </c>
      <c r="E100">
        <v>17764.599999999999</v>
      </c>
      <c r="F100">
        <f t="shared" si="5"/>
        <v>18201.25</v>
      </c>
      <c r="G100">
        <f t="shared" si="6"/>
        <v>17353.400000000001</v>
      </c>
      <c r="H100">
        <f t="shared" si="7"/>
        <v>48.499144895912934</v>
      </c>
      <c r="I100" s="2">
        <f t="shared" si="8"/>
        <v>45.953490200703619</v>
      </c>
    </row>
    <row r="101" spans="1:9" x14ac:dyDescent="0.25">
      <c r="A101" s="1">
        <v>44964</v>
      </c>
      <c r="B101">
        <v>17790.099999999999</v>
      </c>
      <c r="C101">
        <v>17811.150000000001</v>
      </c>
      <c r="D101">
        <v>17652.55</v>
      </c>
      <c r="E101">
        <v>17721.5</v>
      </c>
      <c r="F101">
        <f t="shared" si="5"/>
        <v>18201.25</v>
      </c>
      <c r="G101">
        <f t="shared" si="6"/>
        <v>17353.400000000001</v>
      </c>
      <c r="H101">
        <f t="shared" si="7"/>
        <v>43.415698531579778</v>
      </c>
      <c r="I101" s="2">
        <f t="shared" si="8"/>
        <v>50.321401191248277</v>
      </c>
    </row>
    <row r="102" spans="1:9" x14ac:dyDescent="0.25">
      <c r="A102" s="1">
        <v>44965</v>
      </c>
      <c r="B102">
        <v>17750.3</v>
      </c>
      <c r="C102">
        <v>17898.7</v>
      </c>
      <c r="D102">
        <v>17744.150000000001</v>
      </c>
      <c r="E102">
        <v>17871.7</v>
      </c>
      <c r="F102">
        <f t="shared" si="5"/>
        <v>18201.25</v>
      </c>
      <c r="G102">
        <f t="shared" si="6"/>
        <v>17353.400000000001</v>
      </c>
      <c r="H102">
        <f t="shared" si="7"/>
        <v>61.131096302412004</v>
      </c>
      <c r="I102" s="2">
        <f t="shared" si="8"/>
        <v>51.01531324330157</v>
      </c>
    </row>
    <row r="103" spans="1:9" x14ac:dyDescent="0.25">
      <c r="A103" s="1">
        <v>44966</v>
      </c>
      <c r="B103">
        <v>17885.5</v>
      </c>
      <c r="C103">
        <v>17916.900000000001</v>
      </c>
      <c r="D103">
        <v>17779.8</v>
      </c>
      <c r="E103">
        <v>17893.45</v>
      </c>
      <c r="F103">
        <f t="shared" si="5"/>
        <v>18201.25</v>
      </c>
      <c r="G103">
        <f t="shared" si="6"/>
        <v>17353.400000000001</v>
      </c>
      <c r="H103">
        <f t="shared" si="7"/>
        <v>63.69640856283543</v>
      </c>
      <c r="I103" s="2">
        <f t="shared" si="8"/>
        <v>56.081067798942399</v>
      </c>
    </row>
    <row r="104" spans="1:9" x14ac:dyDescent="0.25">
      <c r="A104" s="1">
        <v>44967</v>
      </c>
      <c r="B104">
        <v>17847.55</v>
      </c>
      <c r="C104">
        <v>17876.95</v>
      </c>
      <c r="D104">
        <v>17801</v>
      </c>
      <c r="E104">
        <v>17856.5</v>
      </c>
      <c r="F104">
        <f t="shared" si="5"/>
        <v>18201.25</v>
      </c>
      <c r="G104">
        <f t="shared" si="6"/>
        <v>17353.400000000001</v>
      </c>
      <c r="H104">
        <f t="shared" si="7"/>
        <v>59.33832635489761</v>
      </c>
      <c r="I104" s="2">
        <f t="shared" si="8"/>
        <v>61.38861040671501</v>
      </c>
    </row>
    <row r="105" spans="1:9" x14ac:dyDescent="0.25">
      <c r="A105" s="1">
        <v>44970</v>
      </c>
      <c r="B105">
        <v>17859.099999999999</v>
      </c>
      <c r="C105">
        <v>17880.7</v>
      </c>
      <c r="D105">
        <v>17719.75</v>
      </c>
      <c r="E105">
        <v>17770.900000000001</v>
      </c>
      <c r="F105">
        <f t="shared" si="5"/>
        <v>18201.25</v>
      </c>
      <c r="G105">
        <f t="shared" si="6"/>
        <v>17353.400000000001</v>
      </c>
      <c r="H105">
        <f t="shared" si="7"/>
        <v>49.242200861001443</v>
      </c>
      <c r="I105" s="2">
        <f t="shared" si="8"/>
        <v>57.425645259578154</v>
      </c>
    </row>
    <row r="106" spans="1:9" x14ac:dyDescent="0.25">
      <c r="A106" s="1">
        <v>44971</v>
      </c>
      <c r="B106">
        <v>17840.349999999999</v>
      </c>
      <c r="C106">
        <v>17954.55</v>
      </c>
      <c r="D106">
        <v>17800.05</v>
      </c>
      <c r="E106">
        <v>17929.849999999999</v>
      </c>
      <c r="F106">
        <f t="shared" si="5"/>
        <v>18100.599999999999</v>
      </c>
      <c r="G106">
        <f t="shared" si="6"/>
        <v>17353.400000000001</v>
      </c>
      <c r="H106">
        <f t="shared" si="7"/>
        <v>77.148019271948513</v>
      </c>
      <c r="I106" s="2">
        <f t="shared" si="8"/>
        <v>61.909515495949186</v>
      </c>
    </row>
    <row r="107" spans="1:9" x14ac:dyDescent="0.25">
      <c r="A107" s="1">
        <v>44972</v>
      </c>
      <c r="B107">
        <v>17896.599999999999</v>
      </c>
      <c r="C107">
        <v>18034.099999999999</v>
      </c>
      <c r="D107">
        <v>17853.8</v>
      </c>
      <c r="E107">
        <v>18015.849999999999</v>
      </c>
      <c r="F107">
        <f t="shared" si="5"/>
        <v>18034.099999999999</v>
      </c>
      <c r="G107">
        <f t="shared" si="6"/>
        <v>17353.400000000001</v>
      </c>
      <c r="H107">
        <f t="shared" si="7"/>
        <v>97.318936389011299</v>
      </c>
      <c r="I107" s="2">
        <f t="shared" si="8"/>
        <v>74.569718840653749</v>
      </c>
    </row>
    <row r="108" spans="1:9" x14ac:dyDescent="0.25">
      <c r="A108" s="1">
        <v>44973</v>
      </c>
      <c r="B108">
        <v>18094.75</v>
      </c>
      <c r="C108">
        <v>18134.75</v>
      </c>
      <c r="D108">
        <v>18000.650000000001</v>
      </c>
      <c r="E108">
        <v>18035.849999999999</v>
      </c>
      <c r="F108">
        <f t="shared" si="5"/>
        <v>18134.75</v>
      </c>
      <c r="G108">
        <f t="shared" si="6"/>
        <v>17353.400000000001</v>
      </c>
      <c r="H108">
        <f t="shared" si="7"/>
        <v>87.342420170218006</v>
      </c>
      <c r="I108" s="2">
        <f t="shared" si="8"/>
        <v>87.269791943725934</v>
      </c>
    </row>
    <row r="109" spans="1:9" x14ac:dyDescent="0.25">
      <c r="A109" s="1">
        <v>44974</v>
      </c>
      <c r="B109">
        <v>17974.849999999999</v>
      </c>
      <c r="C109">
        <v>18034.25</v>
      </c>
      <c r="D109">
        <v>17884.599999999999</v>
      </c>
      <c r="E109">
        <v>17944.2</v>
      </c>
      <c r="F109">
        <f t="shared" si="5"/>
        <v>18134.75</v>
      </c>
      <c r="G109">
        <f t="shared" si="6"/>
        <v>17353.400000000001</v>
      </c>
      <c r="H109">
        <f t="shared" si="7"/>
        <v>75.612721571638872</v>
      </c>
      <c r="I109" s="2">
        <f t="shared" si="8"/>
        <v>86.758026043622735</v>
      </c>
    </row>
    <row r="110" spans="1:9" x14ac:dyDescent="0.25">
      <c r="A110" s="1">
        <v>44977</v>
      </c>
      <c r="B110">
        <v>17965.55</v>
      </c>
      <c r="C110">
        <v>18004.349999999999</v>
      </c>
      <c r="D110">
        <v>17818.400000000001</v>
      </c>
      <c r="E110">
        <v>17844.599999999999</v>
      </c>
      <c r="F110">
        <f t="shared" si="5"/>
        <v>18134.75</v>
      </c>
      <c r="G110">
        <f t="shared" si="6"/>
        <v>17353.400000000001</v>
      </c>
      <c r="H110">
        <f t="shared" si="7"/>
        <v>62.865553209188967</v>
      </c>
      <c r="I110" s="2">
        <f t="shared" si="8"/>
        <v>75.27356498368195</v>
      </c>
    </row>
    <row r="111" spans="1:9" x14ac:dyDescent="0.25">
      <c r="A111" s="1">
        <v>44978</v>
      </c>
      <c r="B111">
        <v>17905.8</v>
      </c>
      <c r="C111">
        <v>17924.900000000001</v>
      </c>
      <c r="D111">
        <v>17800.3</v>
      </c>
      <c r="E111">
        <v>17826.7</v>
      </c>
      <c r="F111">
        <f t="shared" si="5"/>
        <v>18134.75</v>
      </c>
      <c r="G111">
        <f t="shared" si="6"/>
        <v>17445.95</v>
      </c>
      <c r="H111">
        <f t="shared" si="7"/>
        <v>55.277293844367072</v>
      </c>
      <c r="I111" s="2">
        <f t="shared" si="8"/>
        <v>64.585189541731637</v>
      </c>
    </row>
    <row r="112" spans="1:9" x14ac:dyDescent="0.25">
      <c r="A112" s="1">
        <v>44979</v>
      </c>
      <c r="B112">
        <v>17755.349999999999</v>
      </c>
      <c r="C112">
        <v>17772.5</v>
      </c>
      <c r="D112">
        <v>17529.45</v>
      </c>
      <c r="E112">
        <v>17554.3</v>
      </c>
      <c r="F112">
        <f t="shared" si="5"/>
        <v>18134.75</v>
      </c>
      <c r="G112">
        <f t="shared" si="6"/>
        <v>17529.45</v>
      </c>
      <c r="H112">
        <f t="shared" si="7"/>
        <v>4.1054022798609902</v>
      </c>
      <c r="I112" s="2">
        <f t="shared" si="8"/>
        <v>40.749416444472345</v>
      </c>
    </row>
    <row r="113" spans="1:9" x14ac:dyDescent="0.25">
      <c r="A113" s="1">
        <v>44980</v>
      </c>
      <c r="B113">
        <v>17574.650000000001</v>
      </c>
      <c r="C113">
        <v>17620.05</v>
      </c>
      <c r="D113">
        <v>17455.400000000001</v>
      </c>
      <c r="E113">
        <v>17511.25</v>
      </c>
      <c r="F113">
        <f t="shared" si="5"/>
        <v>18134.75</v>
      </c>
      <c r="G113">
        <f t="shared" si="6"/>
        <v>17455.400000000001</v>
      </c>
      <c r="H113">
        <f t="shared" si="7"/>
        <v>8.2210936924999878</v>
      </c>
      <c r="I113" s="2">
        <f t="shared" si="8"/>
        <v>22.534596605576017</v>
      </c>
    </row>
    <row r="114" spans="1:9" x14ac:dyDescent="0.25">
      <c r="A114" s="1">
        <v>44981</v>
      </c>
      <c r="B114">
        <v>17591.349999999999</v>
      </c>
      <c r="C114">
        <v>17599.75</v>
      </c>
      <c r="D114">
        <v>17421.8</v>
      </c>
      <c r="E114">
        <v>17465.8</v>
      </c>
      <c r="F114">
        <f t="shared" si="5"/>
        <v>18134.75</v>
      </c>
      <c r="G114">
        <f t="shared" si="6"/>
        <v>17421.8</v>
      </c>
      <c r="H114">
        <f t="shared" si="7"/>
        <v>6.1715407812609513</v>
      </c>
      <c r="I114" s="2">
        <f t="shared" si="8"/>
        <v>6.1660122512073094</v>
      </c>
    </row>
    <row r="115" spans="1:9" x14ac:dyDescent="0.25">
      <c r="A115" s="1">
        <v>44984</v>
      </c>
      <c r="B115">
        <v>17428.599999999999</v>
      </c>
      <c r="C115">
        <v>17451.599999999999</v>
      </c>
      <c r="D115">
        <v>17299</v>
      </c>
      <c r="E115">
        <v>17392.7</v>
      </c>
      <c r="F115">
        <f t="shared" si="5"/>
        <v>18134.75</v>
      </c>
      <c r="G115">
        <f t="shared" si="6"/>
        <v>17299</v>
      </c>
      <c r="H115">
        <f t="shared" si="7"/>
        <v>11.211486688603138</v>
      </c>
      <c r="I115" s="2">
        <f t="shared" si="8"/>
        <v>8.534707054121359</v>
      </c>
    </row>
    <row r="116" spans="1:9" x14ac:dyDescent="0.25">
      <c r="A116" s="1">
        <v>44985</v>
      </c>
      <c r="B116">
        <v>17383.25</v>
      </c>
      <c r="C116">
        <v>17440.45</v>
      </c>
      <c r="D116">
        <v>17255.2</v>
      </c>
      <c r="E116">
        <v>17303.95</v>
      </c>
      <c r="F116">
        <f t="shared" si="5"/>
        <v>18134.75</v>
      </c>
      <c r="G116">
        <f t="shared" si="6"/>
        <v>17255.2</v>
      </c>
      <c r="H116">
        <f t="shared" si="7"/>
        <v>5.542607014950832</v>
      </c>
      <c r="I116" s="2">
        <f t="shared" si="8"/>
        <v>7.641878161604974</v>
      </c>
    </row>
    <row r="117" spans="1:9" x14ac:dyDescent="0.25">
      <c r="A117" s="1">
        <v>44986</v>
      </c>
      <c r="B117">
        <v>17360.099999999999</v>
      </c>
      <c r="C117">
        <v>17467.75</v>
      </c>
      <c r="D117">
        <v>17345.25</v>
      </c>
      <c r="E117">
        <v>17450.900000000001</v>
      </c>
      <c r="F117">
        <f t="shared" si="5"/>
        <v>18134.75</v>
      </c>
      <c r="G117">
        <f t="shared" si="6"/>
        <v>17255.2</v>
      </c>
      <c r="H117">
        <f t="shared" si="7"/>
        <v>22.25001421181296</v>
      </c>
      <c r="I117" s="2">
        <f t="shared" si="8"/>
        <v>13.00136930512231</v>
      </c>
    </row>
    <row r="118" spans="1:9" x14ac:dyDescent="0.25">
      <c r="A118" s="1">
        <v>44987</v>
      </c>
      <c r="B118">
        <v>17421.5</v>
      </c>
      <c r="C118">
        <v>17445.8</v>
      </c>
      <c r="D118">
        <v>17306</v>
      </c>
      <c r="E118">
        <v>17321.900000000001</v>
      </c>
      <c r="F118">
        <f t="shared" si="5"/>
        <v>18134.75</v>
      </c>
      <c r="G118">
        <f t="shared" si="6"/>
        <v>17255.2</v>
      </c>
      <c r="H118">
        <f t="shared" si="7"/>
        <v>7.5834233414815282</v>
      </c>
      <c r="I118" s="2">
        <f t="shared" si="8"/>
        <v>11.792014856081773</v>
      </c>
    </row>
    <row r="119" spans="1:9" x14ac:dyDescent="0.25">
      <c r="A119" s="1">
        <v>44988</v>
      </c>
      <c r="B119">
        <v>17451.25</v>
      </c>
      <c r="C119">
        <v>17644.75</v>
      </c>
      <c r="D119">
        <v>17427.7</v>
      </c>
      <c r="E119">
        <v>17594.349999999999</v>
      </c>
      <c r="F119">
        <f t="shared" si="5"/>
        <v>18134.75</v>
      </c>
      <c r="G119">
        <f t="shared" si="6"/>
        <v>17255.2</v>
      </c>
      <c r="H119">
        <f t="shared" si="7"/>
        <v>38.55949064862692</v>
      </c>
      <c r="I119" s="2">
        <f t="shared" si="8"/>
        <v>22.797642733973802</v>
      </c>
    </row>
    <row r="120" spans="1:9" x14ac:dyDescent="0.25">
      <c r="A120" s="1">
        <v>44991</v>
      </c>
      <c r="B120">
        <v>17680.349999999999</v>
      </c>
      <c r="C120">
        <v>17799.95</v>
      </c>
      <c r="D120">
        <v>17671.95</v>
      </c>
      <c r="E120">
        <v>17711.45</v>
      </c>
      <c r="F120">
        <f t="shared" si="5"/>
        <v>18134.75</v>
      </c>
      <c r="G120">
        <f t="shared" si="6"/>
        <v>17255.2</v>
      </c>
      <c r="H120">
        <f t="shared" si="7"/>
        <v>51.873116934796244</v>
      </c>
      <c r="I120" s="2">
        <f t="shared" si="8"/>
        <v>32.672010308301566</v>
      </c>
    </row>
    <row r="121" spans="1:9" x14ac:dyDescent="0.25">
      <c r="A121" s="1">
        <v>44993</v>
      </c>
      <c r="B121">
        <v>17665.75</v>
      </c>
      <c r="C121">
        <v>17766.5</v>
      </c>
      <c r="D121">
        <v>17602.25</v>
      </c>
      <c r="E121">
        <v>17754.400000000001</v>
      </c>
      <c r="F121">
        <f t="shared" si="5"/>
        <v>18134.75</v>
      </c>
      <c r="G121">
        <f t="shared" si="6"/>
        <v>17255.2</v>
      </c>
      <c r="H121">
        <f t="shared" si="7"/>
        <v>56.756295833096601</v>
      </c>
      <c r="I121" s="2">
        <f t="shared" si="8"/>
        <v>49.062967805506588</v>
      </c>
    </row>
    <row r="122" spans="1:9" x14ac:dyDescent="0.25">
      <c r="A122" s="1">
        <v>44994</v>
      </c>
      <c r="B122">
        <v>17772.05</v>
      </c>
      <c r="C122">
        <v>17772.349999999999</v>
      </c>
      <c r="D122">
        <v>17573.599999999999</v>
      </c>
      <c r="E122">
        <v>17589.599999999999</v>
      </c>
      <c r="F122">
        <f t="shared" si="5"/>
        <v>18034.25</v>
      </c>
      <c r="G122">
        <f t="shared" si="6"/>
        <v>17255.2</v>
      </c>
      <c r="H122">
        <f t="shared" si="7"/>
        <v>42.924074192927044</v>
      </c>
      <c r="I122" s="2">
        <f t="shared" si="8"/>
        <v>50.517828986939968</v>
      </c>
    </row>
    <row r="123" spans="1:9" x14ac:dyDescent="0.25">
      <c r="A123" s="1">
        <v>44995</v>
      </c>
      <c r="B123">
        <v>17443.8</v>
      </c>
      <c r="C123">
        <v>17451.5</v>
      </c>
      <c r="D123">
        <v>17324.349999999999</v>
      </c>
      <c r="E123">
        <v>17412.900000000001</v>
      </c>
      <c r="F123">
        <f t="shared" si="5"/>
        <v>18004.349999999999</v>
      </c>
      <c r="G123">
        <f t="shared" si="6"/>
        <v>17255.2</v>
      </c>
      <c r="H123">
        <f t="shared" si="7"/>
        <v>21.05052392711756</v>
      </c>
      <c r="I123" s="2">
        <f t="shared" si="8"/>
        <v>40.243631317713728</v>
      </c>
    </row>
    <row r="124" spans="1:9" x14ac:dyDescent="0.25">
      <c r="A124" s="1">
        <v>44998</v>
      </c>
      <c r="B124">
        <v>17421.900000000001</v>
      </c>
      <c r="C124">
        <v>17529.900000000001</v>
      </c>
      <c r="D124">
        <v>17113.45</v>
      </c>
      <c r="E124">
        <v>17154.3</v>
      </c>
      <c r="F124">
        <f t="shared" si="5"/>
        <v>17924.900000000001</v>
      </c>
      <c r="G124">
        <f t="shared" si="6"/>
        <v>17113.45</v>
      </c>
      <c r="H124">
        <f t="shared" si="7"/>
        <v>5.0341980405445197</v>
      </c>
      <c r="I124" s="2">
        <f t="shared" si="8"/>
        <v>23.002932053529708</v>
      </c>
    </row>
    <row r="125" spans="1:9" x14ac:dyDescent="0.25">
      <c r="A125" s="1">
        <v>44999</v>
      </c>
      <c r="B125">
        <v>17160.55</v>
      </c>
      <c r="C125">
        <v>17224.650000000001</v>
      </c>
      <c r="D125">
        <v>16987.099999999999</v>
      </c>
      <c r="E125">
        <v>17043.3</v>
      </c>
      <c r="F125">
        <f t="shared" si="5"/>
        <v>17799.95</v>
      </c>
      <c r="G125">
        <f t="shared" si="6"/>
        <v>16987.099999999999</v>
      </c>
      <c r="H125">
        <f t="shared" si="7"/>
        <v>6.9139447622563299</v>
      </c>
      <c r="I125" s="2">
        <f t="shared" si="8"/>
        <v>10.999555576639471</v>
      </c>
    </row>
    <row r="126" spans="1:9" x14ac:dyDescent="0.25">
      <c r="A126" s="1">
        <v>45000</v>
      </c>
      <c r="B126">
        <v>17166.45</v>
      </c>
      <c r="C126">
        <v>17211.349999999999</v>
      </c>
      <c r="D126">
        <v>16938.900000000001</v>
      </c>
      <c r="E126">
        <v>16972.150000000001</v>
      </c>
      <c r="F126">
        <f t="shared" si="5"/>
        <v>17799.95</v>
      </c>
      <c r="G126">
        <f t="shared" si="6"/>
        <v>16938.900000000001</v>
      </c>
      <c r="H126">
        <f t="shared" si="7"/>
        <v>3.8615643690842609</v>
      </c>
      <c r="I126" s="2">
        <f t="shared" si="8"/>
        <v>5.2699023906283697</v>
      </c>
    </row>
    <row r="127" spans="1:9" x14ac:dyDescent="0.25">
      <c r="A127" s="1">
        <v>45001</v>
      </c>
      <c r="B127">
        <v>16994.650000000001</v>
      </c>
      <c r="C127">
        <v>17062.45</v>
      </c>
      <c r="D127">
        <v>16850.150000000001</v>
      </c>
      <c r="E127">
        <v>16985.599999999999</v>
      </c>
      <c r="F127">
        <f t="shared" si="5"/>
        <v>17799.95</v>
      </c>
      <c r="G127">
        <f t="shared" si="6"/>
        <v>16850.150000000001</v>
      </c>
      <c r="H127">
        <f t="shared" si="7"/>
        <v>14.26089703095359</v>
      </c>
      <c r="I127" s="2">
        <f t="shared" si="8"/>
        <v>8.3454687207647265</v>
      </c>
    </row>
    <row r="128" spans="1:9" x14ac:dyDescent="0.25">
      <c r="A128" s="1">
        <v>45002</v>
      </c>
      <c r="B128">
        <v>17111.8</v>
      </c>
      <c r="C128">
        <v>17145.8</v>
      </c>
      <c r="D128">
        <v>16958.150000000001</v>
      </c>
      <c r="E128">
        <v>17100.05</v>
      </c>
      <c r="F128">
        <f t="shared" si="5"/>
        <v>17799.95</v>
      </c>
      <c r="G128">
        <f t="shared" si="6"/>
        <v>16850.150000000001</v>
      </c>
      <c r="H128">
        <f t="shared" si="7"/>
        <v>26.310802274162771</v>
      </c>
      <c r="I128" s="2">
        <f t="shared" si="8"/>
        <v>14.811087891400206</v>
      </c>
    </row>
    <row r="129" spans="1:9" x14ac:dyDescent="0.25">
      <c r="A129" s="1">
        <v>45005</v>
      </c>
      <c r="B129">
        <v>17066.599999999999</v>
      </c>
      <c r="C129">
        <v>17066.599999999999</v>
      </c>
      <c r="D129">
        <v>16828.349999999999</v>
      </c>
      <c r="E129">
        <v>16988.400000000001</v>
      </c>
      <c r="F129">
        <f t="shared" si="5"/>
        <v>17799.95</v>
      </c>
      <c r="G129">
        <f t="shared" si="6"/>
        <v>16828.349999999999</v>
      </c>
      <c r="H129">
        <f t="shared" si="7"/>
        <v>16.472828324413602</v>
      </c>
      <c r="I129" s="2">
        <f t="shared" si="8"/>
        <v>19.014842543176655</v>
      </c>
    </row>
    <row r="130" spans="1:9" x14ac:dyDescent="0.25">
      <c r="A130" s="1">
        <v>45006</v>
      </c>
      <c r="B130">
        <v>17060.400000000001</v>
      </c>
      <c r="C130">
        <v>17127.7</v>
      </c>
      <c r="D130">
        <v>17016</v>
      </c>
      <c r="E130">
        <v>17107.5</v>
      </c>
      <c r="F130">
        <f t="shared" si="5"/>
        <v>17799.95</v>
      </c>
      <c r="G130">
        <f t="shared" si="6"/>
        <v>16828.349999999999</v>
      </c>
      <c r="H130">
        <f t="shared" si="7"/>
        <v>28.730959242486705</v>
      </c>
      <c r="I130" s="2">
        <f t="shared" si="8"/>
        <v>23.838196613687689</v>
      </c>
    </row>
    <row r="131" spans="1:9" x14ac:dyDescent="0.25">
      <c r="A131" s="1">
        <v>45007</v>
      </c>
      <c r="B131">
        <v>17177.45</v>
      </c>
      <c r="C131">
        <v>17207.25</v>
      </c>
      <c r="D131">
        <v>17107.849999999999</v>
      </c>
      <c r="E131">
        <v>17151.900000000001</v>
      </c>
      <c r="F131">
        <f t="shared" si="5"/>
        <v>17799.95</v>
      </c>
      <c r="G131">
        <f t="shared" si="6"/>
        <v>16828.349999999999</v>
      </c>
      <c r="H131">
        <f t="shared" si="7"/>
        <v>33.300741045698039</v>
      </c>
      <c r="I131" s="2">
        <f t="shared" si="8"/>
        <v>26.168176204199444</v>
      </c>
    </row>
    <row r="132" spans="1:9" x14ac:dyDescent="0.25">
      <c r="A132" s="1">
        <v>45008</v>
      </c>
      <c r="B132">
        <v>17097.400000000001</v>
      </c>
      <c r="C132">
        <v>17205.400000000001</v>
      </c>
      <c r="D132">
        <v>17045.3</v>
      </c>
      <c r="E132">
        <v>17076.900000000001</v>
      </c>
      <c r="F132">
        <f t="shared" si="5"/>
        <v>17799.95</v>
      </c>
      <c r="G132">
        <f t="shared" si="6"/>
        <v>16828.349999999999</v>
      </c>
      <c r="H132">
        <f t="shared" si="7"/>
        <v>25.581515026760226</v>
      </c>
      <c r="I132" s="2">
        <f t="shared" si="8"/>
        <v>29.204405104981657</v>
      </c>
    </row>
    <row r="133" spans="1:9" x14ac:dyDescent="0.25">
      <c r="A133" s="1">
        <v>45009</v>
      </c>
      <c r="B133">
        <v>17076.2</v>
      </c>
      <c r="C133">
        <v>17109.45</v>
      </c>
      <c r="D133">
        <v>16917.349999999999</v>
      </c>
      <c r="E133">
        <v>16945.05</v>
      </c>
      <c r="F133">
        <f t="shared" si="5"/>
        <v>17799.95</v>
      </c>
      <c r="G133">
        <f t="shared" si="6"/>
        <v>16828.349999999999</v>
      </c>
      <c r="H133">
        <f t="shared" si="7"/>
        <v>12.011115685467319</v>
      </c>
      <c r="I133" s="2">
        <f t="shared" si="8"/>
        <v>23.631123919308525</v>
      </c>
    </row>
    <row r="134" spans="1:9" x14ac:dyDescent="0.25">
      <c r="A134" s="1">
        <v>45012</v>
      </c>
      <c r="B134">
        <v>16984.3</v>
      </c>
      <c r="C134">
        <v>17091</v>
      </c>
      <c r="D134">
        <v>16918.55</v>
      </c>
      <c r="E134">
        <v>16985.7</v>
      </c>
      <c r="F134">
        <f t="shared" si="5"/>
        <v>17772.349999999999</v>
      </c>
      <c r="G134">
        <f t="shared" si="6"/>
        <v>16828.349999999999</v>
      </c>
      <c r="H134">
        <f t="shared" si="7"/>
        <v>16.668432203390061</v>
      </c>
      <c r="I134" s="2">
        <f t="shared" si="8"/>
        <v>18.087020971872537</v>
      </c>
    </row>
    <row r="135" spans="1:9" x14ac:dyDescent="0.25">
      <c r="A135" s="1">
        <v>45013</v>
      </c>
      <c r="B135">
        <v>17031.75</v>
      </c>
      <c r="C135">
        <v>17061.75</v>
      </c>
      <c r="D135">
        <v>16913.75</v>
      </c>
      <c r="E135">
        <v>16951.7</v>
      </c>
      <c r="F135">
        <f t="shared" si="5"/>
        <v>17772.349999999999</v>
      </c>
      <c r="G135">
        <f t="shared" si="6"/>
        <v>16828.349999999999</v>
      </c>
      <c r="H135">
        <f t="shared" si="7"/>
        <v>13.066737288135824</v>
      </c>
      <c r="I135" s="2">
        <f t="shared" si="8"/>
        <v>13.915428392331068</v>
      </c>
    </row>
    <row r="136" spans="1:9" x14ac:dyDescent="0.25">
      <c r="A136" s="1">
        <v>45014</v>
      </c>
      <c r="B136">
        <v>16977.3</v>
      </c>
      <c r="C136">
        <v>17126.150000000001</v>
      </c>
      <c r="D136">
        <v>16940.599999999999</v>
      </c>
      <c r="E136">
        <v>17080.7</v>
      </c>
      <c r="F136">
        <f t="shared" si="5"/>
        <v>17529.900000000001</v>
      </c>
      <c r="G136">
        <f t="shared" si="6"/>
        <v>16828.349999999999</v>
      </c>
      <c r="H136">
        <f t="shared" si="7"/>
        <v>35.970351364835167</v>
      </c>
      <c r="I136" s="2">
        <f t="shared" si="8"/>
        <v>21.901840285453687</v>
      </c>
    </row>
    <row r="137" spans="1:9" x14ac:dyDescent="0.25">
      <c r="A137" s="1">
        <v>45016</v>
      </c>
      <c r="B137">
        <v>17210.349999999999</v>
      </c>
      <c r="C137">
        <v>17381.599999999999</v>
      </c>
      <c r="D137">
        <v>17204.650000000001</v>
      </c>
      <c r="E137">
        <v>17359.75</v>
      </c>
      <c r="F137">
        <f t="shared" si="5"/>
        <v>17529.900000000001</v>
      </c>
      <c r="G137">
        <f t="shared" si="6"/>
        <v>16828.349999999999</v>
      </c>
      <c r="H137">
        <f t="shared" si="7"/>
        <v>75.746561185945296</v>
      </c>
      <c r="I137" s="2">
        <f t="shared" si="8"/>
        <v>41.594549946305428</v>
      </c>
    </row>
    <row r="138" spans="1:9" x14ac:dyDescent="0.25">
      <c r="A138" s="1">
        <v>45019</v>
      </c>
      <c r="B138">
        <v>17427.95</v>
      </c>
      <c r="C138">
        <v>17428.05</v>
      </c>
      <c r="D138">
        <v>17312.75</v>
      </c>
      <c r="E138">
        <v>17398.05</v>
      </c>
      <c r="F138">
        <f t="shared" si="5"/>
        <v>17428.05</v>
      </c>
      <c r="G138">
        <f t="shared" si="6"/>
        <v>16828.349999999999</v>
      </c>
      <c r="H138">
        <f t="shared" si="7"/>
        <v>94.997498749374699</v>
      </c>
      <c r="I138" s="2">
        <f t="shared" si="8"/>
        <v>68.904803766718388</v>
      </c>
    </row>
    <row r="139" spans="1:9" x14ac:dyDescent="0.25">
      <c r="A139" s="1">
        <v>45021</v>
      </c>
      <c r="B139">
        <v>17422.3</v>
      </c>
      <c r="C139">
        <v>17570.55</v>
      </c>
      <c r="D139">
        <v>17402.7</v>
      </c>
      <c r="E139">
        <v>17557.05</v>
      </c>
      <c r="F139">
        <f t="shared" si="5"/>
        <v>17570.55</v>
      </c>
      <c r="G139">
        <f t="shared" si="6"/>
        <v>16828.349999999999</v>
      </c>
      <c r="H139">
        <f t="shared" si="7"/>
        <v>98.181083265966052</v>
      </c>
      <c r="I139" s="2">
        <f t="shared" si="8"/>
        <v>89.641714400428683</v>
      </c>
    </row>
    <row r="140" spans="1:9" x14ac:dyDescent="0.25">
      <c r="A140" s="1">
        <v>45022</v>
      </c>
      <c r="B140">
        <v>17533.849999999999</v>
      </c>
      <c r="C140">
        <v>17638.7</v>
      </c>
      <c r="D140">
        <v>17502.849999999999</v>
      </c>
      <c r="E140">
        <v>17599.150000000001</v>
      </c>
      <c r="F140">
        <f t="shared" si="5"/>
        <v>17638.7</v>
      </c>
      <c r="G140">
        <f t="shared" si="6"/>
        <v>16828.349999999999</v>
      </c>
      <c r="H140">
        <f t="shared" si="7"/>
        <v>95.119392854939321</v>
      </c>
      <c r="I140" s="2">
        <f t="shared" si="8"/>
        <v>96.099324956760029</v>
      </c>
    </row>
    <row r="141" spans="1:9" x14ac:dyDescent="0.25">
      <c r="A141" s="1">
        <v>45026</v>
      </c>
      <c r="B141">
        <v>17634.900000000001</v>
      </c>
      <c r="C141">
        <v>17694.099999999999</v>
      </c>
      <c r="D141">
        <v>17597.95</v>
      </c>
      <c r="E141">
        <v>17624.05</v>
      </c>
      <c r="F141">
        <f t="shared" si="5"/>
        <v>17694.099999999999</v>
      </c>
      <c r="G141">
        <f t="shared" si="6"/>
        <v>16828.349999999999</v>
      </c>
      <c r="H141">
        <f t="shared" si="7"/>
        <v>91.908749639041375</v>
      </c>
      <c r="I141" s="2">
        <f t="shared" si="8"/>
        <v>95.069741919982263</v>
      </c>
    </row>
    <row r="142" spans="1:9" x14ac:dyDescent="0.25">
      <c r="A142" s="1">
        <v>45027</v>
      </c>
      <c r="B142">
        <v>17704.8</v>
      </c>
      <c r="C142">
        <v>17748.75</v>
      </c>
      <c r="D142">
        <v>17655.150000000001</v>
      </c>
      <c r="E142">
        <v>17722.3</v>
      </c>
      <c r="F142">
        <f t="shared" si="5"/>
        <v>17748.75</v>
      </c>
      <c r="G142">
        <f t="shared" si="6"/>
        <v>16828.349999999999</v>
      </c>
      <c r="H142">
        <f t="shared" si="7"/>
        <v>97.126249456757861</v>
      </c>
      <c r="I142" s="2">
        <f t="shared" si="8"/>
        <v>94.718130650246181</v>
      </c>
    </row>
    <row r="143" spans="1:9" x14ac:dyDescent="0.25">
      <c r="A143" s="1">
        <v>45028</v>
      </c>
      <c r="B143">
        <v>17759.55</v>
      </c>
      <c r="C143">
        <v>17825.75</v>
      </c>
      <c r="D143">
        <v>17717.25</v>
      </c>
      <c r="E143">
        <v>17812.400000000001</v>
      </c>
      <c r="F143">
        <f t="shared" si="5"/>
        <v>17825.75</v>
      </c>
      <c r="G143">
        <f t="shared" si="6"/>
        <v>16913.75</v>
      </c>
      <c r="H143">
        <f t="shared" si="7"/>
        <v>98.536184210526471</v>
      </c>
      <c r="I143" s="2">
        <f t="shared" si="8"/>
        <v>95.85706110210856</v>
      </c>
    </row>
    <row r="144" spans="1:9" x14ac:dyDescent="0.25">
      <c r="A144" s="1">
        <v>45029</v>
      </c>
      <c r="B144">
        <v>17807.3</v>
      </c>
      <c r="C144">
        <v>17842.150000000001</v>
      </c>
      <c r="D144">
        <v>17729.650000000001</v>
      </c>
      <c r="E144">
        <v>17828</v>
      </c>
      <c r="F144">
        <f t="shared" ref="F144:F207" si="9">MAX(C131:C144)</f>
        <v>17842.150000000001</v>
      </c>
      <c r="G144">
        <f t="shared" ref="G144:G207" si="10">MIN(D131:D144)</f>
        <v>16913.75</v>
      </c>
      <c r="H144">
        <f t="shared" si="7"/>
        <v>98.475872468763313</v>
      </c>
      <c r="I144" s="2">
        <f t="shared" si="8"/>
        <v>98.04610204534923</v>
      </c>
    </row>
    <row r="145" spans="1:9" x14ac:dyDescent="0.25">
      <c r="A145" s="1">
        <v>45033</v>
      </c>
      <c r="B145">
        <v>17863</v>
      </c>
      <c r="C145">
        <v>17863</v>
      </c>
      <c r="D145">
        <v>17574.05</v>
      </c>
      <c r="E145">
        <v>17706.849999999999</v>
      </c>
      <c r="F145">
        <f t="shared" si="9"/>
        <v>17863</v>
      </c>
      <c r="G145">
        <f t="shared" si="10"/>
        <v>16913.75</v>
      </c>
      <c r="H145">
        <f t="shared" si="7"/>
        <v>83.550171187779668</v>
      </c>
      <c r="I145" s="2">
        <f t="shared" si="8"/>
        <v>93.52074262235648</v>
      </c>
    </row>
    <row r="146" spans="1:9" x14ac:dyDescent="0.25">
      <c r="A146" s="1">
        <v>45034</v>
      </c>
      <c r="B146">
        <v>17766.599999999999</v>
      </c>
      <c r="C146">
        <v>17766.599999999999</v>
      </c>
      <c r="D146">
        <v>17610.2</v>
      </c>
      <c r="E146">
        <v>17660.150000000001</v>
      </c>
      <c r="F146">
        <f t="shared" si="9"/>
        <v>17863</v>
      </c>
      <c r="G146">
        <f t="shared" si="10"/>
        <v>16913.75</v>
      </c>
      <c r="H146">
        <f t="shared" ref="H146:H209" si="11">(E146-G146)*100/(F146-G146)</f>
        <v>78.630497761390728</v>
      </c>
      <c r="I146" s="2">
        <f t="shared" ref="I146:I209" si="12">AVERAGE(H144:H146)</f>
        <v>86.885513805977894</v>
      </c>
    </row>
    <row r="147" spans="1:9" x14ac:dyDescent="0.25">
      <c r="A147" s="1">
        <v>45035</v>
      </c>
      <c r="B147">
        <v>17653.349999999999</v>
      </c>
      <c r="C147">
        <v>17666.150000000001</v>
      </c>
      <c r="D147">
        <v>17579.849999999999</v>
      </c>
      <c r="E147">
        <v>17618.75</v>
      </c>
      <c r="F147">
        <f t="shared" si="9"/>
        <v>17863</v>
      </c>
      <c r="G147">
        <f t="shared" si="10"/>
        <v>16913.75</v>
      </c>
      <c r="H147">
        <f t="shared" si="11"/>
        <v>74.269159863049779</v>
      </c>
      <c r="I147" s="2">
        <f t="shared" si="12"/>
        <v>78.816609604073392</v>
      </c>
    </row>
    <row r="148" spans="1:9" x14ac:dyDescent="0.25">
      <c r="A148" s="1">
        <v>45036</v>
      </c>
      <c r="B148">
        <v>17638.599999999999</v>
      </c>
      <c r="C148">
        <v>17684.45</v>
      </c>
      <c r="D148">
        <v>17584.349999999999</v>
      </c>
      <c r="E148">
        <v>17624.45</v>
      </c>
      <c r="F148">
        <f t="shared" si="9"/>
        <v>17863</v>
      </c>
      <c r="G148">
        <f t="shared" si="10"/>
        <v>16913.75</v>
      </c>
      <c r="H148">
        <f t="shared" si="11"/>
        <v>74.869633921517064</v>
      </c>
      <c r="I148" s="2">
        <f t="shared" si="12"/>
        <v>75.923097181985852</v>
      </c>
    </row>
    <row r="149" spans="1:9" x14ac:dyDescent="0.25">
      <c r="A149" s="1">
        <v>45037</v>
      </c>
      <c r="B149">
        <v>17639.75</v>
      </c>
      <c r="C149">
        <v>17663.2</v>
      </c>
      <c r="D149">
        <v>17553.95</v>
      </c>
      <c r="E149">
        <v>17624.05</v>
      </c>
      <c r="F149">
        <f t="shared" si="9"/>
        <v>17863</v>
      </c>
      <c r="G149">
        <f t="shared" si="10"/>
        <v>16940.599999999999</v>
      </c>
      <c r="H149">
        <f t="shared" si="11"/>
        <v>74.094752818733696</v>
      </c>
      <c r="I149" s="2">
        <f t="shared" si="12"/>
        <v>74.411182201100175</v>
      </c>
    </row>
    <row r="150" spans="1:9" x14ac:dyDescent="0.25">
      <c r="A150" s="1">
        <v>45040</v>
      </c>
      <c r="B150">
        <v>17707.55</v>
      </c>
      <c r="C150">
        <v>17754.5</v>
      </c>
      <c r="D150">
        <v>17612.5</v>
      </c>
      <c r="E150">
        <v>17743.400000000001</v>
      </c>
      <c r="F150">
        <f t="shared" si="9"/>
        <v>17863</v>
      </c>
      <c r="G150">
        <f t="shared" si="10"/>
        <v>17204.650000000001</v>
      </c>
      <c r="H150">
        <f t="shared" si="11"/>
        <v>81.8333713070557</v>
      </c>
      <c r="I150" s="2">
        <f t="shared" si="12"/>
        <v>76.93258601576882</v>
      </c>
    </row>
    <row r="151" spans="1:9" x14ac:dyDescent="0.25">
      <c r="A151" s="1">
        <v>45041</v>
      </c>
      <c r="B151">
        <v>17761.55</v>
      </c>
      <c r="C151">
        <v>17807.45</v>
      </c>
      <c r="D151">
        <v>17716.849999999999</v>
      </c>
      <c r="E151">
        <v>17769.25</v>
      </c>
      <c r="F151">
        <f t="shared" si="9"/>
        <v>17863</v>
      </c>
      <c r="G151">
        <f t="shared" si="10"/>
        <v>17312.75</v>
      </c>
      <c r="H151">
        <f t="shared" si="11"/>
        <v>82.962289868241712</v>
      </c>
      <c r="I151" s="2">
        <f t="shared" si="12"/>
        <v>79.630137998010369</v>
      </c>
    </row>
    <row r="152" spans="1:9" x14ac:dyDescent="0.25">
      <c r="A152" s="1">
        <v>45042</v>
      </c>
      <c r="B152">
        <v>17767.3</v>
      </c>
      <c r="C152">
        <v>17827.75</v>
      </c>
      <c r="D152">
        <v>17711.2</v>
      </c>
      <c r="E152">
        <v>17813.599999999999</v>
      </c>
      <c r="F152">
        <f t="shared" si="9"/>
        <v>17863</v>
      </c>
      <c r="G152">
        <f t="shared" si="10"/>
        <v>17402.7</v>
      </c>
      <c r="H152">
        <f t="shared" si="11"/>
        <v>89.267868781229296</v>
      </c>
      <c r="I152" s="2">
        <f t="shared" si="12"/>
        <v>84.687843318842241</v>
      </c>
    </row>
    <row r="153" spans="1:9" x14ac:dyDescent="0.25">
      <c r="A153" s="1">
        <v>45043</v>
      </c>
      <c r="B153">
        <v>17813.099999999999</v>
      </c>
      <c r="C153">
        <v>17931.599999999999</v>
      </c>
      <c r="D153">
        <v>17797.900000000001</v>
      </c>
      <c r="E153">
        <v>17915.05</v>
      </c>
      <c r="F153">
        <f t="shared" si="9"/>
        <v>17931.599999999999</v>
      </c>
      <c r="G153">
        <f t="shared" si="10"/>
        <v>17502.849999999999</v>
      </c>
      <c r="H153">
        <f t="shared" si="11"/>
        <v>96.139941690962274</v>
      </c>
      <c r="I153" s="2">
        <f t="shared" si="12"/>
        <v>89.456700113477766</v>
      </c>
    </row>
    <row r="154" spans="1:9" x14ac:dyDescent="0.25">
      <c r="A154" s="1">
        <v>45044</v>
      </c>
      <c r="B154">
        <v>17950.400000000001</v>
      </c>
      <c r="C154">
        <v>18089.150000000001</v>
      </c>
      <c r="D154">
        <v>17885.3</v>
      </c>
      <c r="E154">
        <v>18065</v>
      </c>
      <c r="F154">
        <f t="shared" si="9"/>
        <v>18089.150000000001</v>
      </c>
      <c r="G154">
        <f t="shared" si="10"/>
        <v>17553.95</v>
      </c>
      <c r="H154">
        <f t="shared" si="11"/>
        <v>95.487668161434712</v>
      </c>
      <c r="I154" s="2">
        <f t="shared" si="12"/>
        <v>93.631826211208761</v>
      </c>
    </row>
    <row r="155" spans="1:9" x14ac:dyDescent="0.25">
      <c r="A155" s="1">
        <v>45048</v>
      </c>
      <c r="B155">
        <v>18124.8</v>
      </c>
      <c r="C155">
        <v>18180.25</v>
      </c>
      <c r="D155">
        <v>18101.75</v>
      </c>
      <c r="E155">
        <v>18147.650000000001</v>
      </c>
      <c r="F155">
        <f t="shared" si="9"/>
        <v>18180.25</v>
      </c>
      <c r="G155">
        <f t="shared" si="10"/>
        <v>17553.95</v>
      </c>
      <c r="H155">
        <f t="shared" si="11"/>
        <v>94.794826760338722</v>
      </c>
      <c r="I155" s="2">
        <f t="shared" si="12"/>
        <v>95.474145537578565</v>
      </c>
    </row>
    <row r="156" spans="1:9" x14ac:dyDescent="0.25">
      <c r="A156" s="1">
        <v>45049</v>
      </c>
      <c r="B156">
        <v>18113.8</v>
      </c>
      <c r="C156">
        <v>18116.349999999999</v>
      </c>
      <c r="D156">
        <v>18042.400000000001</v>
      </c>
      <c r="E156">
        <v>18089.849999999999</v>
      </c>
      <c r="F156">
        <f t="shared" si="9"/>
        <v>18180.25</v>
      </c>
      <c r="G156">
        <f t="shared" si="10"/>
        <v>17553.95</v>
      </c>
      <c r="H156">
        <f t="shared" si="11"/>
        <v>85.566022672840248</v>
      </c>
      <c r="I156" s="2">
        <f t="shared" si="12"/>
        <v>91.949505864871227</v>
      </c>
    </row>
    <row r="157" spans="1:9" x14ac:dyDescent="0.25">
      <c r="A157" s="1">
        <v>45050</v>
      </c>
      <c r="B157">
        <v>18081</v>
      </c>
      <c r="C157">
        <v>18267.45</v>
      </c>
      <c r="D157">
        <v>18066.7</v>
      </c>
      <c r="E157">
        <v>18255.8</v>
      </c>
      <c r="F157">
        <f t="shared" si="9"/>
        <v>18267.45</v>
      </c>
      <c r="G157">
        <f t="shared" si="10"/>
        <v>17553.95</v>
      </c>
      <c r="H157">
        <f t="shared" si="11"/>
        <v>98.367203924316541</v>
      </c>
      <c r="I157" s="2">
        <f t="shared" si="12"/>
        <v>92.90935111916518</v>
      </c>
    </row>
    <row r="158" spans="1:9" x14ac:dyDescent="0.25">
      <c r="A158" s="1">
        <v>45051</v>
      </c>
      <c r="B158">
        <v>18117.3</v>
      </c>
      <c r="C158">
        <v>18216.95</v>
      </c>
      <c r="D158">
        <v>18055.45</v>
      </c>
      <c r="E158">
        <v>18069</v>
      </c>
      <c r="F158">
        <f t="shared" si="9"/>
        <v>18267.45</v>
      </c>
      <c r="G158">
        <f t="shared" si="10"/>
        <v>17553.95</v>
      </c>
      <c r="H158">
        <f t="shared" si="11"/>
        <v>72.186405045550003</v>
      </c>
      <c r="I158" s="2">
        <f t="shared" si="12"/>
        <v>85.373210547568931</v>
      </c>
    </row>
    <row r="159" spans="1:9" x14ac:dyDescent="0.25">
      <c r="A159" s="1">
        <v>45054</v>
      </c>
      <c r="B159">
        <v>18120.599999999999</v>
      </c>
      <c r="C159">
        <v>18286.95</v>
      </c>
      <c r="D159">
        <v>18100.3</v>
      </c>
      <c r="E159">
        <v>18264.400000000001</v>
      </c>
      <c r="F159">
        <f t="shared" si="9"/>
        <v>18286.95</v>
      </c>
      <c r="G159">
        <f t="shared" si="10"/>
        <v>17553.95</v>
      </c>
      <c r="H159">
        <f t="shared" si="11"/>
        <v>96.923601637107879</v>
      </c>
      <c r="I159" s="2">
        <f t="shared" si="12"/>
        <v>89.159070202324813</v>
      </c>
    </row>
    <row r="160" spans="1:9" x14ac:dyDescent="0.25">
      <c r="A160" s="1">
        <v>45055</v>
      </c>
      <c r="B160">
        <v>18303.400000000001</v>
      </c>
      <c r="C160">
        <v>18344.2</v>
      </c>
      <c r="D160">
        <v>18229.650000000001</v>
      </c>
      <c r="E160">
        <v>18265.95</v>
      </c>
      <c r="F160">
        <f t="shared" si="9"/>
        <v>18344.2</v>
      </c>
      <c r="G160">
        <f t="shared" si="10"/>
        <v>17553.95</v>
      </c>
      <c r="H160">
        <f t="shared" si="11"/>
        <v>90.09807023093957</v>
      </c>
      <c r="I160" s="2">
        <f t="shared" si="12"/>
        <v>86.402692304532479</v>
      </c>
    </row>
    <row r="161" spans="1:9" x14ac:dyDescent="0.25">
      <c r="A161" s="1">
        <v>45056</v>
      </c>
      <c r="B161">
        <v>18313.599999999999</v>
      </c>
      <c r="C161">
        <v>18326.75</v>
      </c>
      <c r="D161">
        <v>18211.95</v>
      </c>
      <c r="E161">
        <v>18315.099999999999</v>
      </c>
      <c r="F161">
        <f t="shared" si="9"/>
        <v>18344.2</v>
      </c>
      <c r="G161">
        <f t="shared" si="10"/>
        <v>17553.95</v>
      </c>
      <c r="H161">
        <f t="shared" si="11"/>
        <v>96.317621006010484</v>
      </c>
      <c r="I161" s="2">
        <f t="shared" si="12"/>
        <v>94.44643095801932</v>
      </c>
    </row>
    <row r="162" spans="1:9" x14ac:dyDescent="0.25">
      <c r="A162" s="1">
        <v>45057</v>
      </c>
      <c r="B162">
        <v>18357.8</v>
      </c>
      <c r="C162">
        <v>18389.7</v>
      </c>
      <c r="D162">
        <v>18270.400000000001</v>
      </c>
      <c r="E162">
        <v>18297</v>
      </c>
      <c r="F162">
        <f t="shared" si="9"/>
        <v>18389.7</v>
      </c>
      <c r="G162">
        <f t="shared" si="10"/>
        <v>17553.95</v>
      </c>
      <c r="H162">
        <f t="shared" si="11"/>
        <v>88.908166317678649</v>
      </c>
      <c r="I162" s="2">
        <f t="shared" si="12"/>
        <v>91.774619184876244</v>
      </c>
    </row>
    <row r="163" spans="1:9" x14ac:dyDescent="0.25">
      <c r="A163" s="1">
        <v>45058</v>
      </c>
      <c r="B163">
        <v>18273.75</v>
      </c>
      <c r="C163">
        <v>18342.75</v>
      </c>
      <c r="D163">
        <v>18194.55</v>
      </c>
      <c r="E163">
        <v>18314.8</v>
      </c>
      <c r="F163">
        <f t="shared" si="9"/>
        <v>18389.7</v>
      </c>
      <c r="G163">
        <f t="shared" si="10"/>
        <v>17612.5</v>
      </c>
      <c r="H163">
        <f t="shared" si="11"/>
        <v>90.362840967575735</v>
      </c>
      <c r="I163" s="2">
        <f t="shared" si="12"/>
        <v>91.862876097088289</v>
      </c>
    </row>
    <row r="164" spans="1:9" x14ac:dyDescent="0.25">
      <c r="A164" s="1">
        <v>45061</v>
      </c>
      <c r="B164">
        <v>18339.3</v>
      </c>
      <c r="C164">
        <v>18458.900000000001</v>
      </c>
      <c r="D164">
        <v>18287.900000000001</v>
      </c>
      <c r="E164">
        <v>18398.849999999999</v>
      </c>
      <c r="F164">
        <f t="shared" si="9"/>
        <v>18458.900000000001</v>
      </c>
      <c r="G164">
        <f t="shared" si="10"/>
        <v>17711.2</v>
      </c>
      <c r="H164">
        <f t="shared" si="11"/>
        <v>91.968704025678363</v>
      </c>
      <c r="I164" s="2">
        <f t="shared" si="12"/>
        <v>90.413237103644249</v>
      </c>
    </row>
    <row r="165" spans="1:9" x14ac:dyDescent="0.25">
      <c r="A165" s="1">
        <v>45062</v>
      </c>
      <c r="B165">
        <v>18432.349999999999</v>
      </c>
      <c r="C165">
        <v>18432.349999999999</v>
      </c>
      <c r="D165">
        <v>18264.349999999999</v>
      </c>
      <c r="E165">
        <v>18286.5</v>
      </c>
      <c r="F165">
        <f t="shared" si="9"/>
        <v>18458.900000000001</v>
      </c>
      <c r="G165">
        <f t="shared" si="10"/>
        <v>17711.2</v>
      </c>
      <c r="H165">
        <f t="shared" si="11"/>
        <v>76.94262404707753</v>
      </c>
      <c r="I165" s="2">
        <f t="shared" si="12"/>
        <v>86.424723013443881</v>
      </c>
    </row>
    <row r="166" spans="1:9" x14ac:dyDescent="0.25">
      <c r="A166" s="1">
        <v>45063</v>
      </c>
      <c r="B166">
        <v>18300.45</v>
      </c>
      <c r="C166">
        <v>18309</v>
      </c>
      <c r="D166">
        <v>18115.349999999999</v>
      </c>
      <c r="E166">
        <v>18181.75</v>
      </c>
      <c r="F166">
        <f t="shared" si="9"/>
        <v>18458.900000000001</v>
      </c>
      <c r="G166">
        <f t="shared" si="10"/>
        <v>17797.900000000001</v>
      </c>
      <c r="H166">
        <f t="shared" si="11"/>
        <v>58.071104387291761</v>
      </c>
      <c r="I166" s="2">
        <f t="shared" si="12"/>
        <v>75.660810820015897</v>
      </c>
    </row>
    <row r="167" spans="1:9" x14ac:dyDescent="0.25">
      <c r="A167" s="1">
        <v>45064</v>
      </c>
      <c r="B167">
        <v>18287.5</v>
      </c>
      <c r="C167">
        <v>18297.2</v>
      </c>
      <c r="D167">
        <v>18104.849999999999</v>
      </c>
      <c r="E167">
        <v>18129.95</v>
      </c>
      <c r="F167">
        <f t="shared" si="9"/>
        <v>18458.900000000001</v>
      </c>
      <c r="G167">
        <f t="shared" si="10"/>
        <v>17885.3</v>
      </c>
      <c r="H167">
        <f t="shared" si="11"/>
        <v>42.651673640167452</v>
      </c>
      <c r="I167" s="2">
        <f t="shared" si="12"/>
        <v>59.221800691512243</v>
      </c>
    </row>
    <row r="168" spans="1:9" x14ac:dyDescent="0.25">
      <c r="A168" s="1">
        <v>45065</v>
      </c>
      <c r="B168">
        <v>18186.150000000001</v>
      </c>
      <c r="C168">
        <v>18218.099999999999</v>
      </c>
      <c r="D168">
        <v>18060.400000000001</v>
      </c>
      <c r="E168">
        <v>18203.400000000001</v>
      </c>
      <c r="F168">
        <f t="shared" si="9"/>
        <v>18458.900000000001</v>
      </c>
      <c r="G168">
        <f t="shared" si="10"/>
        <v>18042.400000000001</v>
      </c>
      <c r="H168">
        <f t="shared" si="11"/>
        <v>38.655462184873947</v>
      </c>
      <c r="I168" s="2">
        <f t="shared" si="12"/>
        <v>46.459413404111054</v>
      </c>
    </row>
    <row r="169" spans="1:9" x14ac:dyDescent="0.25">
      <c r="A169" s="1">
        <v>45068</v>
      </c>
      <c r="B169">
        <v>18201.099999999999</v>
      </c>
      <c r="C169">
        <v>18335.25</v>
      </c>
      <c r="D169">
        <v>18178.849999999999</v>
      </c>
      <c r="E169">
        <v>18314.400000000001</v>
      </c>
      <c r="F169">
        <f t="shared" si="9"/>
        <v>18458.900000000001</v>
      </c>
      <c r="G169">
        <f t="shared" si="10"/>
        <v>18042.400000000001</v>
      </c>
      <c r="H169">
        <f t="shared" si="11"/>
        <v>65.306122448979593</v>
      </c>
      <c r="I169" s="2">
        <f t="shared" si="12"/>
        <v>48.871086091340338</v>
      </c>
    </row>
    <row r="170" spans="1:9" x14ac:dyDescent="0.25">
      <c r="A170" s="1">
        <v>45069</v>
      </c>
      <c r="B170">
        <v>18362.900000000001</v>
      </c>
      <c r="C170">
        <v>18419.75</v>
      </c>
      <c r="D170">
        <v>18324.2</v>
      </c>
      <c r="E170">
        <v>18348</v>
      </c>
      <c r="F170">
        <f t="shared" si="9"/>
        <v>18458.900000000001</v>
      </c>
      <c r="G170">
        <f t="shared" si="10"/>
        <v>18055.45</v>
      </c>
      <c r="H170">
        <f t="shared" si="11"/>
        <v>72.51208328169507</v>
      </c>
      <c r="I170" s="2">
        <f t="shared" si="12"/>
        <v>58.824555971849541</v>
      </c>
    </row>
    <row r="171" spans="1:9" x14ac:dyDescent="0.25">
      <c r="A171" s="1">
        <v>45070</v>
      </c>
      <c r="B171">
        <v>18294.8</v>
      </c>
      <c r="C171">
        <v>18392.599999999999</v>
      </c>
      <c r="D171">
        <v>18262.95</v>
      </c>
      <c r="E171">
        <v>18285.400000000001</v>
      </c>
      <c r="F171">
        <f t="shared" si="9"/>
        <v>18458.900000000001</v>
      </c>
      <c r="G171">
        <f t="shared" si="10"/>
        <v>18055.45</v>
      </c>
      <c r="H171">
        <f t="shared" si="11"/>
        <v>56.995910273887795</v>
      </c>
      <c r="I171" s="2">
        <f t="shared" si="12"/>
        <v>64.938038668187488</v>
      </c>
    </row>
    <row r="172" spans="1:9" x14ac:dyDescent="0.25">
      <c r="A172" s="1">
        <v>45071</v>
      </c>
      <c r="B172">
        <v>18268.900000000001</v>
      </c>
      <c r="C172">
        <v>18338.099999999999</v>
      </c>
      <c r="D172">
        <v>18202.400000000001</v>
      </c>
      <c r="E172">
        <v>18321.150000000001</v>
      </c>
      <c r="F172">
        <f t="shared" si="9"/>
        <v>18458.900000000001</v>
      </c>
      <c r="G172">
        <f t="shared" si="10"/>
        <v>18060.400000000001</v>
      </c>
      <c r="H172">
        <f t="shared" si="11"/>
        <v>65.43287327478042</v>
      </c>
      <c r="I172" s="2">
        <f t="shared" si="12"/>
        <v>64.980288943454426</v>
      </c>
    </row>
    <row r="173" spans="1:9" x14ac:dyDescent="0.25">
      <c r="A173" s="1">
        <v>45072</v>
      </c>
      <c r="B173">
        <v>18368.349999999999</v>
      </c>
      <c r="C173">
        <v>18508.55</v>
      </c>
      <c r="D173">
        <v>18333.150000000001</v>
      </c>
      <c r="E173">
        <v>18499.349999999999</v>
      </c>
      <c r="F173">
        <f t="shared" si="9"/>
        <v>18508.55</v>
      </c>
      <c r="G173">
        <f t="shared" si="10"/>
        <v>18060.400000000001</v>
      </c>
      <c r="H173">
        <f t="shared" si="11"/>
        <v>97.947115921008418</v>
      </c>
      <c r="I173" s="2">
        <f t="shared" si="12"/>
        <v>73.458633156558875</v>
      </c>
    </row>
    <row r="174" spans="1:9" x14ac:dyDescent="0.25">
      <c r="A174" s="1">
        <v>45075</v>
      </c>
      <c r="B174">
        <v>18619.150000000001</v>
      </c>
      <c r="C174">
        <v>18641.2</v>
      </c>
      <c r="D174">
        <v>18581.25</v>
      </c>
      <c r="E174">
        <v>18598.650000000001</v>
      </c>
      <c r="F174">
        <f t="shared" si="9"/>
        <v>18641.2</v>
      </c>
      <c r="G174">
        <f t="shared" si="10"/>
        <v>18060.400000000001</v>
      </c>
      <c r="H174">
        <f t="shared" si="11"/>
        <v>92.673898071625459</v>
      </c>
      <c r="I174" s="2">
        <f t="shared" si="12"/>
        <v>85.351295755804756</v>
      </c>
    </row>
    <row r="175" spans="1:9" x14ac:dyDescent="0.25">
      <c r="A175" s="1">
        <v>45076</v>
      </c>
      <c r="B175">
        <v>18606.650000000001</v>
      </c>
      <c r="C175">
        <v>18662.45</v>
      </c>
      <c r="D175">
        <v>18575.5</v>
      </c>
      <c r="E175">
        <v>18633.849999999999</v>
      </c>
      <c r="F175">
        <f t="shared" si="9"/>
        <v>18662.45</v>
      </c>
      <c r="G175">
        <f t="shared" si="10"/>
        <v>18060.400000000001</v>
      </c>
      <c r="H175">
        <f t="shared" si="11"/>
        <v>95.249563989701485</v>
      </c>
      <c r="I175" s="2">
        <f t="shared" si="12"/>
        <v>95.290192660778459</v>
      </c>
    </row>
    <row r="176" spans="1:9" x14ac:dyDescent="0.25">
      <c r="A176" s="1">
        <v>45077</v>
      </c>
      <c r="B176">
        <v>18594.2</v>
      </c>
      <c r="C176">
        <v>18603.900000000001</v>
      </c>
      <c r="D176">
        <v>18483.849999999999</v>
      </c>
      <c r="E176">
        <v>18534.400000000001</v>
      </c>
      <c r="F176">
        <f t="shared" si="9"/>
        <v>18662.45</v>
      </c>
      <c r="G176">
        <f t="shared" si="10"/>
        <v>18060.400000000001</v>
      </c>
      <c r="H176">
        <f t="shared" si="11"/>
        <v>78.731002408437931</v>
      </c>
      <c r="I176" s="2">
        <f t="shared" si="12"/>
        <v>88.884821489921634</v>
      </c>
    </row>
    <row r="177" spans="1:9" x14ac:dyDescent="0.25">
      <c r="A177" s="1">
        <v>45078</v>
      </c>
      <c r="B177">
        <v>18579.400000000001</v>
      </c>
      <c r="C177">
        <v>18580.3</v>
      </c>
      <c r="D177">
        <v>18464.55</v>
      </c>
      <c r="E177">
        <v>18487.75</v>
      </c>
      <c r="F177">
        <f t="shared" si="9"/>
        <v>18662.45</v>
      </c>
      <c r="G177">
        <f t="shared" si="10"/>
        <v>18060.400000000001</v>
      </c>
      <c r="H177">
        <f t="shared" si="11"/>
        <v>70.98247653849333</v>
      </c>
      <c r="I177" s="2">
        <f t="shared" si="12"/>
        <v>81.654347645544249</v>
      </c>
    </row>
    <row r="178" spans="1:9" x14ac:dyDescent="0.25">
      <c r="A178" s="1">
        <v>45079</v>
      </c>
      <c r="B178">
        <v>18550.849999999999</v>
      </c>
      <c r="C178">
        <v>18573.7</v>
      </c>
      <c r="D178">
        <v>18478.400000000001</v>
      </c>
      <c r="E178">
        <v>18534.099999999999</v>
      </c>
      <c r="F178">
        <f t="shared" si="9"/>
        <v>18662.45</v>
      </c>
      <c r="G178">
        <f t="shared" si="10"/>
        <v>18060.400000000001</v>
      </c>
      <c r="H178">
        <f t="shared" si="11"/>
        <v>78.681172660077678</v>
      </c>
      <c r="I178" s="2">
        <f t="shared" si="12"/>
        <v>76.131550535669646</v>
      </c>
    </row>
    <row r="179" spans="1:9" x14ac:dyDescent="0.25">
      <c r="A179" s="1">
        <v>45082</v>
      </c>
      <c r="B179">
        <v>18612</v>
      </c>
      <c r="C179">
        <v>18640.150000000001</v>
      </c>
      <c r="D179">
        <v>18582.8</v>
      </c>
      <c r="E179">
        <v>18593.849999999999</v>
      </c>
      <c r="F179">
        <f t="shared" si="9"/>
        <v>18662.45</v>
      </c>
      <c r="G179">
        <f t="shared" si="10"/>
        <v>18060.400000000001</v>
      </c>
      <c r="H179">
        <f t="shared" si="11"/>
        <v>88.605597541732038</v>
      </c>
      <c r="I179" s="2">
        <f t="shared" si="12"/>
        <v>79.423082246767692</v>
      </c>
    </row>
    <row r="180" spans="1:9" x14ac:dyDescent="0.25">
      <c r="A180" s="1">
        <v>45083</v>
      </c>
      <c r="B180">
        <v>18600.8</v>
      </c>
      <c r="C180">
        <v>18622.75</v>
      </c>
      <c r="D180">
        <v>18531.599999999999</v>
      </c>
      <c r="E180">
        <v>18599</v>
      </c>
      <c r="F180">
        <f t="shared" si="9"/>
        <v>18662.45</v>
      </c>
      <c r="G180">
        <f t="shared" si="10"/>
        <v>18060.400000000001</v>
      </c>
      <c r="H180">
        <f t="shared" si="11"/>
        <v>89.461008221908344</v>
      </c>
      <c r="I180" s="2">
        <f t="shared" si="12"/>
        <v>85.582592807906011</v>
      </c>
    </row>
    <row r="181" spans="1:9" x14ac:dyDescent="0.25">
      <c r="A181" s="1">
        <v>45084</v>
      </c>
      <c r="B181">
        <v>18665.599999999999</v>
      </c>
      <c r="C181">
        <v>18738.95</v>
      </c>
      <c r="D181">
        <v>18636</v>
      </c>
      <c r="E181">
        <v>18726.400000000001</v>
      </c>
      <c r="F181">
        <f t="shared" si="9"/>
        <v>18738.95</v>
      </c>
      <c r="G181">
        <f t="shared" si="10"/>
        <v>18060.400000000001</v>
      </c>
      <c r="H181">
        <f t="shared" si="11"/>
        <v>98.15046790951304</v>
      </c>
      <c r="I181" s="2">
        <f t="shared" si="12"/>
        <v>92.072357891051141</v>
      </c>
    </row>
    <row r="182" spans="1:9" x14ac:dyDescent="0.25">
      <c r="A182" s="1">
        <v>45085</v>
      </c>
      <c r="B182">
        <v>18725.349999999999</v>
      </c>
      <c r="C182">
        <v>18777.900000000001</v>
      </c>
      <c r="D182">
        <v>18615.599999999999</v>
      </c>
      <c r="E182">
        <v>18634.55</v>
      </c>
      <c r="F182">
        <f t="shared" si="9"/>
        <v>18777.900000000001</v>
      </c>
      <c r="G182">
        <f t="shared" si="10"/>
        <v>18178.849999999999</v>
      </c>
      <c r="H182">
        <f t="shared" si="11"/>
        <v>76.070444871045581</v>
      </c>
      <c r="I182" s="2">
        <f t="shared" si="12"/>
        <v>87.893973667488993</v>
      </c>
    </row>
    <row r="183" spans="1:9" x14ac:dyDescent="0.25">
      <c r="A183" s="1">
        <v>45086</v>
      </c>
      <c r="B183">
        <v>18655.900000000001</v>
      </c>
      <c r="C183">
        <v>18676.650000000001</v>
      </c>
      <c r="D183">
        <v>18555.400000000001</v>
      </c>
      <c r="E183">
        <v>18563.400000000001</v>
      </c>
      <c r="F183">
        <f t="shared" si="9"/>
        <v>18777.900000000001</v>
      </c>
      <c r="G183">
        <f t="shared" si="10"/>
        <v>18202.400000000001</v>
      </c>
      <c r="H183">
        <f t="shared" si="11"/>
        <v>62.728062554300607</v>
      </c>
      <c r="I183" s="2">
        <f t="shared" si="12"/>
        <v>78.982991778286404</v>
      </c>
    </row>
    <row r="184" spans="1:9" x14ac:dyDescent="0.25">
      <c r="A184" s="1">
        <v>45089</v>
      </c>
      <c r="B184">
        <v>18595.05</v>
      </c>
      <c r="C184">
        <v>18633.599999999999</v>
      </c>
      <c r="D184">
        <v>18559.75</v>
      </c>
      <c r="E184">
        <v>18601.5</v>
      </c>
      <c r="F184">
        <f t="shared" si="9"/>
        <v>18777.900000000001</v>
      </c>
      <c r="G184">
        <f t="shared" si="10"/>
        <v>18202.400000000001</v>
      </c>
      <c r="H184">
        <f t="shared" si="11"/>
        <v>69.348392701998009</v>
      </c>
      <c r="I184" s="2">
        <f t="shared" si="12"/>
        <v>69.38230004244808</v>
      </c>
    </row>
    <row r="185" spans="1:9" x14ac:dyDescent="0.25">
      <c r="A185" s="1">
        <v>45090</v>
      </c>
      <c r="B185">
        <v>18631.8</v>
      </c>
      <c r="C185">
        <v>18728.900000000001</v>
      </c>
      <c r="D185">
        <v>18631.8</v>
      </c>
      <c r="E185">
        <v>18716.150000000001</v>
      </c>
      <c r="F185">
        <f t="shared" si="9"/>
        <v>18777.900000000001</v>
      </c>
      <c r="G185">
        <f t="shared" si="10"/>
        <v>18202.400000000001</v>
      </c>
      <c r="H185">
        <f t="shared" si="11"/>
        <v>89.270199826238056</v>
      </c>
      <c r="I185" s="2">
        <f t="shared" si="12"/>
        <v>73.782218360845562</v>
      </c>
    </row>
    <row r="186" spans="1:9" x14ac:dyDescent="0.25">
      <c r="A186" s="1">
        <v>45091</v>
      </c>
      <c r="B186">
        <v>18744.599999999999</v>
      </c>
      <c r="C186">
        <v>18769.7</v>
      </c>
      <c r="D186">
        <v>18690</v>
      </c>
      <c r="E186">
        <v>18755.900000000001</v>
      </c>
      <c r="F186">
        <f t="shared" si="9"/>
        <v>18777.900000000001</v>
      </c>
      <c r="G186">
        <f t="shared" si="10"/>
        <v>18333.150000000001</v>
      </c>
      <c r="H186">
        <f t="shared" si="11"/>
        <v>95.05340078695896</v>
      </c>
      <c r="I186" s="2">
        <f t="shared" si="12"/>
        <v>84.557331105065018</v>
      </c>
    </row>
    <row r="187" spans="1:9" x14ac:dyDescent="0.25">
      <c r="A187" s="1">
        <v>45092</v>
      </c>
      <c r="B187">
        <v>18774.45</v>
      </c>
      <c r="C187">
        <v>18794.099999999999</v>
      </c>
      <c r="D187">
        <v>18669.05</v>
      </c>
      <c r="E187">
        <v>18688.099999999999</v>
      </c>
      <c r="F187">
        <f t="shared" si="9"/>
        <v>18794.099999999999</v>
      </c>
      <c r="G187">
        <f t="shared" si="10"/>
        <v>18464.55</v>
      </c>
      <c r="H187">
        <f t="shared" si="11"/>
        <v>67.834926414807995</v>
      </c>
      <c r="I187" s="2">
        <f t="shared" si="12"/>
        <v>84.052842342668342</v>
      </c>
    </row>
    <row r="188" spans="1:9" x14ac:dyDescent="0.25">
      <c r="A188" s="1">
        <v>45093</v>
      </c>
      <c r="B188">
        <v>18723.3</v>
      </c>
      <c r="C188">
        <v>18864.7</v>
      </c>
      <c r="D188">
        <v>18710.5</v>
      </c>
      <c r="E188">
        <v>18826</v>
      </c>
      <c r="F188">
        <f t="shared" si="9"/>
        <v>18864.7</v>
      </c>
      <c r="G188">
        <f t="shared" si="10"/>
        <v>18464.55</v>
      </c>
      <c r="H188">
        <f t="shared" si="11"/>
        <v>90.328626764962991</v>
      </c>
      <c r="I188" s="2">
        <f t="shared" si="12"/>
        <v>84.405651322243315</v>
      </c>
    </row>
    <row r="189" spans="1:9" x14ac:dyDescent="0.25">
      <c r="A189" s="1">
        <v>45096</v>
      </c>
      <c r="B189">
        <v>18873.3</v>
      </c>
      <c r="C189">
        <v>18881.45</v>
      </c>
      <c r="D189">
        <v>18719.150000000001</v>
      </c>
      <c r="E189">
        <v>18755.45</v>
      </c>
      <c r="F189">
        <f t="shared" si="9"/>
        <v>18881.45</v>
      </c>
      <c r="G189">
        <f t="shared" si="10"/>
        <v>18464.55</v>
      </c>
      <c r="H189">
        <f t="shared" si="11"/>
        <v>69.776924922043762</v>
      </c>
      <c r="I189" s="2">
        <f t="shared" si="12"/>
        <v>75.980159367271582</v>
      </c>
    </row>
    <row r="190" spans="1:9" x14ac:dyDescent="0.25">
      <c r="A190" s="1">
        <v>45097</v>
      </c>
      <c r="B190">
        <v>18752.349999999999</v>
      </c>
      <c r="C190">
        <v>18839.7</v>
      </c>
      <c r="D190">
        <v>18660.650000000001</v>
      </c>
      <c r="E190">
        <v>18816.7</v>
      </c>
      <c r="F190">
        <f t="shared" si="9"/>
        <v>18881.45</v>
      </c>
      <c r="G190">
        <f t="shared" si="10"/>
        <v>18464.55</v>
      </c>
      <c r="H190">
        <f t="shared" si="11"/>
        <v>84.468697529383604</v>
      </c>
      <c r="I190" s="2">
        <f t="shared" si="12"/>
        <v>81.524749738796785</v>
      </c>
    </row>
    <row r="191" spans="1:9" x14ac:dyDescent="0.25">
      <c r="A191" s="1">
        <v>45098</v>
      </c>
      <c r="B191">
        <v>18849.400000000001</v>
      </c>
      <c r="C191">
        <v>18875.900000000001</v>
      </c>
      <c r="D191">
        <v>18794.849999999999</v>
      </c>
      <c r="E191">
        <v>18856.849999999999</v>
      </c>
      <c r="F191">
        <f t="shared" si="9"/>
        <v>18881.45</v>
      </c>
      <c r="G191">
        <f t="shared" si="10"/>
        <v>18478.400000000001</v>
      </c>
      <c r="H191">
        <f t="shared" si="11"/>
        <v>93.89653889095591</v>
      </c>
      <c r="I191" s="2">
        <f t="shared" si="12"/>
        <v>82.71405378079443</v>
      </c>
    </row>
    <row r="192" spans="1:9" x14ac:dyDescent="0.25">
      <c r="A192" s="1">
        <v>45099</v>
      </c>
      <c r="B192">
        <v>18853.599999999999</v>
      </c>
      <c r="C192">
        <v>18886.599999999999</v>
      </c>
      <c r="D192">
        <v>18759.5</v>
      </c>
      <c r="E192">
        <v>18771.25</v>
      </c>
      <c r="F192">
        <f t="shared" si="9"/>
        <v>18886.599999999999</v>
      </c>
      <c r="G192">
        <f t="shared" si="10"/>
        <v>18531.599999999999</v>
      </c>
      <c r="H192">
        <f t="shared" si="11"/>
        <v>67.507042253521533</v>
      </c>
      <c r="I192" s="2">
        <f t="shared" si="12"/>
        <v>81.957426224620349</v>
      </c>
    </row>
    <row r="193" spans="1:9" x14ac:dyDescent="0.25">
      <c r="A193" s="1">
        <v>45100</v>
      </c>
      <c r="B193">
        <v>18741.849999999999</v>
      </c>
      <c r="C193">
        <v>18756.400000000001</v>
      </c>
      <c r="D193">
        <v>18647.099999999999</v>
      </c>
      <c r="E193">
        <v>18665.5</v>
      </c>
      <c r="F193">
        <f t="shared" si="9"/>
        <v>18886.599999999999</v>
      </c>
      <c r="G193">
        <f t="shared" si="10"/>
        <v>18531.599999999999</v>
      </c>
      <c r="H193">
        <f t="shared" si="11"/>
        <v>37.71830985915534</v>
      </c>
      <c r="I193" s="2">
        <f t="shared" si="12"/>
        <v>66.37396366787759</v>
      </c>
    </row>
    <row r="194" spans="1:9" x14ac:dyDescent="0.25">
      <c r="A194" s="1">
        <v>45103</v>
      </c>
      <c r="B194">
        <v>18682.349999999999</v>
      </c>
      <c r="C194">
        <v>18722.05</v>
      </c>
      <c r="D194">
        <v>18646.7</v>
      </c>
      <c r="E194">
        <v>18691.2</v>
      </c>
      <c r="F194">
        <f t="shared" si="9"/>
        <v>18886.599999999999</v>
      </c>
      <c r="G194">
        <f t="shared" si="10"/>
        <v>18555.400000000001</v>
      </c>
      <c r="H194">
        <f t="shared" si="11"/>
        <v>41.002415458937335</v>
      </c>
      <c r="I194" s="2">
        <f t="shared" si="12"/>
        <v>48.742589190538069</v>
      </c>
    </row>
    <row r="195" spans="1:9" x14ac:dyDescent="0.25">
      <c r="A195" s="1">
        <v>45104</v>
      </c>
      <c r="B195">
        <v>18748.55</v>
      </c>
      <c r="C195">
        <v>18829.25</v>
      </c>
      <c r="D195">
        <v>18714.25</v>
      </c>
      <c r="E195">
        <v>18817.400000000001</v>
      </c>
      <c r="F195">
        <f t="shared" si="9"/>
        <v>18886.599999999999</v>
      </c>
      <c r="G195">
        <f t="shared" si="10"/>
        <v>18555.400000000001</v>
      </c>
      <c r="H195">
        <f t="shared" si="11"/>
        <v>79.10628019323741</v>
      </c>
      <c r="I195" s="2">
        <f t="shared" si="12"/>
        <v>52.609001837110021</v>
      </c>
    </row>
    <row r="196" spans="1:9" x14ac:dyDescent="0.25">
      <c r="A196" s="1">
        <v>45105</v>
      </c>
      <c r="B196">
        <v>18908.150000000001</v>
      </c>
      <c r="C196">
        <v>19011.25</v>
      </c>
      <c r="D196">
        <v>18861.349999999999</v>
      </c>
      <c r="E196">
        <v>18972.099999999999</v>
      </c>
      <c r="F196">
        <f t="shared" si="9"/>
        <v>19011.25</v>
      </c>
      <c r="G196">
        <f t="shared" si="10"/>
        <v>18555.400000000001</v>
      </c>
      <c r="H196">
        <f t="shared" si="11"/>
        <v>91.411648568607745</v>
      </c>
      <c r="I196" s="2">
        <f t="shared" si="12"/>
        <v>70.506781406927487</v>
      </c>
    </row>
    <row r="197" spans="1:9" x14ac:dyDescent="0.25">
      <c r="A197" s="1">
        <v>45107</v>
      </c>
      <c r="B197">
        <v>19076.849999999999</v>
      </c>
      <c r="C197">
        <v>19201.7</v>
      </c>
      <c r="D197">
        <v>19024.599999999999</v>
      </c>
      <c r="E197">
        <v>19189.05</v>
      </c>
      <c r="F197">
        <f t="shared" si="9"/>
        <v>19201.7</v>
      </c>
      <c r="G197">
        <f t="shared" si="10"/>
        <v>18559.75</v>
      </c>
      <c r="H197">
        <f t="shared" si="11"/>
        <v>98.029441545291462</v>
      </c>
      <c r="I197" s="2">
        <f t="shared" si="12"/>
        <v>89.515790102378858</v>
      </c>
    </row>
    <row r="198" spans="1:9" x14ac:dyDescent="0.25">
      <c r="A198" s="1">
        <v>45110</v>
      </c>
      <c r="B198">
        <v>19246.5</v>
      </c>
      <c r="C198">
        <v>19345.099999999999</v>
      </c>
      <c r="D198">
        <v>19234.400000000001</v>
      </c>
      <c r="E198">
        <v>19322.55</v>
      </c>
      <c r="F198">
        <f t="shared" si="9"/>
        <v>19345.099999999999</v>
      </c>
      <c r="G198">
        <f t="shared" si="10"/>
        <v>18631.8</v>
      </c>
      <c r="H198">
        <f t="shared" si="11"/>
        <v>96.838637319501004</v>
      </c>
      <c r="I198" s="2">
        <f t="shared" si="12"/>
        <v>95.426575811133418</v>
      </c>
    </row>
    <row r="199" spans="1:9" x14ac:dyDescent="0.25">
      <c r="A199" s="1">
        <v>45111</v>
      </c>
      <c r="B199">
        <v>19406.599999999999</v>
      </c>
      <c r="C199">
        <v>19434.150000000001</v>
      </c>
      <c r="D199">
        <v>19300</v>
      </c>
      <c r="E199">
        <v>19389</v>
      </c>
      <c r="F199">
        <f t="shared" si="9"/>
        <v>19434.150000000001</v>
      </c>
      <c r="G199">
        <f t="shared" si="10"/>
        <v>18646.7</v>
      </c>
      <c r="H199">
        <f t="shared" si="11"/>
        <v>94.266302622388537</v>
      </c>
      <c r="I199" s="2">
        <f t="shared" si="12"/>
        <v>96.378127162393682</v>
      </c>
    </row>
    <row r="200" spans="1:9" x14ac:dyDescent="0.25">
      <c r="A200" s="1">
        <v>45112</v>
      </c>
      <c r="B200">
        <v>19405.95</v>
      </c>
      <c r="C200">
        <v>19421.599999999999</v>
      </c>
      <c r="D200">
        <v>19339.599999999999</v>
      </c>
      <c r="E200">
        <v>19398.5</v>
      </c>
      <c r="F200">
        <f t="shared" si="9"/>
        <v>19434.150000000001</v>
      </c>
      <c r="G200">
        <f t="shared" si="10"/>
        <v>18646.7</v>
      </c>
      <c r="H200">
        <f t="shared" si="11"/>
        <v>95.472728427201545</v>
      </c>
      <c r="I200" s="2">
        <f t="shared" si="12"/>
        <v>95.5258894563637</v>
      </c>
    </row>
    <row r="201" spans="1:9" x14ac:dyDescent="0.25">
      <c r="A201" s="1">
        <v>45113</v>
      </c>
      <c r="B201">
        <v>19385.7</v>
      </c>
      <c r="C201">
        <v>19512.2</v>
      </c>
      <c r="D201">
        <v>19373</v>
      </c>
      <c r="E201">
        <v>19497.3</v>
      </c>
      <c r="F201">
        <f t="shared" si="9"/>
        <v>19512.2</v>
      </c>
      <c r="G201">
        <f t="shared" si="10"/>
        <v>18646.7</v>
      </c>
      <c r="H201">
        <f t="shared" si="11"/>
        <v>98.278451761987128</v>
      </c>
      <c r="I201" s="2">
        <f t="shared" si="12"/>
        <v>96.005827603859075</v>
      </c>
    </row>
    <row r="202" spans="1:9" x14ac:dyDescent="0.25">
      <c r="A202" s="1">
        <v>45114</v>
      </c>
      <c r="B202">
        <v>19422.8</v>
      </c>
      <c r="C202">
        <v>19523.599999999999</v>
      </c>
      <c r="D202">
        <v>19303.599999999999</v>
      </c>
      <c r="E202">
        <v>19331.8</v>
      </c>
      <c r="F202">
        <f t="shared" si="9"/>
        <v>19523.599999999999</v>
      </c>
      <c r="G202">
        <f t="shared" si="10"/>
        <v>18646.7</v>
      </c>
      <c r="H202">
        <f t="shared" si="11"/>
        <v>78.12749458319081</v>
      </c>
      <c r="I202" s="2">
        <f t="shared" si="12"/>
        <v>90.626224924126504</v>
      </c>
    </row>
    <row r="203" spans="1:9" x14ac:dyDescent="0.25">
      <c r="A203" s="1">
        <v>45117</v>
      </c>
      <c r="B203">
        <v>19400.349999999999</v>
      </c>
      <c r="C203">
        <v>19435.849999999999</v>
      </c>
      <c r="D203">
        <v>19327.099999999999</v>
      </c>
      <c r="E203">
        <v>19355.900000000001</v>
      </c>
      <c r="F203">
        <f t="shared" si="9"/>
        <v>19523.599999999999</v>
      </c>
      <c r="G203">
        <f t="shared" si="10"/>
        <v>18646.7</v>
      </c>
      <c r="H203">
        <f t="shared" si="11"/>
        <v>80.875812521382429</v>
      </c>
      <c r="I203" s="2">
        <f t="shared" si="12"/>
        <v>85.76058628885346</v>
      </c>
    </row>
    <row r="204" spans="1:9" x14ac:dyDescent="0.25">
      <c r="A204" s="1">
        <v>45118</v>
      </c>
      <c r="B204">
        <v>19427.099999999999</v>
      </c>
      <c r="C204">
        <v>19515.099999999999</v>
      </c>
      <c r="D204">
        <v>19406.45</v>
      </c>
      <c r="E204">
        <v>19439.400000000001</v>
      </c>
      <c r="F204">
        <f t="shared" si="9"/>
        <v>19523.599999999999</v>
      </c>
      <c r="G204">
        <f t="shared" si="10"/>
        <v>18646.7</v>
      </c>
      <c r="H204">
        <f t="shared" si="11"/>
        <v>90.397992929638804</v>
      </c>
      <c r="I204" s="2">
        <f t="shared" si="12"/>
        <v>83.133766678070685</v>
      </c>
    </row>
    <row r="205" spans="1:9" x14ac:dyDescent="0.25">
      <c r="A205" s="1">
        <v>45119</v>
      </c>
      <c r="B205">
        <v>19497.45</v>
      </c>
      <c r="C205">
        <v>19507.7</v>
      </c>
      <c r="D205">
        <v>19361.75</v>
      </c>
      <c r="E205">
        <v>19384.3</v>
      </c>
      <c r="F205">
        <f t="shared" si="9"/>
        <v>19523.599999999999</v>
      </c>
      <c r="G205">
        <f t="shared" si="10"/>
        <v>18646.7</v>
      </c>
      <c r="H205">
        <f t="shared" si="11"/>
        <v>84.114494241076557</v>
      </c>
      <c r="I205" s="2">
        <f t="shared" si="12"/>
        <v>85.129433230699263</v>
      </c>
    </row>
    <row r="206" spans="1:9" x14ac:dyDescent="0.25">
      <c r="A206" s="1">
        <v>45120</v>
      </c>
      <c r="B206">
        <v>19495.2</v>
      </c>
      <c r="C206">
        <v>19567</v>
      </c>
      <c r="D206">
        <v>19385.8</v>
      </c>
      <c r="E206">
        <v>19413.75</v>
      </c>
      <c r="F206">
        <f t="shared" si="9"/>
        <v>19567</v>
      </c>
      <c r="G206">
        <f t="shared" si="10"/>
        <v>18646.7</v>
      </c>
      <c r="H206">
        <f t="shared" si="11"/>
        <v>83.347821362599134</v>
      </c>
      <c r="I206" s="2">
        <f t="shared" si="12"/>
        <v>85.953436177771493</v>
      </c>
    </row>
    <row r="207" spans="1:9" x14ac:dyDescent="0.25">
      <c r="A207" s="1">
        <v>45121</v>
      </c>
      <c r="B207">
        <v>19493.45</v>
      </c>
      <c r="C207">
        <v>19595.349999999999</v>
      </c>
      <c r="D207">
        <v>19433.5</v>
      </c>
      <c r="E207">
        <v>19564.5</v>
      </c>
      <c r="F207">
        <f t="shared" si="9"/>
        <v>19595.349999999999</v>
      </c>
      <c r="G207">
        <f t="shared" si="10"/>
        <v>18646.7</v>
      </c>
      <c r="H207">
        <f t="shared" si="11"/>
        <v>96.748010330469754</v>
      </c>
      <c r="I207" s="2">
        <f t="shared" si="12"/>
        <v>88.070108644715148</v>
      </c>
    </row>
    <row r="208" spans="1:9" x14ac:dyDescent="0.25">
      <c r="A208" s="1">
        <v>45124</v>
      </c>
      <c r="B208">
        <v>19612.150000000001</v>
      </c>
      <c r="C208">
        <v>19731.849999999999</v>
      </c>
      <c r="D208">
        <v>19562.95</v>
      </c>
      <c r="E208">
        <v>19711.45</v>
      </c>
      <c r="F208">
        <f t="shared" ref="F208:F249" si="13">MAX(C195:C208)</f>
        <v>19731.849999999999</v>
      </c>
      <c r="G208">
        <f t="shared" ref="G208:G249" si="14">MIN(D195:D208)</f>
        <v>18714.25</v>
      </c>
      <c r="H208">
        <f t="shared" si="11"/>
        <v>97.995283018868136</v>
      </c>
      <c r="I208" s="2">
        <f t="shared" si="12"/>
        <v>92.697038237312327</v>
      </c>
    </row>
    <row r="209" spans="1:9" x14ac:dyDescent="0.25">
      <c r="A209" s="1">
        <v>45125</v>
      </c>
      <c r="B209">
        <v>19787.5</v>
      </c>
      <c r="C209">
        <v>19819.45</v>
      </c>
      <c r="D209">
        <v>19690.2</v>
      </c>
      <c r="E209">
        <v>19749.25</v>
      </c>
      <c r="F209">
        <f t="shared" si="13"/>
        <v>19819.45</v>
      </c>
      <c r="G209">
        <f t="shared" si="14"/>
        <v>18861.349999999999</v>
      </c>
      <c r="H209">
        <f t="shared" si="11"/>
        <v>92.672998643147835</v>
      </c>
      <c r="I209" s="2">
        <f t="shared" si="12"/>
        <v>95.805430664161904</v>
      </c>
    </row>
    <row r="210" spans="1:9" x14ac:dyDescent="0.25">
      <c r="A210" s="1">
        <v>45126</v>
      </c>
      <c r="B210">
        <v>19802.95</v>
      </c>
      <c r="C210">
        <v>19851.7</v>
      </c>
      <c r="D210">
        <v>19727.45</v>
      </c>
      <c r="E210">
        <v>19833.150000000001</v>
      </c>
      <c r="F210">
        <f t="shared" si="13"/>
        <v>19851.7</v>
      </c>
      <c r="G210">
        <f t="shared" si="14"/>
        <v>19024.599999999999</v>
      </c>
      <c r="H210">
        <f t="shared" ref="H210:H249" si="15">(E210-G210)*100/(F210-G210)</f>
        <v>97.757224035787786</v>
      </c>
      <c r="I210" s="2">
        <f t="shared" ref="I210:I249" si="16">AVERAGE(H208:H210)</f>
        <v>96.141835232601252</v>
      </c>
    </row>
    <row r="211" spans="1:9" x14ac:dyDescent="0.25">
      <c r="A211" s="1">
        <v>45127</v>
      </c>
      <c r="B211">
        <v>19831.7</v>
      </c>
      <c r="C211">
        <v>19991.849999999999</v>
      </c>
      <c r="D211">
        <v>19758.400000000001</v>
      </c>
      <c r="E211">
        <v>19979.150000000001</v>
      </c>
      <c r="F211">
        <f t="shared" si="13"/>
        <v>19991.849999999999</v>
      </c>
      <c r="G211">
        <f t="shared" si="14"/>
        <v>19234.400000000001</v>
      </c>
      <c r="H211">
        <f t="shared" si="15"/>
        <v>98.323321671397835</v>
      </c>
      <c r="I211" s="2">
        <f t="shared" si="16"/>
        <v>96.251181450111162</v>
      </c>
    </row>
    <row r="212" spans="1:9" x14ac:dyDescent="0.25">
      <c r="A212" s="1">
        <v>45128</v>
      </c>
      <c r="B212">
        <v>19800.45</v>
      </c>
      <c r="C212">
        <v>19887.400000000001</v>
      </c>
      <c r="D212">
        <v>19700</v>
      </c>
      <c r="E212">
        <v>19745</v>
      </c>
      <c r="F212">
        <f t="shared" si="13"/>
        <v>19991.849999999999</v>
      </c>
      <c r="G212">
        <f t="shared" si="14"/>
        <v>19300</v>
      </c>
      <c r="H212">
        <f t="shared" si="15"/>
        <v>64.32030064320314</v>
      </c>
      <c r="I212" s="2">
        <f t="shared" si="16"/>
        <v>86.800282116796254</v>
      </c>
    </row>
    <row r="213" spans="1:9" x14ac:dyDescent="0.25">
      <c r="A213" s="1">
        <v>45131</v>
      </c>
      <c r="B213">
        <v>19748.45</v>
      </c>
      <c r="C213">
        <v>19782.75</v>
      </c>
      <c r="D213">
        <v>19658.3</v>
      </c>
      <c r="E213">
        <v>19672.349999999999</v>
      </c>
      <c r="F213">
        <f t="shared" si="13"/>
        <v>19991.849999999999</v>
      </c>
      <c r="G213">
        <f t="shared" si="14"/>
        <v>19303.599999999999</v>
      </c>
      <c r="H213">
        <f t="shared" si="15"/>
        <v>53.577915001816201</v>
      </c>
      <c r="I213" s="2">
        <f t="shared" si="16"/>
        <v>72.073845772139052</v>
      </c>
    </row>
    <row r="214" spans="1:9" x14ac:dyDescent="0.25">
      <c r="A214" s="1">
        <v>45132</v>
      </c>
      <c r="B214">
        <v>19729.349999999999</v>
      </c>
      <c r="C214">
        <v>19729.349999999999</v>
      </c>
      <c r="D214">
        <v>19615.95</v>
      </c>
      <c r="E214">
        <v>19680.599999999999</v>
      </c>
      <c r="F214">
        <f t="shared" si="13"/>
        <v>19991.849999999999</v>
      </c>
      <c r="G214">
        <f t="shared" si="14"/>
        <v>19303.599999999999</v>
      </c>
      <c r="H214">
        <f t="shared" si="15"/>
        <v>54.776607337450052</v>
      </c>
      <c r="I214" s="2">
        <f t="shared" si="16"/>
        <v>57.558274327489805</v>
      </c>
    </row>
    <row r="215" spans="1:9" x14ac:dyDescent="0.25">
      <c r="A215" s="1">
        <v>45133</v>
      </c>
      <c r="B215">
        <v>19733.349999999999</v>
      </c>
      <c r="C215">
        <v>19825.599999999999</v>
      </c>
      <c r="D215">
        <v>19716.7</v>
      </c>
      <c r="E215">
        <v>19778.3</v>
      </c>
      <c r="F215">
        <f t="shared" si="13"/>
        <v>19991.849999999999</v>
      </c>
      <c r="G215">
        <f t="shared" si="14"/>
        <v>19303.599999999999</v>
      </c>
      <c r="H215">
        <f t="shared" si="15"/>
        <v>68.972030512168644</v>
      </c>
      <c r="I215" s="2">
        <f t="shared" si="16"/>
        <v>59.108850950478292</v>
      </c>
    </row>
    <row r="216" spans="1:9" x14ac:dyDescent="0.25">
      <c r="A216" s="1">
        <v>45134</v>
      </c>
      <c r="B216">
        <v>19850.900000000001</v>
      </c>
      <c r="C216">
        <v>19867.55</v>
      </c>
      <c r="D216">
        <v>19603.55</v>
      </c>
      <c r="E216">
        <v>19659.900000000001</v>
      </c>
      <c r="F216">
        <f t="shared" si="13"/>
        <v>19991.849999999999</v>
      </c>
      <c r="G216">
        <f t="shared" si="14"/>
        <v>19327.099999999999</v>
      </c>
      <c r="H216">
        <f t="shared" si="15"/>
        <v>50.063933809703336</v>
      </c>
      <c r="I216" s="2">
        <f t="shared" si="16"/>
        <v>57.93752388644068</v>
      </c>
    </row>
    <row r="217" spans="1:9" x14ac:dyDescent="0.25">
      <c r="A217" s="1">
        <v>45135</v>
      </c>
      <c r="B217">
        <v>19659.75</v>
      </c>
      <c r="C217">
        <v>19695.900000000001</v>
      </c>
      <c r="D217">
        <v>19563.099999999999</v>
      </c>
      <c r="E217">
        <v>19646.05</v>
      </c>
      <c r="F217">
        <f t="shared" si="13"/>
        <v>19991.849999999999</v>
      </c>
      <c r="G217">
        <f t="shared" si="14"/>
        <v>19361.75</v>
      </c>
      <c r="H217">
        <f t="shared" si="15"/>
        <v>45.119822250436428</v>
      </c>
      <c r="I217" s="2">
        <f t="shared" si="16"/>
        <v>54.718595524102795</v>
      </c>
    </row>
    <row r="218" spans="1:9" x14ac:dyDescent="0.25">
      <c r="A218" s="1">
        <v>45138</v>
      </c>
      <c r="B218">
        <v>19666.349999999999</v>
      </c>
      <c r="C218">
        <v>19772.75</v>
      </c>
      <c r="D218">
        <v>19597.599999999999</v>
      </c>
      <c r="E218">
        <v>19753.8</v>
      </c>
      <c r="F218">
        <f t="shared" si="13"/>
        <v>19991.849999999999</v>
      </c>
      <c r="G218">
        <f t="shared" si="14"/>
        <v>19361.75</v>
      </c>
      <c r="H218">
        <f t="shared" si="15"/>
        <v>62.220282494842117</v>
      </c>
      <c r="I218" s="2">
        <f t="shared" si="16"/>
        <v>52.468012851660625</v>
      </c>
    </row>
    <row r="219" spans="1:9" x14ac:dyDescent="0.25">
      <c r="A219" s="1">
        <v>45139</v>
      </c>
      <c r="B219">
        <v>19784</v>
      </c>
      <c r="C219">
        <v>19795.599999999999</v>
      </c>
      <c r="D219">
        <v>19704.599999999999</v>
      </c>
      <c r="E219">
        <v>19733.55</v>
      </c>
      <c r="F219">
        <f t="shared" si="13"/>
        <v>19991.849999999999</v>
      </c>
      <c r="G219">
        <f t="shared" si="14"/>
        <v>19385.8</v>
      </c>
      <c r="H219">
        <f t="shared" si="15"/>
        <v>57.379754145697618</v>
      </c>
      <c r="I219" s="2">
        <f t="shared" si="16"/>
        <v>54.906619630325395</v>
      </c>
    </row>
    <row r="220" spans="1:9" x14ac:dyDescent="0.25">
      <c r="A220" s="1">
        <v>45140</v>
      </c>
      <c r="B220">
        <v>19655.400000000001</v>
      </c>
      <c r="C220">
        <v>19678.25</v>
      </c>
      <c r="D220">
        <v>19423.55</v>
      </c>
      <c r="E220">
        <v>19526.55</v>
      </c>
      <c r="F220">
        <f t="shared" si="13"/>
        <v>19991.849999999999</v>
      </c>
      <c r="G220">
        <f t="shared" si="14"/>
        <v>19423.55</v>
      </c>
      <c r="H220">
        <f t="shared" si="15"/>
        <v>18.124230160126718</v>
      </c>
      <c r="I220" s="2">
        <f t="shared" si="16"/>
        <v>45.90808893355549</v>
      </c>
    </row>
    <row r="221" spans="1:9" x14ac:dyDescent="0.25">
      <c r="A221" s="1">
        <v>45141</v>
      </c>
      <c r="B221">
        <v>19463.75</v>
      </c>
      <c r="C221">
        <v>19537.650000000001</v>
      </c>
      <c r="D221">
        <v>19296.45</v>
      </c>
      <c r="E221">
        <v>19381.650000000001</v>
      </c>
      <c r="F221">
        <f t="shared" si="13"/>
        <v>19991.849999999999</v>
      </c>
      <c r="G221">
        <f t="shared" si="14"/>
        <v>19296.45</v>
      </c>
      <c r="H221">
        <f t="shared" si="15"/>
        <v>12.251941328731808</v>
      </c>
      <c r="I221" s="2">
        <f t="shared" si="16"/>
        <v>29.251975211518712</v>
      </c>
    </row>
    <row r="222" spans="1:9" x14ac:dyDescent="0.25">
      <c r="A222" s="1">
        <v>45142</v>
      </c>
      <c r="B222">
        <v>19462.8</v>
      </c>
      <c r="C222">
        <v>19538.849999999999</v>
      </c>
      <c r="D222">
        <v>19436.45</v>
      </c>
      <c r="E222">
        <v>19517</v>
      </c>
      <c r="F222">
        <f t="shared" si="13"/>
        <v>19991.849999999999</v>
      </c>
      <c r="G222">
        <f t="shared" si="14"/>
        <v>19296.45</v>
      </c>
      <c r="H222">
        <f t="shared" si="15"/>
        <v>31.715559390278973</v>
      </c>
      <c r="I222" s="2">
        <f t="shared" si="16"/>
        <v>20.697243626379166</v>
      </c>
    </row>
    <row r="223" spans="1:9" x14ac:dyDescent="0.25">
      <c r="A223" s="1">
        <v>45145</v>
      </c>
      <c r="B223">
        <v>19576.849999999999</v>
      </c>
      <c r="C223">
        <v>19620.45</v>
      </c>
      <c r="D223">
        <v>19524.8</v>
      </c>
      <c r="E223">
        <v>19597.3</v>
      </c>
      <c r="F223">
        <f t="shared" si="13"/>
        <v>19991.849999999999</v>
      </c>
      <c r="G223">
        <f t="shared" si="14"/>
        <v>19296.45</v>
      </c>
      <c r="H223">
        <f t="shared" si="15"/>
        <v>43.262870290480222</v>
      </c>
      <c r="I223" s="2">
        <f t="shared" si="16"/>
        <v>29.076790336496998</v>
      </c>
    </row>
    <row r="224" spans="1:9" x14ac:dyDescent="0.25">
      <c r="A224" s="1">
        <v>45146</v>
      </c>
      <c r="B224">
        <v>19627.2</v>
      </c>
      <c r="C224">
        <v>19634.400000000001</v>
      </c>
      <c r="D224">
        <v>19533.099999999999</v>
      </c>
      <c r="E224">
        <v>19570.849999999999</v>
      </c>
      <c r="F224">
        <f t="shared" si="13"/>
        <v>19991.849999999999</v>
      </c>
      <c r="G224">
        <f t="shared" si="14"/>
        <v>19296.45</v>
      </c>
      <c r="H224">
        <f t="shared" si="15"/>
        <v>39.459303997698974</v>
      </c>
      <c r="I224" s="2">
        <f t="shared" si="16"/>
        <v>38.14591122615272</v>
      </c>
    </row>
    <row r="225" spans="1:9" x14ac:dyDescent="0.25">
      <c r="A225" s="1">
        <v>45147</v>
      </c>
      <c r="B225">
        <v>19578.8</v>
      </c>
      <c r="C225">
        <v>19645.5</v>
      </c>
      <c r="D225">
        <v>19467.5</v>
      </c>
      <c r="E225">
        <v>19632.55</v>
      </c>
      <c r="F225">
        <f t="shared" si="13"/>
        <v>19887.400000000001</v>
      </c>
      <c r="G225">
        <f t="shared" si="14"/>
        <v>19296.45</v>
      </c>
      <c r="H225">
        <f t="shared" si="15"/>
        <v>56.874524071410121</v>
      </c>
      <c r="I225" s="2">
        <f t="shared" si="16"/>
        <v>46.532232786529768</v>
      </c>
    </row>
    <row r="226" spans="1:9" x14ac:dyDescent="0.25">
      <c r="A226" s="1">
        <v>45148</v>
      </c>
      <c r="B226">
        <v>19605.55</v>
      </c>
      <c r="C226">
        <v>19623.599999999999</v>
      </c>
      <c r="D226">
        <v>19495.400000000001</v>
      </c>
      <c r="E226">
        <v>19543.099999999999</v>
      </c>
      <c r="F226">
        <f t="shared" si="13"/>
        <v>19867.55</v>
      </c>
      <c r="G226">
        <f t="shared" si="14"/>
        <v>19296.45</v>
      </c>
      <c r="H226">
        <f t="shared" si="15"/>
        <v>43.188583435475124</v>
      </c>
      <c r="I226" s="2">
        <f t="shared" si="16"/>
        <v>46.507470501528076</v>
      </c>
    </row>
    <row r="227" spans="1:9" x14ac:dyDescent="0.25">
      <c r="A227" s="1">
        <v>45149</v>
      </c>
      <c r="B227">
        <v>19554.25</v>
      </c>
      <c r="C227">
        <v>19557.75</v>
      </c>
      <c r="D227">
        <v>19412.75</v>
      </c>
      <c r="E227">
        <v>19428.3</v>
      </c>
      <c r="F227">
        <f t="shared" si="13"/>
        <v>19867.55</v>
      </c>
      <c r="G227">
        <f t="shared" si="14"/>
        <v>19296.45</v>
      </c>
      <c r="H227">
        <f t="shared" si="15"/>
        <v>23.087025039397457</v>
      </c>
      <c r="I227" s="2">
        <f t="shared" si="16"/>
        <v>41.050044182094233</v>
      </c>
    </row>
    <row r="228" spans="1:9" x14ac:dyDescent="0.25">
      <c r="A228" s="1">
        <v>45152</v>
      </c>
      <c r="B228">
        <v>19383.95</v>
      </c>
      <c r="C228">
        <v>19465.849999999999</v>
      </c>
      <c r="D228">
        <v>19257.900000000001</v>
      </c>
      <c r="E228">
        <v>19434.55</v>
      </c>
      <c r="F228">
        <f t="shared" si="13"/>
        <v>19867.55</v>
      </c>
      <c r="G228">
        <f t="shared" si="14"/>
        <v>19257.900000000001</v>
      </c>
      <c r="H228">
        <f t="shared" si="15"/>
        <v>28.975641761666274</v>
      </c>
      <c r="I228" s="2">
        <f t="shared" si="16"/>
        <v>31.75041674551295</v>
      </c>
    </row>
    <row r="229" spans="1:9" x14ac:dyDescent="0.25">
      <c r="A229" s="1">
        <v>45154</v>
      </c>
      <c r="B229">
        <v>19369</v>
      </c>
      <c r="C229">
        <v>19482.75</v>
      </c>
      <c r="D229">
        <v>19317.2</v>
      </c>
      <c r="E229">
        <v>19465</v>
      </c>
      <c r="F229">
        <f t="shared" si="13"/>
        <v>19867.55</v>
      </c>
      <c r="G229">
        <f t="shared" si="14"/>
        <v>19257.900000000001</v>
      </c>
      <c r="H229">
        <f t="shared" si="15"/>
        <v>33.970310834085012</v>
      </c>
      <c r="I229" s="2">
        <f t="shared" si="16"/>
        <v>28.677659211716247</v>
      </c>
    </row>
    <row r="230" spans="1:9" x14ac:dyDescent="0.25">
      <c r="A230" s="1">
        <v>45155</v>
      </c>
      <c r="B230">
        <v>19450.55</v>
      </c>
      <c r="C230">
        <v>19461.55</v>
      </c>
      <c r="D230">
        <v>19326.25</v>
      </c>
      <c r="E230">
        <v>19365.25</v>
      </c>
      <c r="F230">
        <f t="shared" si="13"/>
        <v>19795.599999999999</v>
      </c>
      <c r="G230">
        <f t="shared" si="14"/>
        <v>19257.900000000001</v>
      </c>
      <c r="H230">
        <f t="shared" si="15"/>
        <v>19.9646643109539</v>
      </c>
      <c r="I230" s="2">
        <f t="shared" si="16"/>
        <v>27.636872302235062</v>
      </c>
    </row>
    <row r="231" spans="1:9" x14ac:dyDescent="0.25">
      <c r="A231" s="1">
        <v>45156</v>
      </c>
      <c r="B231">
        <v>19301.75</v>
      </c>
      <c r="C231">
        <v>19373.8</v>
      </c>
      <c r="D231">
        <v>19253.599999999999</v>
      </c>
      <c r="E231">
        <v>19310.150000000001</v>
      </c>
      <c r="F231">
        <f t="shared" si="13"/>
        <v>19795.599999999999</v>
      </c>
      <c r="G231">
        <f t="shared" si="14"/>
        <v>19253.599999999999</v>
      </c>
      <c r="H231">
        <f t="shared" si="15"/>
        <v>10.433579335793896</v>
      </c>
      <c r="I231" s="2">
        <f t="shared" si="16"/>
        <v>21.45618482694427</v>
      </c>
    </row>
    <row r="232" spans="1:9" x14ac:dyDescent="0.25">
      <c r="A232" s="1">
        <v>45159</v>
      </c>
      <c r="B232">
        <v>19320.650000000001</v>
      </c>
      <c r="C232">
        <v>19425.95</v>
      </c>
      <c r="D232">
        <v>19296.3</v>
      </c>
      <c r="E232">
        <v>19393.599999999999</v>
      </c>
      <c r="F232">
        <f t="shared" si="13"/>
        <v>19795.599999999999</v>
      </c>
      <c r="G232">
        <f t="shared" si="14"/>
        <v>19253.599999999999</v>
      </c>
      <c r="H232">
        <f t="shared" si="15"/>
        <v>25.830258302583026</v>
      </c>
      <c r="I232" s="2">
        <f t="shared" si="16"/>
        <v>18.742833983110273</v>
      </c>
    </row>
    <row r="233" spans="1:9" x14ac:dyDescent="0.25">
      <c r="A233" s="1">
        <v>45160</v>
      </c>
      <c r="B233">
        <v>19417.099999999999</v>
      </c>
      <c r="C233">
        <v>19443.5</v>
      </c>
      <c r="D233">
        <v>19381.3</v>
      </c>
      <c r="E233">
        <v>19396.45</v>
      </c>
      <c r="F233">
        <f t="shared" si="13"/>
        <v>19678.25</v>
      </c>
      <c r="G233">
        <f t="shared" si="14"/>
        <v>19253.599999999999</v>
      </c>
      <c r="H233">
        <f t="shared" si="15"/>
        <v>33.639467797009701</v>
      </c>
      <c r="I233" s="2">
        <f t="shared" si="16"/>
        <v>23.301101811795537</v>
      </c>
    </row>
    <row r="234" spans="1:9" x14ac:dyDescent="0.25">
      <c r="A234" s="1">
        <v>45161</v>
      </c>
      <c r="B234">
        <v>19439.2</v>
      </c>
      <c r="C234">
        <v>19472.05</v>
      </c>
      <c r="D234">
        <v>19366.599999999999</v>
      </c>
      <c r="E234">
        <v>19444</v>
      </c>
      <c r="F234">
        <f t="shared" si="13"/>
        <v>19645.5</v>
      </c>
      <c r="G234">
        <f t="shared" si="14"/>
        <v>19253.599999999999</v>
      </c>
      <c r="H234">
        <f t="shared" si="15"/>
        <v>48.583822403674596</v>
      </c>
      <c r="I234" s="2">
        <f t="shared" si="16"/>
        <v>36.01784950108911</v>
      </c>
    </row>
    <row r="235" spans="1:9" x14ac:dyDescent="0.25">
      <c r="A235" s="1">
        <v>45162</v>
      </c>
      <c r="B235">
        <v>19535.150000000001</v>
      </c>
      <c r="C235">
        <v>19584.45</v>
      </c>
      <c r="D235">
        <v>19369</v>
      </c>
      <c r="E235">
        <v>19386.7</v>
      </c>
      <c r="F235">
        <f t="shared" si="13"/>
        <v>19645.5</v>
      </c>
      <c r="G235">
        <f t="shared" si="14"/>
        <v>19253.599999999999</v>
      </c>
      <c r="H235">
        <f t="shared" si="15"/>
        <v>33.962745598367363</v>
      </c>
      <c r="I235" s="2">
        <f t="shared" si="16"/>
        <v>38.728678599683882</v>
      </c>
    </row>
    <row r="236" spans="1:9" x14ac:dyDescent="0.25">
      <c r="A236" s="1">
        <v>45163</v>
      </c>
      <c r="B236">
        <v>19297.400000000001</v>
      </c>
      <c r="C236">
        <v>19339.55</v>
      </c>
      <c r="D236">
        <v>19229.7</v>
      </c>
      <c r="E236">
        <v>19265.8</v>
      </c>
      <c r="F236">
        <f t="shared" si="13"/>
        <v>19645.5</v>
      </c>
      <c r="G236">
        <f t="shared" si="14"/>
        <v>19229.7</v>
      </c>
      <c r="H236">
        <f t="shared" si="15"/>
        <v>8.6820586820583472</v>
      </c>
      <c r="I236" s="2">
        <f t="shared" si="16"/>
        <v>30.409542228033434</v>
      </c>
    </row>
    <row r="237" spans="1:9" x14ac:dyDescent="0.25">
      <c r="A237" s="1">
        <v>45166</v>
      </c>
      <c r="B237">
        <v>19298.349999999999</v>
      </c>
      <c r="C237">
        <v>19366.849999999999</v>
      </c>
      <c r="D237">
        <v>19249.7</v>
      </c>
      <c r="E237">
        <v>19306.05</v>
      </c>
      <c r="F237">
        <f t="shared" si="13"/>
        <v>19645.5</v>
      </c>
      <c r="G237">
        <f t="shared" si="14"/>
        <v>19229.7</v>
      </c>
      <c r="H237">
        <f t="shared" si="15"/>
        <v>18.362193362193043</v>
      </c>
      <c r="I237" s="2">
        <f t="shared" si="16"/>
        <v>20.33566588087292</v>
      </c>
    </row>
    <row r="238" spans="1:9" x14ac:dyDescent="0.25">
      <c r="A238" s="1">
        <v>45167</v>
      </c>
      <c r="B238">
        <v>19374.849999999999</v>
      </c>
      <c r="C238">
        <v>19377.900000000001</v>
      </c>
      <c r="D238">
        <v>19309.099999999999</v>
      </c>
      <c r="E238">
        <v>19342.650000000001</v>
      </c>
      <c r="F238">
        <f t="shared" si="13"/>
        <v>19645.5</v>
      </c>
      <c r="G238">
        <f t="shared" si="14"/>
        <v>19229.7</v>
      </c>
      <c r="H238">
        <f t="shared" si="15"/>
        <v>27.164502164502387</v>
      </c>
      <c r="I238" s="2">
        <f t="shared" si="16"/>
        <v>18.069584736251258</v>
      </c>
    </row>
    <row r="239" spans="1:9" x14ac:dyDescent="0.25">
      <c r="A239" s="1">
        <v>45168</v>
      </c>
      <c r="B239">
        <v>19433.45</v>
      </c>
      <c r="C239">
        <v>19452.8</v>
      </c>
      <c r="D239">
        <v>19334.75</v>
      </c>
      <c r="E239">
        <v>19347.45</v>
      </c>
      <c r="F239">
        <f t="shared" si="13"/>
        <v>19623.599999999999</v>
      </c>
      <c r="G239">
        <f t="shared" si="14"/>
        <v>19229.7</v>
      </c>
      <c r="H239">
        <f t="shared" si="15"/>
        <v>29.89337395278006</v>
      </c>
      <c r="I239" s="2">
        <f t="shared" si="16"/>
        <v>25.140023159825166</v>
      </c>
    </row>
    <row r="240" spans="1:9" x14ac:dyDescent="0.25">
      <c r="A240" s="1">
        <v>45169</v>
      </c>
      <c r="B240">
        <v>19375.55</v>
      </c>
      <c r="C240">
        <v>19388.2</v>
      </c>
      <c r="D240">
        <v>19223.650000000001</v>
      </c>
      <c r="E240">
        <v>19253.8</v>
      </c>
      <c r="F240">
        <f t="shared" si="13"/>
        <v>19584.45</v>
      </c>
      <c r="G240">
        <f t="shared" si="14"/>
        <v>19223.650000000001</v>
      </c>
      <c r="H240">
        <f t="shared" si="15"/>
        <v>8.3564301552100542</v>
      </c>
      <c r="I240" s="2">
        <f t="shared" si="16"/>
        <v>21.804768757497499</v>
      </c>
    </row>
    <row r="241" spans="1:9" x14ac:dyDescent="0.25">
      <c r="A241" s="1">
        <v>45170</v>
      </c>
      <c r="B241">
        <v>19258.150000000001</v>
      </c>
      <c r="C241">
        <v>19458.55</v>
      </c>
      <c r="D241">
        <v>19255.7</v>
      </c>
      <c r="E241">
        <v>19435.3</v>
      </c>
      <c r="F241">
        <f t="shared" si="13"/>
        <v>19584.45</v>
      </c>
      <c r="G241">
        <f t="shared" si="14"/>
        <v>19223.650000000001</v>
      </c>
      <c r="H241">
        <f t="shared" si="15"/>
        <v>58.661308203990643</v>
      </c>
      <c r="I241" s="2">
        <f t="shared" si="16"/>
        <v>32.303704103993589</v>
      </c>
    </row>
    <row r="242" spans="1:9" x14ac:dyDescent="0.25">
      <c r="A242" s="1">
        <v>45173</v>
      </c>
      <c r="B242">
        <v>19525.05</v>
      </c>
      <c r="C242">
        <v>19545.150000000001</v>
      </c>
      <c r="D242">
        <v>19432.849999999999</v>
      </c>
      <c r="E242">
        <v>19528.8</v>
      </c>
      <c r="F242">
        <f t="shared" si="13"/>
        <v>19584.45</v>
      </c>
      <c r="G242">
        <f t="shared" si="14"/>
        <v>19223.650000000001</v>
      </c>
      <c r="H242">
        <f t="shared" si="15"/>
        <v>84.575942350332156</v>
      </c>
      <c r="I242" s="2">
        <f t="shared" si="16"/>
        <v>50.531226903177618</v>
      </c>
    </row>
    <row r="243" spans="1:9" x14ac:dyDescent="0.25">
      <c r="A243" s="1">
        <v>45174</v>
      </c>
      <c r="B243">
        <v>19564.650000000001</v>
      </c>
      <c r="C243">
        <v>19587.05</v>
      </c>
      <c r="D243">
        <v>19525.75</v>
      </c>
      <c r="E243">
        <v>19574.900000000001</v>
      </c>
      <c r="F243">
        <f t="shared" si="13"/>
        <v>19587.05</v>
      </c>
      <c r="G243">
        <f t="shared" si="14"/>
        <v>19223.650000000001</v>
      </c>
      <c r="H243">
        <f t="shared" si="15"/>
        <v>96.656576774904266</v>
      </c>
      <c r="I243" s="2">
        <f t="shared" si="16"/>
        <v>79.964609109742355</v>
      </c>
    </row>
    <row r="244" spans="1:9" x14ac:dyDescent="0.25">
      <c r="A244" s="1">
        <v>45175</v>
      </c>
      <c r="B244">
        <v>19581.2</v>
      </c>
      <c r="C244">
        <v>19636.45</v>
      </c>
      <c r="D244">
        <v>19491.5</v>
      </c>
      <c r="E244">
        <v>19611.05</v>
      </c>
      <c r="F244">
        <f t="shared" si="13"/>
        <v>19636.45</v>
      </c>
      <c r="G244">
        <f t="shared" si="14"/>
        <v>19223.650000000001</v>
      </c>
      <c r="H244">
        <f t="shared" si="15"/>
        <v>93.846899224805838</v>
      </c>
      <c r="I244" s="2">
        <f t="shared" si="16"/>
        <v>91.693139450014087</v>
      </c>
    </row>
    <row r="245" spans="1:9" x14ac:dyDescent="0.25">
      <c r="A245" s="1">
        <v>45176</v>
      </c>
      <c r="B245">
        <v>19598.650000000001</v>
      </c>
      <c r="C245">
        <v>19737</v>
      </c>
      <c r="D245">
        <v>19550.05</v>
      </c>
      <c r="E245">
        <v>19727.05</v>
      </c>
      <c r="F245">
        <f t="shared" si="13"/>
        <v>19737</v>
      </c>
      <c r="G245">
        <f t="shared" si="14"/>
        <v>19223.650000000001</v>
      </c>
      <c r="H245">
        <f t="shared" si="15"/>
        <v>98.061751241842657</v>
      </c>
      <c r="I245" s="2">
        <f t="shared" si="16"/>
        <v>96.188409080517587</v>
      </c>
    </row>
    <row r="246" spans="1:9" x14ac:dyDescent="0.25">
      <c r="A246" s="1">
        <v>45177</v>
      </c>
      <c r="B246">
        <v>19774.8</v>
      </c>
      <c r="C246">
        <v>19867.150000000001</v>
      </c>
      <c r="D246">
        <v>19727.05</v>
      </c>
      <c r="E246">
        <v>19819.95</v>
      </c>
      <c r="F246">
        <f t="shared" si="13"/>
        <v>19867.150000000001</v>
      </c>
      <c r="G246">
        <f t="shared" si="14"/>
        <v>19223.650000000001</v>
      </c>
      <c r="H246">
        <f t="shared" si="15"/>
        <v>92.665112665112545</v>
      </c>
      <c r="I246" s="2">
        <f t="shared" si="16"/>
        <v>94.857921043920342</v>
      </c>
    </row>
    <row r="247" spans="1:9" x14ac:dyDescent="0.25">
      <c r="A247" s="1">
        <v>45180</v>
      </c>
      <c r="B247">
        <v>19890</v>
      </c>
      <c r="C247">
        <v>20008.150000000001</v>
      </c>
      <c r="D247">
        <v>19865.349999999999</v>
      </c>
      <c r="E247">
        <v>19996.349999999999</v>
      </c>
      <c r="F247">
        <f t="shared" si="13"/>
        <v>20008.150000000001</v>
      </c>
      <c r="G247">
        <f t="shared" si="14"/>
        <v>19223.650000000001</v>
      </c>
      <c r="H247">
        <f t="shared" si="15"/>
        <v>98.495857233906577</v>
      </c>
      <c r="I247" s="2">
        <f t="shared" si="16"/>
        <v>96.407573713620593</v>
      </c>
    </row>
    <row r="248" spans="1:9" x14ac:dyDescent="0.25">
      <c r="A248" s="1">
        <v>45181</v>
      </c>
      <c r="B248">
        <v>20110.150000000001</v>
      </c>
      <c r="C248">
        <v>20110.349999999999</v>
      </c>
      <c r="D248">
        <v>19914.650000000001</v>
      </c>
      <c r="E248">
        <v>19993.2</v>
      </c>
      <c r="F248">
        <f t="shared" si="13"/>
        <v>20110.349999999999</v>
      </c>
      <c r="G248">
        <f t="shared" si="14"/>
        <v>19223.650000000001</v>
      </c>
      <c r="H248">
        <f t="shared" si="15"/>
        <v>86.788090673283165</v>
      </c>
      <c r="I248" s="2">
        <f t="shared" si="16"/>
        <v>92.649686857434105</v>
      </c>
    </row>
    <row r="249" spans="1:9" x14ac:dyDescent="0.25">
      <c r="A249" s="1">
        <v>45182</v>
      </c>
      <c r="B249">
        <v>19989.5</v>
      </c>
      <c r="C249">
        <v>20096.900000000001</v>
      </c>
      <c r="D249">
        <v>19944.099999999999</v>
      </c>
      <c r="E249">
        <v>20070</v>
      </c>
      <c r="F249">
        <f t="shared" si="13"/>
        <v>20110.349999999999</v>
      </c>
      <c r="G249">
        <f t="shared" si="14"/>
        <v>19223.650000000001</v>
      </c>
      <c r="H249">
        <f t="shared" si="15"/>
        <v>95.449419194767259</v>
      </c>
      <c r="I249" s="2">
        <f t="shared" si="16"/>
        <v>93.577789033985667</v>
      </c>
    </row>
    <row r="250" spans="1:9" x14ac:dyDescent="0.25">
      <c r="F250" s="2"/>
      <c r="G250" s="2"/>
      <c r="H250" s="2"/>
      <c r="I250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aseemallianz@outlook.com</cp:lastModifiedBy>
  <dcterms:created xsi:type="dcterms:W3CDTF">2017-01-30T13:02:27Z</dcterms:created>
  <dcterms:modified xsi:type="dcterms:W3CDTF">2023-12-31T18:37:36Z</dcterms:modified>
</cp:coreProperties>
</file>