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seem\Downloads\"/>
    </mc:Choice>
  </mc:AlternateContent>
  <bookViews>
    <workbookView xWindow="240" yWindow="72" windowWidth="20112" windowHeight="7992"/>
  </bookViews>
  <sheets>
    <sheet name="Sheet1" sheetId="1" r:id="rId1"/>
  </sheets>
  <externalReferences>
    <externalReference r:id="rId2"/>
  </externalReferences>
  <definedNames>
    <definedName name="DaysInYear">[1]Parameters!$B$9</definedName>
  </definedNames>
  <calcPr calcId="152511" iterate="1"/>
</workbook>
</file>

<file path=xl/calcChain.xml><?xml version="1.0" encoding="utf-8"?>
<calcChain xmlns="http://schemas.openxmlformats.org/spreadsheetml/2006/main">
  <c r="O16" i="1" l="1"/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N149" i="1"/>
  <c r="N21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N98" i="1" s="1"/>
  <c r="K86" i="1"/>
  <c r="K87" i="1"/>
  <c r="K88" i="1"/>
  <c r="K89" i="1"/>
  <c r="K90" i="1"/>
  <c r="K91" i="1"/>
  <c r="K92" i="1"/>
  <c r="K93" i="1"/>
  <c r="N106" i="1" s="1"/>
  <c r="K94" i="1"/>
  <c r="K95" i="1"/>
  <c r="K96" i="1"/>
  <c r="K97" i="1"/>
  <c r="K98" i="1"/>
  <c r="K99" i="1"/>
  <c r="K100" i="1"/>
  <c r="K101" i="1"/>
  <c r="N114" i="1" s="1"/>
  <c r="K102" i="1"/>
  <c r="K103" i="1"/>
  <c r="K104" i="1"/>
  <c r="K105" i="1"/>
  <c r="K106" i="1"/>
  <c r="K107" i="1"/>
  <c r="K108" i="1"/>
  <c r="K109" i="1"/>
  <c r="N122" i="1" s="1"/>
  <c r="K110" i="1"/>
  <c r="K111" i="1"/>
  <c r="K112" i="1"/>
  <c r="K113" i="1"/>
  <c r="K114" i="1"/>
  <c r="K115" i="1"/>
  <c r="K116" i="1"/>
  <c r="K117" i="1"/>
  <c r="N130" i="1" s="1"/>
  <c r="K118" i="1"/>
  <c r="K119" i="1"/>
  <c r="K120" i="1"/>
  <c r="K121" i="1"/>
  <c r="K122" i="1"/>
  <c r="K123" i="1"/>
  <c r="K124" i="1"/>
  <c r="K125" i="1"/>
  <c r="N138" i="1" s="1"/>
  <c r="K126" i="1"/>
  <c r="K127" i="1"/>
  <c r="K128" i="1"/>
  <c r="K129" i="1"/>
  <c r="K130" i="1"/>
  <c r="K131" i="1"/>
  <c r="K132" i="1"/>
  <c r="K133" i="1"/>
  <c r="N146" i="1" s="1"/>
  <c r="K134" i="1"/>
  <c r="K135" i="1"/>
  <c r="K136" i="1"/>
  <c r="K137" i="1"/>
  <c r="K138" i="1"/>
  <c r="K139" i="1"/>
  <c r="K140" i="1"/>
  <c r="K141" i="1"/>
  <c r="N154" i="1" s="1"/>
  <c r="K142" i="1"/>
  <c r="K143" i="1"/>
  <c r="K144" i="1"/>
  <c r="K145" i="1"/>
  <c r="K146" i="1"/>
  <c r="K147" i="1"/>
  <c r="K148" i="1"/>
  <c r="K149" i="1"/>
  <c r="N162" i="1" s="1"/>
  <c r="K150" i="1"/>
  <c r="K151" i="1"/>
  <c r="K152" i="1"/>
  <c r="K153" i="1"/>
  <c r="K154" i="1"/>
  <c r="K155" i="1"/>
  <c r="K156" i="1"/>
  <c r="K157" i="1"/>
  <c r="N170" i="1" s="1"/>
  <c r="K158" i="1"/>
  <c r="K159" i="1"/>
  <c r="K160" i="1"/>
  <c r="K161" i="1"/>
  <c r="K162" i="1"/>
  <c r="K163" i="1"/>
  <c r="K164" i="1"/>
  <c r="K165" i="1"/>
  <c r="N178" i="1" s="1"/>
  <c r="K166" i="1"/>
  <c r="K167" i="1"/>
  <c r="K168" i="1"/>
  <c r="K169" i="1"/>
  <c r="K170" i="1"/>
  <c r="K171" i="1"/>
  <c r="K172" i="1"/>
  <c r="K173" i="1"/>
  <c r="N186" i="1" s="1"/>
  <c r="K174" i="1"/>
  <c r="K175" i="1"/>
  <c r="K176" i="1"/>
  <c r="K177" i="1"/>
  <c r="K178" i="1"/>
  <c r="K179" i="1"/>
  <c r="K180" i="1"/>
  <c r="K181" i="1"/>
  <c r="N194" i="1" s="1"/>
  <c r="K182" i="1"/>
  <c r="K183" i="1"/>
  <c r="K184" i="1"/>
  <c r="K185" i="1"/>
  <c r="K186" i="1"/>
  <c r="K187" i="1"/>
  <c r="K188" i="1"/>
  <c r="K189" i="1"/>
  <c r="N202" i="1" s="1"/>
  <c r="K190" i="1"/>
  <c r="K191" i="1"/>
  <c r="K192" i="1"/>
  <c r="K193" i="1"/>
  <c r="K194" i="1"/>
  <c r="K195" i="1"/>
  <c r="K196" i="1"/>
  <c r="K197" i="1"/>
  <c r="N210" i="1" s="1"/>
  <c r="K198" i="1"/>
  <c r="K199" i="1"/>
  <c r="K200" i="1"/>
  <c r="K201" i="1"/>
  <c r="K202" i="1"/>
  <c r="K203" i="1"/>
  <c r="K204" i="1"/>
  <c r="K205" i="1"/>
  <c r="N218" i="1" s="1"/>
  <c r="K206" i="1"/>
  <c r="K207" i="1"/>
  <c r="K208" i="1"/>
  <c r="K209" i="1"/>
  <c r="K210" i="1"/>
  <c r="K211" i="1"/>
  <c r="K212" i="1"/>
  <c r="K213" i="1"/>
  <c r="N226" i="1" s="1"/>
  <c r="K214" i="1"/>
  <c r="K215" i="1"/>
  <c r="K216" i="1"/>
  <c r="K217" i="1"/>
  <c r="K218" i="1"/>
  <c r="K219" i="1"/>
  <c r="K220" i="1"/>
  <c r="K221" i="1"/>
  <c r="N234" i="1" s="1"/>
  <c r="K222" i="1"/>
  <c r="K223" i="1"/>
  <c r="K224" i="1"/>
  <c r="K225" i="1"/>
  <c r="K226" i="1"/>
  <c r="K227" i="1"/>
  <c r="K228" i="1"/>
  <c r="K229" i="1"/>
  <c r="N242" i="1" s="1"/>
  <c r="K230" i="1"/>
  <c r="K231" i="1"/>
  <c r="K232" i="1"/>
  <c r="N245" i="1" s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J4" i="1"/>
  <c r="J5" i="1"/>
  <c r="J6" i="1"/>
  <c r="M19" i="1" s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M36" i="1" s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M52" i="1" s="1"/>
  <c r="J40" i="1"/>
  <c r="J41" i="1"/>
  <c r="J42" i="1"/>
  <c r="J43" i="1"/>
  <c r="J44" i="1"/>
  <c r="J45" i="1"/>
  <c r="J46" i="1"/>
  <c r="J47" i="1"/>
  <c r="M60" i="1" s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M83" i="1" s="1"/>
  <c r="J71" i="1"/>
  <c r="M84" i="1" s="1"/>
  <c r="J72" i="1"/>
  <c r="J73" i="1"/>
  <c r="J74" i="1"/>
  <c r="J75" i="1"/>
  <c r="J76" i="1"/>
  <c r="J77" i="1"/>
  <c r="J78" i="1"/>
  <c r="M91" i="1" s="1"/>
  <c r="J79" i="1"/>
  <c r="J80" i="1"/>
  <c r="J81" i="1"/>
  <c r="J82" i="1"/>
  <c r="J83" i="1"/>
  <c r="J84" i="1"/>
  <c r="J85" i="1"/>
  <c r="J86" i="1"/>
  <c r="J87" i="1"/>
  <c r="M100" i="1" s="1"/>
  <c r="J88" i="1"/>
  <c r="J89" i="1"/>
  <c r="J90" i="1"/>
  <c r="J91" i="1"/>
  <c r="M104" i="1" s="1"/>
  <c r="J92" i="1"/>
  <c r="J93" i="1"/>
  <c r="J94" i="1"/>
  <c r="J95" i="1"/>
  <c r="J96" i="1"/>
  <c r="J97" i="1"/>
  <c r="J98" i="1"/>
  <c r="J99" i="1"/>
  <c r="M112" i="1" s="1"/>
  <c r="J100" i="1"/>
  <c r="J101" i="1"/>
  <c r="J102" i="1"/>
  <c r="J103" i="1"/>
  <c r="M116" i="1" s="1"/>
  <c r="J104" i="1"/>
  <c r="J105" i="1"/>
  <c r="J106" i="1"/>
  <c r="J107" i="1"/>
  <c r="M120" i="1" s="1"/>
  <c r="J108" i="1"/>
  <c r="J109" i="1"/>
  <c r="J110" i="1"/>
  <c r="J111" i="1"/>
  <c r="J112" i="1"/>
  <c r="J113" i="1"/>
  <c r="J114" i="1"/>
  <c r="J115" i="1"/>
  <c r="J116" i="1"/>
  <c r="J117" i="1"/>
  <c r="J118" i="1"/>
  <c r="J119" i="1"/>
  <c r="M132" i="1" s="1"/>
  <c r="J120" i="1"/>
  <c r="J121" i="1"/>
  <c r="J122" i="1"/>
  <c r="J123" i="1"/>
  <c r="M136" i="1" s="1"/>
  <c r="J124" i="1"/>
  <c r="J125" i="1"/>
  <c r="J126" i="1"/>
  <c r="J127" i="1"/>
  <c r="J128" i="1"/>
  <c r="J129" i="1"/>
  <c r="J130" i="1"/>
  <c r="J131" i="1"/>
  <c r="M144" i="1" s="1"/>
  <c r="J132" i="1"/>
  <c r="J133" i="1"/>
  <c r="J134" i="1"/>
  <c r="J135" i="1"/>
  <c r="J136" i="1"/>
  <c r="J137" i="1"/>
  <c r="J138" i="1"/>
  <c r="J139" i="1"/>
  <c r="M152" i="1" s="1"/>
  <c r="J140" i="1"/>
  <c r="J141" i="1"/>
  <c r="J142" i="1"/>
  <c r="J143" i="1"/>
  <c r="J144" i="1"/>
  <c r="J145" i="1"/>
  <c r="J146" i="1"/>
  <c r="J147" i="1"/>
  <c r="M160" i="1" s="1"/>
  <c r="J148" i="1"/>
  <c r="J149" i="1"/>
  <c r="J150" i="1"/>
  <c r="J151" i="1"/>
  <c r="M164" i="1" s="1"/>
  <c r="J152" i="1"/>
  <c r="J153" i="1"/>
  <c r="J154" i="1"/>
  <c r="J155" i="1"/>
  <c r="M168" i="1" s="1"/>
  <c r="J156" i="1"/>
  <c r="J157" i="1"/>
  <c r="J158" i="1"/>
  <c r="J159" i="1"/>
  <c r="M172" i="1" s="1"/>
  <c r="J160" i="1"/>
  <c r="J161" i="1"/>
  <c r="J162" i="1"/>
  <c r="J163" i="1"/>
  <c r="M176" i="1" s="1"/>
  <c r="J164" i="1"/>
  <c r="J165" i="1"/>
  <c r="J166" i="1"/>
  <c r="J167" i="1"/>
  <c r="J168" i="1"/>
  <c r="J169" i="1"/>
  <c r="J170" i="1"/>
  <c r="J171" i="1"/>
  <c r="M184" i="1" s="1"/>
  <c r="J172" i="1"/>
  <c r="J173" i="1"/>
  <c r="J174" i="1"/>
  <c r="J175" i="1"/>
  <c r="M188" i="1" s="1"/>
  <c r="J176" i="1"/>
  <c r="J177" i="1"/>
  <c r="J178" i="1"/>
  <c r="J179" i="1"/>
  <c r="J180" i="1"/>
  <c r="J181" i="1"/>
  <c r="J182" i="1"/>
  <c r="J183" i="1"/>
  <c r="M192" i="1" s="1"/>
  <c r="J184" i="1"/>
  <c r="J185" i="1"/>
  <c r="J186" i="1"/>
  <c r="J187" i="1"/>
  <c r="M200" i="1" s="1"/>
  <c r="J188" i="1"/>
  <c r="J189" i="1"/>
  <c r="J190" i="1"/>
  <c r="J191" i="1"/>
  <c r="J192" i="1"/>
  <c r="J193" i="1"/>
  <c r="J194" i="1"/>
  <c r="J195" i="1"/>
  <c r="M208" i="1" s="1"/>
  <c r="J196" i="1"/>
  <c r="J197" i="1"/>
  <c r="J198" i="1"/>
  <c r="J199" i="1"/>
  <c r="M212" i="1" s="1"/>
  <c r="J200" i="1"/>
  <c r="J201" i="1"/>
  <c r="J202" i="1"/>
  <c r="J203" i="1"/>
  <c r="M216" i="1" s="1"/>
  <c r="J204" i="1"/>
  <c r="J205" i="1"/>
  <c r="J206" i="1"/>
  <c r="J207" i="1"/>
  <c r="J208" i="1"/>
  <c r="J209" i="1"/>
  <c r="J210" i="1"/>
  <c r="J211" i="1"/>
  <c r="M224" i="1" s="1"/>
  <c r="J212" i="1"/>
  <c r="J213" i="1"/>
  <c r="J214" i="1"/>
  <c r="J215" i="1"/>
  <c r="M228" i="1" s="1"/>
  <c r="J216" i="1"/>
  <c r="J217" i="1"/>
  <c r="J218" i="1"/>
  <c r="J219" i="1"/>
  <c r="M232" i="1" s="1"/>
  <c r="J220" i="1"/>
  <c r="J221" i="1"/>
  <c r="J222" i="1"/>
  <c r="J223" i="1"/>
  <c r="M236" i="1" s="1"/>
  <c r="J224" i="1"/>
  <c r="J225" i="1"/>
  <c r="J226" i="1"/>
  <c r="J227" i="1"/>
  <c r="M240" i="1" s="1"/>
  <c r="J228" i="1"/>
  <c r="J229" i="1"/>
  <c r="J230" i="1"/>
  <c r="J231" i="1"/>
  <c r="M244" i="1" s="1"/>
  <c r="J232" i="1"/>
  <c r="J233" i="1"/>
  <c r="J234" i="1"/>
  <c r="J235" i="1"/>
  <c r="M248" i="1" s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3" i="1"/>
  <c r="M211" i="1" l="1"/>
  <c r="M171" i="1"/>
  <c r="M115" i="1"/>
  <c r="M75" i="1"/>
  <c r="M51" i="1"/>
  <c r="M27" i="1"/>
  <c r="N249" i="1"/>
  <c r="N241" i="1"/>
  <c r="N233" i="1"/>
  <c r="N225" i="1"/>
  <c r="N217" i="1"/>
  <c r="N209" i="1"/>
  <c r="N201" i="1"/>
  <c r="N193" i="1"/>
  <c r="N185" i="1"/>
  <c r="N177" i="1"/>
  <c r="N169" i="1"/>
  <c r="N161" i="1"/>
  <c r="N153" i="1"/>
  <c r="N145" i="1"/>
  <c r="N137" i="1"/>
  <c r="N129" i="1"/>
  <c r="N121" i="1"/>
  <c r="N113" i="1"/>
  <c r="N105" i="1"/>
  <c r="N97" i="1"/>
  <c r="N89" i="1"/>
  <c r="N81" i="1"/>
  <c r="N189" i="1"/>
  <c r="N125" i="1"/>
  <c r="M92" i="1"/>
  <c r="M68" i="1"/>
  <c r="M203" i="1"/>
  <c r="M155" i="1"/>
  <c r="M99" i="1"/>
  <c r="M242" i="1"/>
  <c r="M234" i="1"/>
  <c r="M226" i="1"/>
  <c r="M218" i="1"/>
  <c r="M210" i="1"/>
  <c r="M202" i="1"/>
  <c r="M194" i="1"/>
  <c r="M186" i="1"/>
  <c r="M178" i="1"/>
  <c r="M170" i="1"/>
  <c r="M162" i="1"/>
  <c r="M154" i="1"/>
  <c r="M146" i="1"/>
  <c r="M138" i="1"/>
  <c r="M130" i="1"/>
  <c r="M122" i="1"/>
  <c r="M114" i="1"/>
  <c r="M106" i="1"/>
  <c r="M98" i="1"/>
  <c r="M90" i="1"/>
  <c r="M82" i="1"/>
  <c r="M74" i="1"/>
  <c r="M66" i="1"/>
  <c r="M58" i="1"/>
  <c r="M50" i="1"/>
  <c r="M42" i="1"/>
  <c r="M34" i="1"/>
  <c r="M26" i="1"/>
  <c r="M18" i="1"/>
  <c r="N248" i="1"/>
  <c r="N240" i="1"/>
  <c r="N232" i="1"/>
  <c r="N224" i="1"/>
  <c r="N216" i="1"/>
  <c r="N208" i="1"/>
  <c r="N200" i="1"/>
  <c r="N192" i="1"/>
  <c r="N184" i="1"/>
  <c r="N176" i="1"/>
  <c r="N168" i="1"/>
  <c r="N160" i="1"/>
  <c r="N152" i="1"/>
  <c r="N144" i="1"/>
  <c r="N136" i="1"/>
  <c r="N128" i="1"/>
  <c r="N120" i="1"/>
  <c r="N112" i="1"/>
  <c r="N104" i="1"/>
  <c r="N96" i="1"/>
  <c r="N88" i="1"/>
  <c r="N80" i="1"/>
  <c r="N229" i="1"/>
  <c r="N165" i="1"/>
  <c r="N101" i="1"/>
  <c r="M220" i="1"/>
  <c r="M76" i="1"/>
  <c r="M227" i="1"/>
  <c r="M187" i="1"/>
  <c r="M147" i="1"/>
  <c r="M107" i="1"/>
  <c r="M67" i="1"/>
  <c r="M43" i="1"/>
  <c r="M249" i="1"/>
  <c r="M241" i="1"/>
  <c r="M233" i="1"/>
  <c r="M225" i="1"/>
  <c r="M217" i="1"/>
  <c r="M209" i="1"/>
  <c r="M201" i="1"/>
  <c r="M193" i="1"/>
  <c r="M185" i="1"/>
  <c r="M177" i="1"/>
  <c r="M169" i="1"/>
  <c r="M161" i="1"/>
  <c r="M153" i="1"/>
  <c r="M145" i="1"/>
  <c r="M137" i="1"/>
  <c r="M129" i="1"/>
  <c r="M121" i="1"/>
  <c r="M113" i="1"/>
  <c r="M105" i="1"/>
  <c r="M97" i="1"/>
  <c r="M89" i="1"/>
  <c r="M81" i="1"/>
  <c r="M73" i="1"/>
  <c r="M65" i="1"/>
  <c r="M57" i="1"/>
  <c r="M49" i="1"/>
  <c r="M41" i="1"/>
  <c r="N247" i="1"/>
  <c r="N239" i="1"/>
  <c r="N231" i="1"/>
  <c r="N223" i="1"/>
  <c r="N215" i="1"/>
  <c r="N207" i="1"/>
  <c r="N199" i="1"/>
  <c r="N191" i="1"/>
  <c r="N183" i="1"/>
  <c r="N175" i="1"/>
  <c r="N167" i="1"/>
  <c r="N159" i="1"/>
  <c r="N151" i="1"/>
  <c r="N143" i="1"/>
  <c r="N135" i="1"/>
  <c r="N127" i="1"/>
  <c r="N119" i="1"/>
  <c r="N111" i="1"/>
  <c r="N103" i="1"/>
  <c r="N95" i="1"/>
  <c r="N205" i="1"/>
  <c r="N141" i="1"/>
  <c r="M128" i="1"/>
  <c r="M243" i="1"/>
  <c r="M179" i="1"/>
  <c r="M131" i="1"/>
  <c r="M35" i="1"/>
  <c r="M96" i="1"/>
  <c r="M88" i="1"/>
  <c r="M80" i="1"/>
  <c r="M72" i="1"/>
  <c r="M64" i="1"/>
  <c r="M56" i="1"/>
  <c r="M48" i="1"/>
  <c r="N246" i="1"/>
  <c r="N238" i="1"/>
  <c r="N230" i="1"/>
  <c r="N222" i="1"/>
  <c r="N214" i="1"/>
  <c r="N206" i="1"/>
  <c r="N198" i="1"/>
  <c r="N190" i="1"/>
  <c r="N182" i="1"/>
  <c r="N174" i="1"/>
  <c r="N166" i="1"/>
  <c r="N158" i="1"/>
  <c r="N150" i="1"/>
  <c r="N142" i="1"/>
  <c r="N134" i="1"/>
  <c r="N126" i="1"/>
  <c r="N118" i="1"/>
  <c r="N110" i="1"/>
  <c r="N102" i="1"/>
  <c r="N94" i="1"/>
  <c r="N181" i="1"/>
  <c r="N117" i="1"/>
  <c r="M180" i="1"/>
  <c r="M140" i="1"/>
  <c r="M108" i="1"/>
  <c r="M235" i="1"/>
  <c r="M195" i="1"/>
  <c r="M139" i="1"/>
  <c r="M59" i="1"/>
  <c r="M16" i="1"/>
  <c r="M247" i="1"/>
  <c r="M239" i="1"/>
  <c r="M231" i="1"/>
  <c r="M223" i="1"/>
  <c r="M215" i="1"/>
  <c r="M207" i="1"/>
  <c r="M199" i="1"/>
  <c r="M191" i="1"/>
  <c r="M183" i="1"/>
  <c r="M175" i="1"/>
  <c r="M167" i="1"/>
  <c r="M159" i="1"/>
  <c r="M151" i="1"/>
  <c r="M143" i="1"/>
  <c r="M135" i="1"/>
  <c r="M127" i="1"/>
  <c r="M119" i="1"/>
  <c r="M111" i="1"/>
  <c r="M103" i="1"/>
  <c r="M95" i="1"/>
  <c r="M87" i="1"/>
  <c r="M79" i="1"/>
  <c r="M71" i="1"/>
  <c r="M63" i="1"/>
  <c r="M55" i="1"/>
  <c r="M47" i="1"/>
  <c r="M39" i="1"/>
  <c r="M31" i="1"/>
  <c r="M23" i="1"/>
  <c r="N93" i="1"/>
  <c r="N77" i="1"/>
  <c r="N221" i="1"/>
  <c r="N157" i="1"/>
  <c r="M204" i="1"/>
  <c r="M156" i="1"/>
  <c r="M44" i="1"/>
  <c r="M219" i="1"/>
  <c r="M163" i="1"/>
  <c r="M123" i="1"/>
  <c r="M246" i="1"/>
  <c r="M238" i="1"/>
  <c r="M230" i="1"/>
  <c r="M222" i="1"/>
  <c r="M214" i="1"/>
  <c r="M206" i="1"/>
  <c r="M198" i="1"/>
  <c r="M190" i="1"/>
  <c r="M182" i="1"/>
  <c r="M174" i="1"/>
  <c r="M166" i="1"/>
  <c r="M158" i="1"/>
  <c r="M150" i="1"/>
  <c r="M142" i="1"/>
  <c r="M134" i="1"/>
  <c r="M126" i="1"/>
  <c r="M118" i="1"/>
  <c r="M110" i="1"/>
  <c r="M102" i="1"/>
  <c r="M94" i="1"/>
  <c r="M86" i="1"/>
  <c r="M78" i="1"/>
  <c r="M70" i="1"/>
  <c r="M62" i="1"/>
  <c r="M54" i="1"/>
  <c r="M46" i="1"/>
  <c r="M38" i="1"/>
  <c r="M30" i="1"/>
  <c r="M22" i="1"/>
  <c r="N244" i="1"/>
  <c r="N236" i="1"/>
  <c r="N228" i="1"/>
  <c r="N220" i="1"/>
  <c r="N212" i="1"/>
  <c r="N204" i="1"/>
  <c r="N196" i="1"/>
  <c r="N188" i="1"/>
  <c r="N180" i="1"/>
  <c r="N172" i="1"/>
  <c r="N164" i="1"/>
  <c r="N156" i="1"/>
  <c r="N148" i="1"/>
  <c r="N140" i="1"/>
  <c r="N132" i="1"/>
  <c r="N124" i="1"/>
  <c r="N116" i="1"/>
  <c r="N108" i="1"/>
  <c r="N100" i="1"/>
  <c r="N197" i="1"/>
  <c r="N133" i="1"/>
  <c r="M196" i="1"/>
  <c r="M148" i="1"/>
  <c r="M124" i="1"/>
  <c r="M245" i="1"/>
  <c r="M237" i="1"/>
  <c r="M229" i="1"/>
  <c r="M221" i="1"/>
  <c r="M213" i="1"/>
  <c r="M205" i="1"/>
  <c r="M197" i="1"/>
  <c r="M189" i="1"/>
  <c r="M181" i="1"/>
  <c r="M173" i="1"/>
  <c r="M165" i="1"/>
  <c r="M157" i="1"/>
  <c r="M149" i="1"/>
  <c r="M141" i="1"/>
  <c r="M133" i="1"/>
  <c r="M125" i="1"/>
  <c r="M117" i="1"/>
  <c r="M109" i="1"/>
  <c r="M101" i="1"/>
  <c r="M93" i="1"/>
  <c r="M85" i="1"/>
  <c r="N243" i="1"/>
  <c r="N235" i="1"/>
  <c r="N227" i="1"/>
  <c r="N219" i="1"/>
  <c r="N211" i="1"/>
  <c r="N203" i="1"/>
  <c r="N195" i="1"/>
  <c r="N187" i="1"/>
  <c r="N179" i="1"/>
  <c r="N171" i="1"/>
  <c r="N163" i="1"/>
  <c r="N155" i="1"/>
  <c r="N147" i="1"/>
  <c r="N139" i="1"/>
  <c r="N131" i="1"/>
  <c r="N123" i="1"/>
  <c r="N115" i="1"/>
  <c r="N107" i="1"/>
  <c r="N99" i="1"/>
  <c r="N91" i="1"/>
  <c r="N83" i="1"/>
  <c r="N237" i="1"/>
  <c r="N173" i="1"/>
  <c r="N109" i="1"/>
  <c r="M33" i="1"/>
  <c r="M25" i="1"/>
  <c r="M17" i="1"/>
  <c r="N87" i="1"/>
  <c r="N79" i="1"/>
  <c r="M40" i="1"/>
  <c r="M32" i="1"/>
  <c r="M24" i="1"/>
  <c r="N86" i="1"/>
  <c r="N78" i="1"/>
  <c r="N85" i="1"/>
  <c r="N92" i="1"/>
  <c r="N84" i="1"/>
  <c r="N76" i="1"/>
  <c r="M77" i="1"/>
  <c r="M69" i="1"/>
  <c r="M61" i="1"/>
  <c r="M53" i="1"/>
  <c r="M45" i="1"/>
  <c r="M37" i="1"/>
  <c r="M29" i="1"/>
  <c r="M21" i="1"/>
  <c r="N75" i="1"/>
  <c r="M28" i="1"/>
  <c r="M20" i="1"/>
  <c r="N90" i="1"/>
  <c r="N82" i="1"/>
  <c r="N74" i="1"/>
  <c r="N58" i="1"/>
  <c r="N50" i="1"/>
  <c r="N42" i="1"/>
  <c r="N34" i="1"/>
  <c r="N26" i="1"/>
  <c r="N18" i="1"/>
  <c r="N73" i="1"/>
  <c r="N65" i="1"/>
  <c r="N57" i="1"/>
  <c r="N49" i="1"/>
  <c r="N41" i="1"/>
  <c r="N33" i="1"/>
  <c r="N25" i="1"/>
  <c r="N17" i="1"/>
  <c r="N66" i="1"/>
  <c r="N72" i="1"/>
  <c r="N64" i="1"/>
  <c r="N56" i="1"/>
  <c r="N48" i="1"/>
  <c r="N40" i="1"/>
  <c r="N32" i="1"/>
  <c r="N24" i="1"/>
  <c r="N16" i="1"/>
  <c r="N71" i="1"/>
  <c r="N63" i="1"/>
  <c r="N55" i="1"/>
  <c r="N47" i="1"/>
  <c r="N39" i="1"/>
  <c r="N31" i="1"/>
  <c r="N23" i="1"/>
  <c r="N70" i="1"/>
  <c r="N62" i="1"/>
  <c r="N54" i="1"/>
  <c r="N46" i="1"/>
  <c r="N38" i="1"/>
  <c r="N30" i="1"/>
  <c r="N22" i="1"/>
  <c r="N68" i="1"/>
  <c r="N60" i="1"/>
  <c r="N52" i="1"/>
  <c r="N44" i="1"/>
  <c r="N36" i="1"/>
  <c r="N28" i="1"/>
  <c r="N20" i="1"/>
  <c r="N67" i="1"/>
  <c r="N59" i="1"/>
  <c r="N51" i="1"/>
  <c r="N43" i="1"/>
  <c r="N35" i="1"/>
  <c r="N27" i="1"/>
  <c r="N19" i="1"/>
  <c r="N21" i="1"/>
  <c r="N37" i="1"/>
  <c r="N45" i="1"/>
  <c r="N61" i="1"/>
  <c r="N29" i="1"/>
  <c r="N53" i="1"/>
  <c r="N69" i="1"/>
  <c r="I54" i="1"/>
  <c r="I118" i="1"/>
  <c r="I182" i="1"/>
  <c r="I246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3" i="1"/>
  <c r="F3" i="1"/>
  <c r="I3" i="1" s="1"/>
  <c r="F4" i="1"/>
  <c r="I4" i="1" s="1"/>
  <c r="F5" i="1"/>
  <c r="I5" i="1" s="1"/>
  <c r="F6" i="1"/>
  <c r="I6" i="1" s="1"/>
  <c r="F7" i="1"/>
  <c r="I7" i="1" s="1"/>
  <c r="F8" i="1"/>
  <c r="I8" i="1" s="1"/>
  <c r="F9" i="1"/>
  <c r="I9" i="1" s="1"/>
  <c r="F10" i="1"/>
  <c r="I10" i="1" s="1"/>
  <c r="F11" i="1"/>
  <c r="F12" i="1"/>
  <c r="I12" i="1" s="1"/>
  <c r="F13" i="1"/>
  <c r="I13" i="1" s="1"/>
  <c r="F14" i="1"/>
  <c r="I14" i="1" s="1"/>
  <c r="F15" i="1"/>
  <c r="I15" i="1" s="1"/>
  <c r="F16" i="1"/>
  <c r="I16" i="1" s="1"/>
  <c r="F17" i="1"/>
  <c r="I17" i="1" s="1"/>
  <c r="F18" i="1"/>
  <c r="I18" i="1" s="1"/>
  <c r="F19" i="1"/>
  <c r="F20" i="1"/>
  <c r="I20" i="1" s="1"/>
  <c r="F21" i="1"/>
  <c r="I21" i="1" s="1"/>
  <c r="F22" i="1"/>
  <c r="I22" i="1" s="1"/>
  <c r="F23" i="1"/>
  <c r="I23" i="1" s="1"/>
  <c r="F24" i="1"/>
  <c r="I24" i="1" s="1"/>
  <c r="F25" i="1"/>
  <c r="I25" i="1" s="1"/>
  <c r="F26" i="1"/>
  <c r="I26" i="1" s="1"/>
  <c r="F27" i="1"/>
  <c r="F28" i="1"/>
  <c r="I28" i="1" s="1"/>
  <c r="F29" i="1"/>
  <c r="I29" i="1" s="1"/>
  <c r="F30" i="1"/>
  <c r="I30" i="1" s="1"/>
  <c r="F31" i="1"/>
  <c r="I31" i="1" s="1"/>
  <c r="F32" i="1"/>
  <c r="I32" i="1" s="1"/>
  <c r="F33" i="1"/>
  <c r="I33" i="1" s="1"/>
  <c r="F34" i="1"/>
  <c r="I34" i="1" s="1"/>
  <c r="F35" i="1"/>
  <c r="F36" i="1"/>
  <c r="I36" i="1" s="1"/>
  <c r="F37" i="1"/>
  <c r="I37" i="1" s="1"/>
  <c r="F38" i="1"/>
  <c r="I38" i="1" s="1"/>
  <c r="F39" i="1"/>
  <c r="I39" i="1" s="1"/>
  <c r="F40" i="1"/>
  <c r="I40" i="1" s="1"/>
  <c r="F41" i="1"/>
  <c r="I41" i="1" s="1"/>
  <c r="F42" i="1"/>
  <c r="I42" i="1" s="1"/>
  <c r="F43" i="1"/>
  <c r="F44" i="1"/>
  <c r="I44" i="1" s="1"/>
  <c r="F45" i="1"/>
  <c r="I45" i="1" s="1"/>
  <c r="F46" i="1"/>
  <c r="I46" i="1" s="1"/>
  <c r="F47" i="1"/>
  <c r="I47" i="1" s="1"/>
  <c r="F48" i="1"/>
  <c r="I48" i="1" s="1"/>
  <c r="F49" i="1"/>
  <c r="I49" i="1" s="1"/>
  <c r="F50" i="1"/>
  <c r="I50" i="1" s="1"/>
  <c r="F51" i="1"/>
  <c r="F52" i="1"/>
  <c r="I52" i="1" s="1"/>
  <c r="F53" i="1"/>
  <c r="I53" i="1" s="1"/>
  <c r="F54" i="1"/>
  <c r="F55" i="1"/>
  <c r="I55" i="1" s="1"/>
  <c r="F56" i="1"/>
  <c r="I56" i="1" s="1"/>
  <c r="F57" i="1"/>
  <c r="I57" i="1" s="1"/>
  <c r="F58" i="1"/>
  <c r="I58" i="1" s="1"/>
  <c r="F59" i="1"/>
  <c r="F60" i="1"/>
  <c r="I60" i="1" s="1"/>
  <c r="F61" i="1"/>
  <c r="I61" i="1" s="1"/>
  <c r="F62" i="1"/>
  <c r="I62" i="1" s="1"/>
  <c r="F63" i="1"/>
  <c r="I63" i="1" s="1"/>
  <c r="F64" i="1"/>
  <c r="I64" i="1" s="1"/>
  <c r="F65" i="1"/>
  <c r="I65" i="1" s="1"/>
  <c r="F66" i="1"/>
  <c r="I66" i="1" s="1"/>
  <c r="F67" i="1"/>
  <c r="F68" i="1"/>
  <c r="I68" i="1" s="1"/>
  <c r="F69" i="1"/>
  <c r="I69" i="1" s="1"/>
  <c r="F70" i="1"/>
  <c r="I70" i="1" s="1"/>
  <c r="F71" i="1"/>
  <c r="I71" i="1" s="1"/>
  <c r="F72" i="1"/>
  <c r="I72" i="1" s="1"/>
  <c r="F73" i="1"/>
  <c r="I73" i="1" s="1"/>
  <c r="F74" i="1"/>
  <c r="I74" i="1" s="1"/>
  <c r="F75" i="1"/>
  <c r="F76" i="1"/>
  <c r="I76" i="1" s="1"/>
  <c r="F77" i="1"/>
  <c r="I77" i="1" s="1"/>
  <c r="F78" i="1"/>
  <c r="I78" i="1" s="1"/>
  <c r="F79" i="1"/>
  <c r="I79" i="1" s="1"/>
  <c r="F80" i="1"/>
  <c r="I80" i="1" s="1"/>
  <c r="F81" i="1"/>
  <c r="I81" i="1" s="1"/>
  <c r="F82" i="1"/>
  <c r="I82" i="1" s="1"/>
  <c r="F83" i="1"/>
  <c r="F84" i="1"/>
  <c r="I84" i="1" s="1"/>
  <c r="F85" i="1"/>
  <c r="I85" i="1" s="1"/>
  <c r="F86" i="1"/>
  <c r="I86" i="1" s="1"/>
  <c r="F87" i="1"/>
  <c r="I87" i="1" s="1"/>
  <c r="F88" i="1"/>
  <c r="I88" i="1" s="1"/>
  <c r="F89" i="1"/>
  <c r="I89" i="1" s="1"/>
  <c r="F90" i="1"/>
  <c r="I90" i="1" s="1"/>
  <c r="F91" i="1"/>
  <c r="F92" i="1"/>
  <c r="I92" i="1" s="1"/>
  <c r="F93" i="1"/>
  <c r="I93" i="1" s="1"/>
  <c r="F94" i="1"/>
  <c r="I94" i="1" s="1"/>
  <c r="F95" i="1"/>
  <c r="I95" i="1" s="1"/>
  <c r="F96" i="1"/>
  <c r="I96" i="1" s="1"/>
  <c r="F97" i="1"/>
  <c r="I97" i="1" s="1"/>
  <c r="F98" i="1"/>
  <c r="I98" i="1" s="1"/>
  <c r="F99" i="1"/>
  <c r="F100" i="1"/>
  <c r="I100" i="1" s="1"/>
  <c r="F101" i="1"/>
  <c r="I101" i="1" s="1"/>
  <c r="F102" i="1"/>
  <c r="I102" i="1" s="1"/>
  <c r="F103" i="1"/>
  <c r="I103" i="1" s="1"/>
  <c r="F104" i="1"/>
  <c r="I104" i="1" s="1"/>
  <c r="F105" i="1"/>
  <c r="I105" i="1" s="1"/>
  <c r="F106" i="1"/>
  <c r="I106" i="1" s="1"/>
  <c r="F107" i="1"/>
  <c r="F108" i="1"/>
  <c r="I108" i="1" s="1"/>
  <c r="F109" i="1"/>
  <c r="I109" i="1" s="1"/>
  <c r="F110" i="1"/>
  <c r="I110" i="1" s="1"/>
  <c r="F111" i="1"/>
  <c r="I111" i="1" s="1"/>
  <c r="F112" i="1"/>
  <c r="I112" i="1" s="1"/>
  <c r="F113" i="1"/>
  <c r="I113" i="1" s="1"/>
  <c r="F114" i="1"/>
  <c r="I114" i="1" s="1"/>
  <c r="F115" i="1"/>
  <c r="F116" i="1"/>
  <c r="I116" i="1" s="1"/>
  <c r="F117" i="1"/>
  <c r="I117" i="1" s="1"/>
  <c r="F118" i="1"/>
  <c r="F119" i="1"/>
  <c r="I119" i="1" s="1"/>
  <c r="F120" i="1"/>
  <c r="I120" i="1" s="1"/>
  <c r="F121" i="1"/>
  <c r="I121" i="1" s="1"/>
  <c r="F122" i="1"/>
  <c r="I122" i="1" s="1"/>
  <c r="F123" i="1"/>
  <c r="F124" i="1"/>
  <c r="I124" i="1" s="1"/>
  <c r="F125" i="1"/>
  <c r="I125" i="1" s="1"/>
  <c r="F126" i="1"/>
  <c r="I126" i="1" s="1"/>
  <c r="F127" i="1"/>
  <c r="I127" i="1" s="1"/>
  <c r="F128" i="1"/>
  <c r="I128" i="1" s="1"/>
  <c r="F129" i="1"/>
  <c r="I129" i="1" s="1"/>
  <c r="F130" i="1"/>
  <c r="I130" i="1" s="1"/>
  <c r="F131" i="1"/>
  <c r="F132" i="1"/>
  <c r="I132" i="1" s="1"/>
  <c r="F133" i="1"/>
  <c r="I133" i="1" s="1"/>
  <c r="F134" i="1"/>
  <c r="I134" i="1" s="1"/>
  <c r="F135" i="1"/>
  <c r="I135" i="1" s="1"/>
  <c r="F136" i="1"/>
  <c r="I136" i="1" s="1"/>
  <c r="F137" i="1"/>
  <c r="I137" i="1" s="1"/>
  <c r="F138" i="1"/>
  <c r="I138" i="1" s="1"/>
  <c r="F139" i="1"/>
  <c r="F140" i="1"/>
  <c r="I140" i="1" s="1"/>
  <c r="F141" i="1"/>
  <c r="I141" i="1" s="1"/>
  <c r="F142" i="1"/>
  <c r="I142" i="1" s="1"/>
  <c r="F143" i="1"/>
  <c r="I143" i="1" s="1"/>
  <c r="F144" i="1"/>
  <c r="I144" i="1" s="1"/>
  <c r="F145" i="1"/>
  <c r="I145" i="1" s="1"/>
  <c r="F146" i="1"/>
  <c r="I146" i="1" s="1"/>
  <c r="F147" i="1"/>
  <c r="F148" i="1"/>
  <c r="I148" i="1" s="1"/>
  <c r="F149" i="1"/>
  <c r="I149" i="1" s="1"/>
  <c r="F150" i="1"/>
  <c r="I150" i="1" s="1"/>
  <c r="F151" i="1"/>
  <c r="I151" i="1" s="1"/>
  <c r="F152" i="1"/>
  <c r="I152" i="1" s="1"/>
  <c r="F153" i="1"/>
  <c r="I153" i="1" s="1"/>
  <c r="F154" i="1"/>
  <c r="I154" i="1" s="1"/>
  <c r="F155" i="1"/>
  <c r="F156" i="1"/>
  <c r="I156" i="1" s="1"/>
  <c r="F157" i="1"/>
  <c r="I157" i="1" s="1"/>
  <c r="F158" i="1"/>
  <c r="I158" i="1" s="1"/>
  <c r="F159" i="1"/>
  <c r="I159" i="1" s="1"/>
  <c r="F160" i="1"/>
  <c r="I160" i="1" s="1"/>
  <c r="F161" i="1"/>
  <c r="I161" i="1" s="1"/>
  <c r="F162" i="1"/>
  <c r="I162" i="1" s="1"/>
  <c r="F163" i="1"/>
  <c r="F164" i="1"/>
  <c r="I164" i="1" s="1"/>
  <c r="F165" i="1"/>
  <c r="I165" i="1" s="1"/>
  <c r="F166" i="1"/>
  <c r="I166" i="1" s="1"/>
  <c r="F167" i="1"/>
  <c r="I167" i="1" s="1"/>
  <c r="F168" i="1"/>
  <c r="I168" i="1" s="1"/>
  <c r="F169" i="1"/>
  <c r="I169" i="1" s="1"/>
  <c r="F170" i="1"/>
  <c r="I170" i="1" s="1"/>
  <c r="F171" i="1"/>
  <c r="F172" i="1"/>
  <c r="I172" i="1" s="1"/>
  <c r="F173" i="1"/>
  <c r="I173" i="1" s="1"/>
  <c r="F174" i="1"/>
  <c r="I174" i="1" s="1"/>
  <c r="F175" i="1"/>
  <c r="I175" i="1" s="1"/>
  <c r="F176" i="1"/>
  <c r="I176" i="1" s="1"/>
  <c r="F177" i="1"/>
  <c r="I177" i="1" s="1"/>
  <c r="F178" i="1"/>
  <c r="I178" i="1" s="1"/>
  <c r="F179" i="1"/>
  <c r="F180" i="1"/>
  <c r="I180" i="1" s="1"/>
  <c r="F181" i="1"/>
  <c r="I181" i="1" s="1"/>
  <c r="F182" i="1"/>
  <c r="F183" i="1"/>
  <c r="I183" i="1" s="1"/>
  <c r="F184" i="1"/>
  <c r="I184" i="1" s="1"/>
  <c r="F185" i="1"/>
  <c r="I185" i="1" s="1"/>
  <c r="F186" i="1"/>
  <c r="I186" i="1" s="1"/>
  <c r="F187" i="1"/>
  <c r="F188" i="1"/>
  <c r="I188" i="1" s="1"/>
  <c r="F189" i="1"/>
  <c r="I189" i="1" s="1"/>
  <c r="F190" i="1"/>
  <c r="I190" i="1" s="1"/>
  <c r="F191" i="1"/>
  <c r="I191" i="1" s="1"/>
  <c r="F192" i="1"/>
  <c r="I192" i="1" s="1"/>
  <c r="F193" i="1"/>
  <c r="I193" i="1" s="1"/>
  <c r="F194" i="1"/>
  <c r="I194" i="1" s="1"/>
  <c r="F195" i="1"/>
  <c r="F196" i="1"/>
  <c r="I196" i="1" s="1"/>
  <c r="F197" i="1"/>
  <c r="I197" i="1" s="1"/>
  <c r="F198" i="1"/>
  <c r="I198" i="1" s="1"/>
  <c r="F199" i="1"/>
  <c r="I199" i="1" s="1"/>
  <c r="F200" i="1"/>
  <c r="I200" i="1" s="1"/>
  <c r="F201" i="1"/>
  <c r="I201" i="1" s="1"/>
  <c r="F202" i="1"/>
  <c r="I202" i="1" s="1"/>
  <c r="F203" i="1"/>
  <c r="F204" i="1"/>
  <c r="I204" i="1" s="1"/>
  <c r="F205" i="1"/>
  <c r="I205" i="1" s="1"/>
  <c r="F206" i="1"/>
  <c r="I206" i="1" s="1"/>
  <c r="F207" i="1"/>
  <c r="I207" i="1" s="1"/>
  <c r="F208" i="1"/>
  <c r="I208" i="1" s="1"/>
  <c r="F209" i="1"/>
  <c r="I209" i="1" s="1"/>
  <c r="F210" i="1"/>
  <c r="I210" i="1" s="1"/>
  <c r="F211" i="1"/>
  <c r="F212" i="1"/>
  <c r="I212" i="1" s="1"/>
  <c r="F213" i="1"/>
  <c r="I213" i="1" s="1"/>
  <c r="F214" i="1"/>
  <c r="I214" i="1" s="1"/>
  <c r="F215" i="1"/>
  <c r="I215" i="1" s="1"/>
  <c r="F216" i="1"/>
  <c r="I216" i="1" s="1"/>
  <c r="F217" i="1"/>
  <c r="I217" i="1" s="1"/>
  <c r="F218" i="1"/>
  <c r="I218" i="1" s="1"/>
  <c r="F219" i="1"/>
  <c r="F220" i="1"/>
  <c r="I220" i="1" s="1"/>
  <c r="F221" i="1"/>
  <c r="I221" i="1" s="1"/>
  <c r="F222" i="1"/>
  <c r="I222" i="1" s="1"/>
  <c r="F223" i="1"/>
  <c r="I223" i="1" s="1"/>
  <c r="F224" i="1"/>
  <c r="I224" i="1" s="1"/>
  <c r="F225" i="1"/>
  <c r="I225" i="1" s="1"/>
  <c r="F226" i="1"/>
  <c r="I226" i="1" s="1"/>
  <c r="F227" i="1"/>
  <c r="F228" i="1"/>
  <c r="I228" i="1" s="1"/>
  <c r="F229" i="1"/>
  <c r="I229" i="1" s="1"/>
  <c r="F230" i="1"/>
  <c r="I230" i="1" s="1"/>
  <c r="F231" i="1"/>
  <c r="I231" i="1" s="1"/>
  <c r="F232" i="1"/>
  <c r="I232" i="1" s="1"/>
  <c r="F233" i="1"/>
  <c r="I233" i="1" s="1"/>
  <c r="F234" i="1"/>
  <c r="I234" i="1" s="1"/>
  <c r="F235" i="1"/>
  <c r="F236" i="1"/>
  <c r="I236" i="1" s="1"/>
  <c r="F237" i="1"/>
  <c r="I237" i="1" s="1"/>
  <c r="F238" i="1"/>
  <c r="I238" i="1" s="1"/>
  <c r="F239" i="1"/>
  <c r="I239" i="1" s="1"/>
  <c r="F240" i="1"/>
  <c r="I240" i="1" s="1"/>
  <c r="F241" i="1"/>
  <c r="I241" i="1" s="1"/>
  <c r="F242" i="1"/>
  <c r="I242" i="1" s="1"/>
  <c r="F243" i="1"/>
  <c r="F244" i="1"/>
  <c r="I244" i="1" s="1"/>
  <c r="F245" i="1"/>
  <c r="I245" i="1" s="1"/>
  <c r="F246" i="1"/>
  <c r="F247" i="1"/>
  <c r="I247" i="1" s="1"/>
  <c r="F248" i="1"/>
  <c r="I248" i="1" s="1"/>
  <c r="F249" i="1"/>
  <c r="I249" i="1" s="1"/>
  <c r="F2" i="1"/>
  <c r="I2" i="1" s="1"/>
  <c r="L121" i="1" l="1"/>
  <c r="O121" i="1" s="1"/>
  <c r="L41" i="1"/>
  <c r="O41" i="1" s="1"/>
  <c r="L242" i="1"/>
  <c r="P242" i="1" s="1"/>
  <c r="L138" i="1"/>
  <c r="P138" i="1" s="1"/>
  <c r="L33" i="1"/>
  <c r="P33" i="1" s="1"/>
  <c r="I243" i="1"/>
  <c r="L249" i="1" s="1"/>
  <c r="I235" i="1"/>
  <c r="I227" i="1"/>
  <c r="L240" i="1" s="1"/>
  <c r="O240" i="1" s="1"/>
  <c r="I219" i="1"/>
  <c r="L232" i="1" s="1"/>
  <c r="O232" i="1" s="1"/>
  <c r="I211" i="1"/>
  <c r="L224" i="1" s="1"/>
  <c r="O224" i="1" s="1"/>
  <c r="I203" i="1"/>
  <c r="L216" i="1" s="1"/>
  <c r="O216" i="1" s="1"/>
  <c r="I195" i="1"/>
  <c r="I187" i="1"/>
  <c r="L200" i="1" s="1"/>
  <c r="O200" i="1" s="1"/>
  <c r="I179" i="1"/>
  <c r="L183" i="1" s="1"/>
  <c r="I171" i="1"/>
  <c r="I163" i="1"/>
  <c r="L176" i="1" s="1"/>
  <c r="O176" i="1" s="1"/>
  <c r="I155" i="1"/>
  <c r="L168" i="1" s="1"/>
  <c r="O168" i="1" s="1"/>
  <c r="I147" i="1"/>
  <c r="L160" i="1" s="1"/>
  <c r="O160" i="1" s="1"/>
  <c r="I139" i="1"/>
  <c r="L152" i="1" s="1"/>
  <c r="O152" i="1" s="1"/>
  <c r="I131" i="1"/>
  <c r="I123" i="1"/>
  <c r="L136" i="1" s="1"/>
  <c r="O136" i="1" s="1"/>
  <c r="I115" i="1"/>
  <c r="O159" i="1"/>
  <c r="O235" i="1"/>
  <c r="L153" i="1"/>
  <c r="L137" i="1"/>
  <c r="P137" i="1" s="1"/>
  <c r="L57" i="1"/>
  <c r="O57" i="1" s="1"/>
  <c r="L239" i="1"/>
  <c r="L231" i="1"/>
  <c r="L223" i="1"/>
  <c r="O223" i="1" s="1"/>
  <c r="L215" i="1"/>
  <c r="L175" i="1"/>
  <c r="O175" i="1" s="1"/>
  <c r="L167" i="1"/>
  <c r="L159" i="1"/>
  <c r="L151" i="1"/>
  <c r="P151" i="1" s="1"/>
  <c r="L146" i="1"/>
  <c r="P146" i="1" s="1"/>
  <c r="L246" i="1"/>
  <c r="O246" i="1" s="1"/>
  <c r="L238" i="1"/>
  <c r="L230" i="1"/>
  <c r="L222" i="1"/>
  <c r="L206" i="1"/>
  <c r="P206" i="1" s="1"/>
  <c r="L182" i="1"/>
  <c r="L174" i="1"/>
  <c r="L166" i="1"/>
  <c r="L158" i="1"/>
  <c r="L142" i="1"/>
  <c r="P142" i="1" s="1"/>
  <c r="L226" i="1"/>
  <c r="P226" i="1" s="1"/>
  <c r="L170" i="1"/>
  <c r="P170" i="1" s="1"/>
  <c r="L122" i="1"/>
  <c r="P122" i="1" s="1"/>
  <c r="L241" i="1"/>
  <c r="L185" i="1"/>
  <c r="O185" i="1" s="1"/>
  <c r="L105" i="1"/>
  <c r="L245" i="1"/>
  <c r="P245" i="1" s="1"/>
  <c r="L221" i="1"/>
  <c r="P221" i="1" s="1"/>
  <c r="L165" i="1"/>
  <c r="O182" i="1"/>
  <c r="P200" i="1"/>
  <c r="L234" i="1"/>
  <c r="P234" i="1" s="1"/>
  <c r="L186" i="1"/>
  <c r="P186" i="1" s="1"/>
  <c r="L82" i="1"/>
  <c r="P82" i="1" s="1"/>
  <c r="L217" i="1"/>
  <c r="L161" i="1"/>
  <c r="O161" i="1" s="1"/>
  <c r="L237" i="1"/>
  <c r="L205" i="1"/>
  <c r="L181" i="1"/>
  <c r="P181" i="1" s="1"/>
  <c r="L157" i="1"/>
  <c r="O157" i="1" s="1"/>
  <c r="L244" i="1"/>
  <c r="O244" i="1" s="1"/>
  <c r="L236" i="1"/>
  <c r="O236" i="1" s="1"/>
  <c r="L228" i="1"/>
  <c r="O228" i="1" s="1"/>
  <c r="L220" i="1"/>
  <c r="P220" i="1" s="1"/>
  <c r="L212" i="1"/>
  <c r="O212" i="1" s="1"/>
  <c r="L196" i="1"/>
  <c r="P196" i="1" s="1"/>
  <c r="L180" i="1"/>
  <c r="L172" i="1"/>
  <c r="O172" i="1" s="1"/>
  <c r="L164" i="1"/>
  <c r="O164" i="1" s="1"/>
  <c r="L156" i="1"/>
  <c r="P156" i="1" s="1"/>
  <c r="L148" i="1"/>
  <c r="O148" i="1" s="1"/>
  <c r="O179" i="1"/>
  <c r="L210" i="1"/>
  <c r="P210" i="1" s="1"/>
  <c r="L162" i="1"/>
  <c r="P162" i="1" s="1"/>
  <c r="L114" i="1"/>
  <c r="P114" i="1" s="1"/>
  <c r="L233" i="1"/>
  <c r="L177" i="1"/>
  <c r="L229" i="1"/>
  <c r="O229" i="1" s="1"/>
  <c r="L213" i="1"/>
  <c r="P213" i="1" s="1"/>
  <c r="L173" i="1"/>
  <c r="O173" i="1" s="1"/>
  <c r="L149" i="1"/>
  <c r="P149" i="1" s="1"/>
  <c r="L243" i="1"/>
  <c r="L235" i="1"/>
  <c r="P235" i="1" s="1"/>
  <c r="L227" i="1"/>
  <c r="L219" i="1"/>
  <c r="L211" i="1"/>
  <c r="P211" i="1" s="1"/>
  <c r="L179" i="1"/>
  <c r="P179" i="1" s="1"/>
  <c r="L171" i="1"/>
  <c r="P171" i="1" s="1"/>
  <c r="L163" i="1"/>
  <c r="L155" i="1"/>
  <c r="L139" i="1"/>
  <c r="O139" i="1" s="1"/>
  <c r="L59" i="1"/>
  <c r="O59" i="1" s="1"/>
  <c r="I107" i="1"/>
  <c r="L120" i="1" s="1"/>
  <c r="O120" i="1" s="1"/>
  <c r="I99" i="1"/>
  <c r="L112" i="1" s="1"/>
  <c r="O112" i="1" s="1"/>
  <c r="I91" i="1"/>
  <c r="L104" i="1" s="1"/>
  <c r="O104" i="1" s="1"/>
  <c r="I83" i="1"/>
  <c r="L96" i="1" s="1"/>
  <c r="P96" i="1" s="1"/>
  <c r="I75" i="1"/>
  <c r="I67" i="1"/>
  <c r="L80" i="1" s="1"/>
  <c r="P80" i="1" s="1"/>
  <c r="I59" i="1"/>
  <c r="L65" i="1" s="1"/>
  <c r="O65" i="1" s="1"/>
  <c r="I51" i="1"/>
  <c r="L64" i="1" s="1"/>
  <c r="I43" i="1"/>
  <c r="L56" i="1" s="1"/>
  <c r="O56" i="1" s="1"/>
  <c r="I35" i="1"/>
  <c r="L48" i="1" s="1"/>
  <c r="I27" i="1"/>
  <c r="L40" i="1" s="1"/>
  <c r="P40" i="1" s="1"/>
  <c r="I19" i="1"/>
  <c r="L32" i="1" s="1"/>
  <c r="O32" i="1" s="1"/>
  <c r="I11" i="1"/>
  <c r="L16" i="1"/>
  <c r="P243" i="1"/>
  <c r="O205" i="1"/>
  <c r="P164" i="1"/>
  <c r="P228" i="1"/>
  <c r="O167" i="1"/>
  <c r="O231" i="1"/>
  <c r="O64" i="1"/>
  <c r="O243" i="1"/>
  <c r="P205" i="1"/>
  <c r="P215" i="1"/>
  <c r="O162" i="1"/>
  <c r="L63" i="1"/>
  <c r="L55" i="1"/>
  <c r="O213" i="1"/>
  <c r="P172" i="1"/>
  <c r="P236" i="1"/>
  <c r="O163" i="1"/>
  <c r="O239" i="1"/>
  <c r="P159" i="1"/>
  <c r="P223" i="1"/>
  <c r="O137" i="1"/>
  <c r="P152" i="1"/>
  <c r="P216" i="1"/>
  <c r="O170" i="1"/>
  <c r="L62" i="1"/>
  <c r="O62" i="1" s="1"/>
  <c r="L54" i="1"/>
  <c r="O54" i="1" s="1"/>
  <c r="L46" i="1"/>
  <c r="P46" i="1" s="1"/>
  <c r="L38" i="1"/>
  <c r="P38" i="1" s="1"/>
  <c r="L22" i="1"/>
  <c r="P22" i="1" s="1"/>
  <c r="P48" i="1"/>
  <c r="P173" i="1"/>
  <c r="O221" i="1"/>
  <c r="P180" i="1"/>
  <c r="P244" i="1"/>
  <c r="O219" i="1"/>
  <c r="P157" i="1"/>
  <c r="P158" i="1"/>
  <c r="P222" i="1"/>
  <c r="P167" i="1"/>
  <c r="P231" i="1"/>
  <c r="P160" i="1"/>
  <c r="P224" i="1"/>
  <c r="O242" i="1"/>
  <c r="P153" i="1"/>
  <c r="P217" i="1"/>
  <c r="L61" i="1"/>
  <c r="O61" i="1" s="1"/>
  <c r="L53" i="1"/>
  <c r="P53" i="1" s="1"/>
  <c r="L45" i="1"/>
  <c r="L37" i="1"/>
  <c r="O37" i="1" s="1"/>
  <c r="P54" i="1"/>
  <c r="P56" i="1"/>
  <c r="O40" i="1"/>
  <c r="P237" i="1"/>
  <c r="O165" i="1"/>
  <c r="O63" i="1"/>
  <c r="R63" i="1" s="1"/>
  <c r="P166" i="1"/>
  <c r="P230" i="1"/>
  <c r="P239" i="1"/>
  <c r="O153" i="1"/>
  <c r="O217" i="1"/>
  <c r="P168" i="1"/>
  <c r="P232" i="1"/>
  <c r="O122" i="1"/>
  <c r="O186" i="1"/>
  <c r="P161" i="1"/>
  <c r="L116" i="1"/>
  <c r="O116" i="1" s="1"/>
  <c r="L100" i="1"/>
  <c r="O100" i="1" s="1"/>
  <c r="L92" i="1"/>
  <c r="L60" i="1"/>
  <c r="O60" i="1" s="1"/>
  <c r="L44" i="1"/>
  <c r="P44" i="1" s="1"/>
  <c r="L36" i="1"/>
  <c r="O36" i="1" s="1"/>
  <c r="L20" i="1"/>
  <c r="P20" i="1" s="1"/>
  <c r="P62" i="1"/>
  <c r="P63" i="1"/>
  <c r="P64" i="1"/>
  <c r="O237" i="1"/>
  <c r="O158" i="1"/>
  <c r="O222" i="1"/>
  <c r="P174" i="1"/>
  <c r="P238" i="1"/>
  <c r="P112" i="1"/>
  <c r="P176" i="1"/>
  <c r="P105" i="1"/>
  <c r="P233" i="1"/>
  <c r="L108" i="1"/>
  <c r="P108" i="1" s="1"/>
  <c r="L84" i="1"/>
  <c r="O84" i="1" s="1"/>
  <c r="L52" i="1"/>
  <c r="O52" i="1" s="1"/>
  <c r="L28" i="1"/>
  <c r="P37" i="1"/>
  <c r="P155" i="1"/>
  <c r="P219" i="1"/>
  <c r="O181" i="1"/>
  <c r="O245" i="1"/>
  <c r="O38" i="1"/>
  <c r="O166" i="1"/>
  <c r="O230" i="1"/>
  <c r="P182" i="1"/>
  <c r="P246" i="1"/>
  <c r="O105" i="1"/>
  <c r="O233" i="1"/>
  <c r="O227" i="1"/>
  <c r="P120" i="1"/>
  <c r="O155" i="1"/>
  <c r="P177" i="1"/>
  <c r="P241" i="1"/>
  <c r="L66" i="1"/>
  <c r="P66" i="1" s="1"/>
  <c r="L58" i="1"/>
  <c r="P58" i="1" s="1"/>
  <c r="L50" i="1"/>
  <c r="L42" i="1"/>
  <c r="O42" i="1" s="1"/>
  <c r="L34" i="1"/>
  <c r="P34" i="1" s="1"/>
  <c r="L26" i="1"/>
  <c r="O26" i="1" s="1"/>
  <c r="L18" i="1"/>
  <c r="P18" i="1" s="1"/>
  <c r="P16" i="1"/>
  <c r="P163" i="1"/>
  <c r="P227" i="1"/>
  <c r="P148" i="1"/>
  <c r="P212" i="1"/>
  <c r="O46" i="1"/>
  <c r="O174" i="1"/>
  <c r="O238" i="1"/>
  <c r="O151" i="1"/>
  <c r="O215" i="1"/>
  <c r="O180" i="1"/>
  <c r="O48" i="1"/>
  <c r="O177" i="1"/>
  <c r="O241" i="1"/>
  <c r="P165" i="1"/>
  <c r="O82" i="1"/>
  <c r="O210" i="1"/>
  <c r="P121" i="1"/>
  <c r="P185" i="1"/>
  <c r="Q37" i="1" l="1"/>
  <c r="R37" i="1"/>
  <c r="Q40" i="1"/>
  <c r="O220" i="1"/>
  <c r="R44" i="1"/>
  <c r="P175" i="1"/>
  <c r="R175" i="1" s="1"/>
  <c r="O58" i="1"/>
  <c r="R58" i="1" s="1"/>
  <c r="Q38" i="1"/>
  <c r="O96" i="1"/>
  <c r="Q46" i="1"/>
  <c r="R54" i="1"/>
  <c r="O20" i="1"/>
  <c r="Q20" i="1" s="1"/>
  <c r="R20" i="1"/>
  <c r="Q62" i="1"/>
  <c r="P104" i="1"/>
  <c r="R104" i="1" s="1"/>
  <c r="O226" i="1"/>
  <c r="Q226" i="1" s="1"/>
  <c r="O156" i="1"/>
  <c r="P229" i="1"/>
  <c r="O44" i="1"/>
  <c r="Q44" i="1" s="1"/>
  <c r="P240" i="1"/>
  <c r="O108" i="1"/>
  <c r="P60" i="1"/>
  <c r="R60" i="1" s="1"/>
  <c r="O171" i="1"/>
  <c r="Q171" i="1" s="1"/>
  <c r="O234" i="1"/>
  <c r="Q234" i="1" s="1"/>
  <c r="Q82" i="1"/>
  <c r="R82" i="1"/>
  <c r="P28" i="1"/>
  <c r="O28" i="1"/>
  <c r="Q223" i="1"/>
  <c r="R223" i="1"/>
  <c r="P183" i="1"/>
  <c r="O183" i="1"/>
  <c r="O249" i="1"/>
  <c r="P249" i="1"/>
  <c r="P50" i="1"/>
  <c r="O50" i="1"/>
  <c r="O55" i="1"/>
  <c r="P55" i="1"/>
  <c r="O92" i="1"/>
  <c r="P92" i="1"/>
  <c r="Q233" i="1"/>
  <c r="R233" i="1"/>
  <c r="R185" i="1"/>
  <c r="Q185" i="1"/>
  <c r="R153" i="1"/>
  <c r="Q153" i="1"/>
  <c r="Q230" i="1"/>
  <c r="R230" i="1"/>
  <c r="R186" i="1"/>
  <c r="Q186" i="1"/>
  <c r="S186" i="1" s="1"/>
  <c r="O45" i="1"/>
  <c r="P45" i="1"/>
  <c r="R16" i="1"/>
  <c r="Q16" i="1"/>
  <c r="S16" i="1" s="1"/>
  <c r="R56" i="1"/>
  <c r="Q56" i="1"/>
  <c r="P65" i="1"/>
  <c r="R65" i="1" s="1"/>
  <c r="R121" i="1"/>
  <c r="Q121" i="1"/>
  <c r="Q205" i="1"/>
  <c r="R205" i="1"/>
  <c r="L125" i="1"/>
  <c r="L67" i="1"/>
  <c r="L199" i="1"/>
  <c r="Q235" i="1"/>
  <c r="R235" i="1"/>
  <c r="S37" i="1"/>
  <c r="O18" i="1"/>
  <c r="Q215" i="1"/>
  <c r="R215" i="1"/>
  <c r="R46" i="1"/>
  <c r="S46" i="1" s="1"/>
  <c r="O138" i="1"/>
  <c r="Q166" i="1"/>
  <c r="R166" i="1"/>
  <c r="R220" i="1"/>
  <c r="Q220" i="1"/>
  <c r="R96" i="1"/>
  <c r="Q96" i="1"/>
  <c r="O196" i="1"/>
  <c r="P84" i="1"/>
  <c r="Q84" i="1" s="1"/>
  <c r="Q122" i="1"/>
  <c r="R122" i="1"/>
  <c r="O22" i="1"/>
  <c r="R22" i="1" s="1"/>
  <c r="P139" i="1"/>
  <c r="Q139" i="1" s="1"/>
  <c r="R242" i="1"/>
  <c r="Q242" i="1"/>
  <c r="O206" i="1"/>
  <c r="Q157" i="1"/>
  <c r="R157" i="1"/>
  <c r="P42" i="1"/>
  <c r="R42" i="1" s="1"/>
  <c r="L30" i="1"/>
  <c r="P26" i="1"/>
  <c r="Q26" i="1" s="1"/>
  <c r="L24" i="1"/>
  <c r="L88" i="1"/>
  <c r="L75" i="1"/>
  <c r="L147" i="1"/>
  <c r="L140" i="1"/>
  <c r="L204" i="1"/>
  <c r="L130" i="1"/>
  <c r="P136" i="1"/>
  <c r="Q136" i="1" s="1"/>
  <c r="L77" i="1"/>
  <c r="L86" i="1"/>
  <c r="L150" i="1"/>
  <c r="L214" i="1"/>
  <c r="L143" i="1"/>
  <c r="L207" i="1"/>
  <c r="L89" i="1"/>
  <c r="L144" i="1"/>
  <c r="L208" i="1"/>
  <c r="L49" i="1"/>
  <c r="L194" i="1"/>
  <c r="O53" i="1"/>
  <c r="L73" i="1"/>
  <c r="L132" i="1"/>
  <c r="Q151" i="1"/>
  <c r="R151" i="1"/>
  <c r="R105" i="1"/>
  <c r="Q105" i="1"/>
  <c r="L68" i="1"/>
  <c r="Q237" i="1"/>
  <c r="R237" i="1"/>
  <c r="Q54" i="1"/>
  <c r="S54" i="1" s="1"/>
  <c r="O142" i="1"/>
  <c r="P41" i="1"/>
  <c r="R41" i="1" s="1"/>
  <c r="P36" i="1"/>
  <c r="L71" i="1"/>
  <c r="R162" i="1"/>
  <c r="Q162" i="1"/>
  <c r="L83" i="1"/>
  <c r="L197" i="1"/>
  <c r="Q212" i="1"/>
  <c r="R212" i="1"/>
  <c r="L93" i="1"/>
  <c r="L94" i="1"/>
  <c r="L131" i="1"/>
  <c r="Q159" i="1"/>
  <c r="R159" i="1"/>
  <c r="Q152" i="1"/>
  <c r="R152" i="1"/>
  <c r="Q216" i="1"/>
  <c r="R216" i="1"/>
  <c r="L81" i="1"/>
  <c r="L135" i="1"/>
  <c r="L74" i="1"/>
  <c r="R38" i="1"/>
  <c r="Q222" i="1"/>
  <c r="R222" i="1"/>
  <c r="Q173" i="1"/>
  <c r="R173" i="1"/>
  <c r="R171" i="1"/>
  <c r="R40" i="1"/>
  <c r="S40" i="1" s="1"/>
  <c r="P52" i="1"/>
  <c r="L69" i="1"/>
  <c r="O114" i="1"/>
  <c r="L79" i="1"/>
  <c r="P32" i="1"/>
  <c r="R32" i="1" s="1"/>
  <c r="L19" i="1"/>
  <c r="L91" i="1"/>
  <c r="Q179" i="1"/>
  <c r="R179" i="1"/>
  <c r="Q246" i="1"/>
  <c r="R246" i="1"/>
  <c r="L101" i="1"/>
  <c r="L102" i="1"/>
  <c r="L95" i="1"/>
  <c r="Q160" i="1"/>
  <c r="R160" i="1"/>
  <c r="Q224" i="1"/>
  <c r="R224" i="1"/>
  <c r="L129" i="1"/>
  <c r="L145" i="1"/>
  <c r="R136" i="1"/>
  <c r="R161" i="1"/>
  <c r="Q161" i="1"/>
  <c r="Q158" i="1"/>
  <c r="R158" i="1"/>
  <c r="P57" i="1"/>
  <c r="R57" i="1" s="1"/>
  <c r="Q148" i="1"/>
  <c r="R148" i="1"/>
  <c r="Q213" i="1"/>
  <c r="R213" i="1"/>
  <c r="L23" i="1"/>
  <c r="L87" i="1"/>
  <c r="O34" i="1"/>
  <c r="Q231" i="1"/>
  <c r="R231" i="1"/>
  <c r="R62" i="1"/>
  <c r="R112" i="1"/>
  <c r="Q112" i="1"/>
  <c r="L27" i="1"/>
  <c r="L99" i="1"/>
  <c r="Q164" i="1"/>
  <c r="R164" i="1"/>
  <c r="R228" i="1"/>
  <c r="Q228" i="1"/>
  <c r="Q182" i="1"/>
  <c r="R182" i="1"/>
  <c r="L117" i="1"/>
  <c r="L110" i="1"/>
  <c r="L103" i="1"/>
  <c r="L209" i="1"/>
  <c r="Q168" i="1"/>
  <c r="R168" i="1"/>
  <c r="R232" i="1"/>
  <c r="Q232" i="1"/>
  <c r="L169" i="1"/>
  <c r="L225" i="1"/>
  <c r="R200" i="1"/>
  <c r="Q200" i="1"/>
  <c r="R229" i="1"/>
  <c r="Q229" i="1"/>
  <c r="L21" i="1"/>
  <c r="Q170" i="1"/>
  <c r="R170" i="1"/>
  <c r="Q163" i="1"/>
  <c r="R163" i="1"/>
  <c r="O149" i="1"/>
  <c r="L31" i="1"/>
  <c r="Q167" i="1"/>
  <c r="R167" i="1"/>
  <c r="O33" i="1"/>
  <c r="Q33" i="1" s="1"/>
  <c r="R120" i="1"/>
  <c r="Q120" i="1"/>
  <c r="L35" i="1"/>
  <c r="L107" i="1"/>
  <c r="L85" i="1"/>
  <c r="L97" i="1"/>
  <c r="Q172" i="1"/>
  <c r="R172" i="1"/>
  <c r="Q236" i="1"/>
  <c r="R236" i="1"/>
  <c r="L113" i="1"/>
  <c r="L141" i="1"/>
  <c r="L118" i="1"/>
  <c r="L111" i="1"/>
  <c r="L106" i="1"/>
  <c r="Q176" i="1"/>
  <c r="R176" i="1"/>
  <c r="Q240" i="1"/>
  <c r="R240" i="1"/>
  <c r="L201" i="1"/>
  <c r="L98" i="1"/>
  <c r="R221" i="1"/>
  <c r="Q221" i="1"/>
  <c r="Q239" i="1"/>
  <c r="R239" i="1"/>
  <c r="R64" i="1"/>
  <c r="Q64" i="1"/>
  <c r="R241" i="1"/>
  <c r="Q241" i="1"/>
  <c r="P59" i="1"/>
  <c r="R59" i="1" s="1"/>
  <c r="O66" i="1"/>
  <c r="R210" i="1"/>
  <c r="Q210" i="1"/>
  <c r="R177" i="1"/>
  <c r="Q177" i="1"/>
  <c r="Q238" i="1"/>
  <c r="R238" i="1"/>
  <c r="Q245" i="1"/>
  <c r="R245" i="1"/>
  <c r="O211" i="1"/>
  <c r="Q63" i="1"/>
  <c r="S63" i="1" s="1"/>
  <c r="R165" i="1"/>
  <c r="Q165" i="1"/>
  <c r="L29" i="1"/>
  <c r="P116" i="1"/>
  <c r="R116" i="1" s="1"/>
  <c r="L70" i="1"/>
  <c r="R137" i="1"/>
  <c r="Q137" i="1"/>
  <c r="L39" i="1"/>
  <c r="L43" i="1"/>
  <c r="L115" i="1"/>
  <c r="L187" i="1"/>
  <c r="L109" i="1"/>
  <c r="Q244" i="1"/>
  <c r="R244" i="1"/>
  <c r="L126" i="1"/>
  <c r="L190" i="1"/>
  <c r="L119" i="1"/>
  <c r="L247" i="1"/>
  <c r="L154" i="1"/>
  <c r="L195" i="1"/>
  <c r="L184" i="1"/>
  <c r="L248" i="1"/>
  <c r="L178" i="1"/>
  <c r="Q219" i="1"/>
  <c r="R219" i="1"/>
  <c r="Q156" i="1"/>
  <c r="R156" i="1"/>
  <c r="R48" i="1"/>
  <c r="Q48" i="1"/>
  <c r="L124" i="1"/>
  <c r="Q108" i="1"/>
  <c r="R108" i="1"/>
  <c r="O146" i="1"/>
  <c r="Q180" i="1"/>
  <c r="R180" i="1"/>
  <c r="Q174" i="1"/>
  <c r="R174" i="1"/>
  <c r="Q155" i="1"/>
  <c r="R155" i="1"/>
  <c r="Q227" i="1"/>
  <c r="R227" i="1"/>
  <c r="Q181" i="1"/>
  <c r="R181" i="1"/>
  <c r="P61" i="1"/>
  <c r="R61" i="1" s="1"/>
  <c r="L76" i="1"/>
  <c r="R217" i="1"/>
  <c r="Q217" i="1"/>
  <c r="O80" i="1"/>
  <c r="L78" i="1"/>
  <c r="L47" i="1"/>
  <c r="Q243" i="1"/>
  <c r="R243" i="1"/>
  <c r="P100" i="1"/>
  <c r="Q100" i="1" s="1"/>
  <c r="L72" i="1"/>
  <c r="L51" i="1"/>
  <c r="L123" i="1"/>
  <c r="L203" i="1"/>
  <c r="L133" i="1"/>
  <c r="L188" i="1"/>
  <c r="L189" i="1"/>
  <c r="L134" i="1"/>
  <c r="L198" i="1"/>
  <c r="L193" i="1"/>
  <c r="L127" i="1"/>
  <c r="L191" i="1"/>
  <c r="L17" i="1"/>
  <c r="L202" i="1"/>
  <c r="L128" i="1"/>
  <c r="L192" i="1"/>
  <c r="L90" i="1"/>
  <c r="L25" i="1"/>
  <c r="L218" i="1"/>
  <c r="Q175" i="1" l="1"/>
  <c r="S175" i="1" s="1"/>
  <c r="Q28" i="1"/>
  <c r="Q55" i="1"/>
  <c r="S62" i="1"/>
  <c r="R226" i="1"/>
  <c r="Q116" i="1"/>
  <c r="S116" i="1" s="1"/>
  <c r="S161" i="1"/>
  <c r="S221" i="1"/>
  <c r="S242" i="1"/>
  <c r="S96" i="1"/>
  <c r="S229" i="1"/>
  <c r="Q104" i="1"/>
  <c r="S104" i="1" s="1"/>
  <c r="Q60" i="1"/>
  <c r="S60" i="1" s="1"/>
  <c r="S137" i="1"/>
  <c r="S232" i="1"/>
  <c r="S112" i="1"/>
  <c r="S230" i="1"/>
  <c r="S20" i="1"/>
  <c r="S200" i="1"/>
  <c r="Q57" i="1"/>
  <c r="S57" i="1" s="1"/>
  <c r="S240" i="1"/>
  <c r="S163" i="1"/>
  <c r="S217" i="1"/>
  <c r="S227" i="1"/>
  <c r="S219" i="1"/>
  <c r="S210" i="1"/>
  <c r="S236" i="1"/>
  <c r="S246" i="1"/>
  <c r="S173" i="1"/>
  <c r="S121" i="1"/>
  <c r="S185" i="1"/>
  <c r="Q22" i="1"/>
  <c r="S22" i="1" s="1"/>
  <c r="Q41" i="1"/>
  <c r="S41" i="1" s="1"/>
  <c r="S122" i="1"/>
  <c r="R26" i="1"/>
  <c r="S26" i="1" s="1"/>
  <c r="S44" i="1"/>
  <c r="S48" i="1"/>
  <c r="S228" i="1"/>
  <c r="R234" i="1"/>
  <c r="S234" i="1" s="1"/>
  <c r="S38" i="1"/>
  <c r="Q58" i="1"/>
  <c r="S58" i="1" s="1"/>
  <c r="Q65" i="1"/>
  <c r="S65" i="1" s="1"/>
  <c r="S241" i="1"/>
  <c r="S136" i="1"/>
  <c r="S151" i="1"/>
  <c r="S153" i="1"/>
  <c r="O90" i="1"/>
  <c r="P90" i="1"/>
  <c r="O72" i="1"/>
  <c r="P72" i="1"/>
  <c r="Q211" i="1"/>
  <c r="R211" i="1"/>
  <c r="S239" i="1"/>
  <c r="S176" i="1"/>
  <c r="S170" i="1"/>
  <c r="S158" i="1"/>
  <c r="S224" i="1"/>
  <c r="Q114" i="1"/>
  <c r="R114" i="1"/>
  <c r="P93" i="1"/>
  <c r="O93" i="1"/>
  <c r="R36" i="1"/>
  <c r="Q36" i="1"/>
  <c r="O73" i="1"/>
  <c r="P73" i="1"/>
  <c r="O143" i="1"/>
  <c r="P143" i="1"/>
  <c r="P140" i="1"/>
  <c r="O140" i="1"/>
  <c r="R196" i="1"/>
  <c r="Q196" i="1"/>
  <c r="O67" i="1"/>
  <c r="P67" i="1"/>
  <c r="Q67" i="1" s="1"/>
  <c r="Q92" i="1"/>
  <c r="R92" i="1"/>
  <c r="R33" i="1"/>
  <c r="S33" i="1" s="1"/>
  <c r="O94" i="1"/>
  <c r="P94" i="1"/>
  <c r="O204" i="1"/>
  <c r="P204" i="1"/>
  <c r="P126" i="1"/>
  <c r="O126" i="1"/>
  <c r="O192" i="1"/>
  <c r="P192" i="1"/>
  <c r="O134" i="1"/>
  <c r="P134" i="1"/>
  <c r="P76" i="1"/>
  <c r="O76" i="1"/>
  <c r="S155" i="1"/>
  <c r="O124" i="1"/>
  <c r="P124" i="1"/>
  <c r="O248" i="1"/>
  <c r="P248" i="1"/>
  <c r="R66" i="1"/>
  <c r="Q66" i="1"/>
  <c r="P106" i="1"/>
  <c r="O106" i="1"/>
  <c r="S172" i="1"/>
  <c r="O21" i="1"/>
  <c r="P21" i="1"/>
  <c r="S182" i="1"/>
  <c r="S213" i="1"/>
  <c r="S179" i="1"/>
  <c r="O69" i="1"/>
  <c r="P69" i="1"/>
  <c r="S222" i="1"/>
  <c r="S216" i="1"/>
  <c r="S237" i="1"/>
  <c r="R53" i="1"/>
  <c r="Q53" i="1"/>
  <c r="O214" i="1"/>
  <c r="P214" i="1"/>
  <c r="O147" i="1"/>
  <c r="P147" i="1"/>
  <c r="O125" i="1"/>
  <c r="P125" i="1"/>
  <c r="Q61" i="1"/>
  <c r="S61" i="1" s="1"/>
  <c r="R28" i="1"/>
  <c r="S28" i="1" s="1"/>
  <c r="O39" i="1"/>
  <c r="P39" i="1"/>
  <c r="O169" i="1"/>
  <c r="P169" i="1"/>
  <c r="O132" i="1"/>
  <c r="P132" i="1"/>
  <c r="P178" i="1"/>
  <c r="O178" i="1"/>
  <c r="O128" i="1"/>
  <c r="P128" i="1"/>
  <c r="O189" i="1"/>
  <c r="P189" i="1"/>
  <c r="O184" i="1"/>
  <c r="P184" i="1"/>
  <c r="S244" i="1"/>
  <c r="O70" i="1"/>
  <c r="P70" i="1"/>
  <c r="S245" i="1"/>
  <c r="P111" i="1"/>
  <c r="O111" i="1"/>
  <c r="P97" i="1"/>
  <c r="O97" i="1"/>
  <c r="S167" i="1"/>
  <c r="S160" i="1"/>
  <c r="O91" i="1"/>
  <c r="P91" i="1"/>
  <c r="R52" i="1"/>
  <c r="Q52" i="1"/>
  <c r="R84" i="1"/>
  <c r="S84" i="1" s="1"/>
  <c r="S212" i="1"/>
  <c r="Q142" i="1"/>
  <c r="R142" i="1"/>
  <c r="P68" i="1"/>
  <c r="O68" i="1"/>
  <c r="P194" i="1"/>
  <c r="O194" i="1"/>
  <c r="O150" i="1"/>
  <c r="P150" i="1"/>
  <c r="P75" i="1"/>
  <c r="O75" i="1"/>
  <c r="O30" i="1"/>
  <c r="P30" i="1"/>
  <c r="S215" i="1"/>
  <c r="R249" i="1"/>
  <c r="Q249" i="1"/>
  <c r="Q32" i="1"/>
  <c r="S32" i="1" s="1"/>
  <c r="P193" i="1"/>
  <c r="O193" i="1"/>
  <c r="P190" i="1"/>
  <c r="O190" i="1"/>
  <c r="P23" i="1"/>
  <c r="O23" i="1"/>
  <c r="R23" i="1" s="1"/>
  <c r="P202" i="1"/>
  <c r="O202" i="1"/>
  <c r="O188" i="1"/>
  <c r="P188" i="1"/>
  <c r="S243" i="1"/>
  <c r="S174" i="1"/>
  <c r="P195" i="1"/>
  <c r="O195" i="1"/>
  <c r="O109" i="1"/>
  <c r="P109" i="1"/>
  <c r="P98" i="1"/>
  <c r="O98" i="1"/>
  <c r="O118" i="1"/>
  <c r="P118" i="1"/>
  <c r="O85" i="1"/>
  <c r="P85" i="1"/>
  <c r="O31" i="1"/>
  <c r="P31" i="1"/>
  <c r="Q31" i="1" s="1"/>
  <c r="S168" i="1"/>
  <c r="O95" i="1"/>
  <c r="P95" i="1"/>
  <c r="O19" i="1"/>
  <c r="P19" i="1"/>
  <c r="S152" i="1"/>
  <c r="O197" i="1"/>
  <c r="P197" i="1"/>
  <c r="S105" i="1"/>
  <c r="P49" i="1"/>
  <c r="O49" i="1"/>
  <c r="P86" i="1"/>
  <c r="O86" i="1"/>
  <c r="O88" i="1"/>
  <c r="P88" i="1"/>
  <c r="S220" i="1"/>
  <c r="R18" i="1"/>
  <c r="Q18" i="1"/>
  <c r="S205" i="1"/>
  <c r="S56" i="1"/>
  <c r="R45" i="1"/>
  <c r="Q45" i="1"/>
  <c r="R139" i="1"/>
  <c r="S139" i="1" s="1"/>
  <c r="Q59" i="1"/>
  <c r="S59" i="1" s="1"/>
  <c r="Q183" i="1"/>
  <c r="R183" i="1"/>
  <c r="P117" i="1"/>
  <c r="O117" i="1"/>
  <c r="O79" i="1"/>
  <c r="P79" i="1"/>
  <c r="P71" i="1"/>
  <c r="O71" i="1"/>
  <c r="Q138" i="1"/>
  <c r="R138" i="1"/>
  <c r="P17" i="1"/>
  <c r="O17" i="1"/>
  <c r="P133" i="1"/>
  <c r="O133" i="1"/>
  <c r="P47" i="1"/>
  <c r="O47" i="1"/>
  <c r="P154" i="1"/>
  <c r="O154" i="1"/>
  <c r="P187" i="1"/>
  <c r="O187" i="1"/>
  <c r="P29" i="1"/>
  <c r="O29" i="1"/>
  <c r="S238" i="1"/>
  <c r="P201" i="1"/>
  <c r="O201" i="1"/>
  <c r="P141" i="1"/>
  <c r="O141" i="1"/>
  <c r="P107" i="1"/>
  <c r="O107" i="1"/>
  <c r="Q149" i="1"/>
  <c r="R149" i="1"/>
  <c r="P209" i="1"/>
  <c r="O209" i="1"/>
  <c r="S231" i="1"/>
  <c r="O102" i="1"/>
  <c r="P102" i="1"/>
  <c r="O83" i="1"/>
  <c r="P83" i="1"/>
  <c r="O208" i="1"/>
  <c r="P208" i="1"/>
  <c r="O77" i="1"/>
  <c r="P77" i="1"/>
  <c r="P24" i="1"/>
  <c r="O24" i="1"/>
  <c r="O51" i="1"/>
  <c r="P51" i="1"/>
  <c r="P207" i="1"/>
  <c r="O207" i="1"/>
  <c r="O199" i="1"/>
  <c r="P199" i="1"/>
  <c r="S108" i="1"/>
  <c r="P191" i="1"/>
  <c r="O191" i="1"/>
  <c r="O203" i="1"/>
  <c r="P203" i="1"/>
  <c r="O78" i="1"/>
  <c r="P78" i="1"/>
  <c r="S181" i="1"/>
  <c r="S180" i="1"/>
  <c r="S156" i="1"/>
  <c r="P247" i="1"/>
  <c r="O247" i="1"/>
  <c r="P115" i="1"/>
  <c r="O115" i="1"/>
  <c r="S165" i="1"/>
  <c r="S177" i="1"/>
  <c r="S64" i="1"/>
  <c r="O113" i="1"/>
  <c r="P113" i="1"/>
  <c r="P35" i="1"/>
  <c r="O35" i="1"/>
  <c r="O103" i="1"/>
  <c r="P103" i="1"/>
  <c r="S164" i="1"/>
  <c r="Q34" i="1"/>
  <c r="R34" i="1"/>
  <c r="S148" i="1"/>
  <c r="P145" i="1"/>
  <c r="O145" i="1"/>
  <c r="O101" i="1"/>
  <c r="P101" i="1"/>
  <c r="S171" i="1"/>
  <c r="P74" i="1"/>
  <c r="O74" i="1"/>
  <c r="S159" i="1"/>
  <c r="S162" i="1"/>
  <c r="O144" i="1"/>
  <c r="P144" i="1"/>
  <c r="S157" i="1"/>
  <c r="R100" i="1"/>
  <c r="S100" i="1" s="1"/>
  <c r="Q42" i="1"/>
  <c r="S42" i="1" s="1"/>
  <c r="R55" i="1"/>
  <c r="S55" i="1" s="1"/>
  <c r="S82" i="1"/>
  <c r="O25" i="1"/>
  <c r="P25" i="1"/>
  <c r="O27" i="1"/>
  <c r="P27" i="1"/>
  <c r="P81" i="1"/>
  <c r="O81" i="1"/>
  <c r="O198" i="1"/>
  <c r="P198" i="1"/>
  <c r="P218" i="1"/>
  <c r="O218" i="1"/>
  <c r="P127" i="1"/>
  <c r="O127" i="1"/>
  <c r="O123" i="1"/>
  <c r="P123" i="1"/>
  <c r="R80" i="1"/>
  <c r="Q80" i="1"/>
  <c r="Q146" i="1"/>
  <c r="R146" i="1"/>
  <c r="O119" i="1"/>
  <c r="P119" i="1"/>
  <c r="O43" i="1"/>
  <c r="P43" i="1"/>
  <c r="S120" i="1"/>
  <c r="P225" i="1"/>
  <c r="O225" i="1"/>
  <c r="P110" i="1"/>
  <c r="O110" i="1"/>
  <c r="O99" i="1"/>
  <c r="P99" i="1"/>
  <c r="P87" i="1"/>
  <c r="O87" i="1"/>
  <c r="P129" i="1"/>
  <c r="O129" i="1"/>
  <c r="P135" i="1"/>
  <c r="O135" i="1"/>
  <c r="P131" i="1"/>
  <c r="O131" i="1"/>
  <c r="P89" i="1"/>
  <c r="O89" i="1"/>
  <c r="P130" i="1"/>
  <c r="O130" i="1"/>
  <c r="S226" i="1"/>
  <c r="Q206" i="1"/>
  <c r="R206" i="1"/>
  <c r="S166" i="1"/>
  <c r="S235" i="1"/>
  <c r="S233" i="1"/>
  <c r="R50" i="1"/>
  <c r="Q50" i="1"/>
  <c r="S223" i="1"/>
  <c r="R43" i="1" l="1"/>
  <c r="R49" i="1"/>
  <c r="R47" i="1"/>
  <c r="R71" i="1"/>
  <c r="S92" i="1"/>
  <c r="S114" i="1"/>
  <c r="S52" i="1"/>
  <c r="T65" i="1" s="1"/>
  <c r="U65" i="1" s="1"/>
  <c r="Q30" i="1"/>
  <c r="S53" i="1"/>
  <c r="S50" i="1"/>
  <c r="R51" i="1"/>
  <c r="T239" i="1"/>
  <c r="U239" i="1" s="1"/>
  <c r="R39" i="1"/>
  <c r="Q25" i="1"/>
  <c r="R35" i="1"/>
  <c r="S149" i="1"/>
  <c r="S80" i="1"/>
  <c r="R19" i="1"/>
  <c r="R27" i="1"/>
  <c r="S183" i="1"/>
  <c r="Q187" i="1"/>
  <c r="R187" i="1"/>
  <c r="Q248" i="1"/>
  <c r="R248" i="1"/>
  <c r="Q131" i="1"/>
  <c r="R131" i="1"/>
  <c r="Q81" i="1"/>
  <c r="R81" i="1"/>
  <c r="Q74" i="1"/>
  <c r="R74" i="1"/>
  <c r="Q113" i="1"/>
  <c r="R113" i="1"/>
  <c r="Q29" i="1"/>
  <c r="R29" i="1"/>
  <c r="Q133" i="1"/>
  <c r="R133" i="1"/>
  <c r="Q98" i="1"/>
  <c r="R98" i="1"/>
  <c r="Q190" i="1"/>
  <c r="R190" i="1"/>
  <c r="R194" i="1"/>
  <c r="Q194" i="1"/>
  <c r="Q97" i="1"/>
  <c r="R97" i="1"/>
  <c r="R178" i="1"/>
  <c r="Q178" i="1"/>
  <c r="Q204" i="1"/>
  <c r="R204" i="1"/>
  <c r="Q94" i="1"/>
  <c r="R94" i="1"/>
  <c r="S206" i="1"/>
  <c r="Q99" i="1"/>
  <c r="R99" i="1"/>
  <c r="Q43" i="1"/>
  <c r="S43" i="1" s="1"/>
  <c r="Q123" i="1"/>
  <c r="R123" i="1"/>
  <c r="S34" i="1"/>
  <c r="Q51" i="1"/>
  <c r="R77" i="1"/>
  <c r="Q77" i="1"/>
  <c r="Q107" i="1"/>
  <c r="R107" i="1"/>
  <c r="Q79" i="1"/>
  <c r="R79" i="1"/>
  <c r="S45" i="1"/>
  <c r="R88" i="1"/>
  <c r="Q88" i="1"/>
  <c r="R197" i="1"/>
  <c r="Q197" i="1"/>
  <c r="R188" i="1"/>
  <c r="Q188" i="1"/>
  <c r="S188" i="1" s="1"/>
  <c r="Q184" i="1"/>
  <c r="R184" i="1"/>
  <c r="Q134" i="1"/>
  <c r="R134" i="1"/>
  <c r="Q90" i="1"/>
  <c r="R90" i="1"/>
  <c r="Q127" i="1"/>
  <c r="R127" i="1"/>
  <c r="Q102" i="1"/>
  <c r="R102" i="1"/>
  <c r="R193" i="1"/>
  <c r="Q193" i="1"/>
  <c r="Q130" i="1"/>
  <c r="R130" i="1"/>
  <c r="R119" i="1"/>
  <c r="Q119" i="1"/>
  <c r="Q27" i="1"/>
  <c r="S27" i="1" s="1"/>
  <c r="Q199" i="1"/>
  <c r="R199" i="1"/>
  <c r="Q208" i="1"/>
  <c r="R208" i="1"/>
  <c r="T244" i="1"/>
  <c r="U244" i="1" s="1"/>
  <c r="R141" i="1"/>
  <c r="Q141" i="1"/>
  <c r="R31" i="1"/>
  <c r="S31" i="1" s="1"/>
  <c r="R109" i="1"/>
  <c r="Q109" i="1"/>
  <c r="R30" i="1"/>
  <c r="Q91" i="1"/>
  <c r="R91" i="1"/>
  <c r="Q147" i="1"/>
  <c r="R147" i="1"/>
  <c r="Q192" i="1"/>
  <c r="R192" i="1"/>
  <c r="R67" i="1"/>
  <c r="S67" i="1" s="1"/>
  <c r="T240" i="1"/>
  <c r="U240" i="1" s="1"/>
  <c r="Q135" i="1"/>
  <c r="R135" i="1"/>
  <c r="R117" i="1"/>
  <c r="Q117" i="1"/>
  <c r="Q129" i="1"/>
  <c r="R129" i="1"/>
  <c r="R225" i="1"/>
  <c r="Q225" i="1"/>
  <c r="R218" i="1"/>
  <c r="Q218" i="1"/>
  <c r="Q101" i="1"/>
  <c r="R101" i="1"/>
  <c r="Q103" i="1"/>
  <c r="R103" i="1"/>
  <c r="Q115" i="1"/>
  <c r="R115" i="1"/>
  <c r="R78" i="1"/>
  <c r="Q78" i="1"/>
  <c r="Q207" i="1"/>
  <c r="R207" i="1"/>
  <c r="R209" i="1"/>
  <c r="Q209" i="1"/>
  <c r="R154" i="1"/>
  <c r="Q154" i="1"/>
  <c r="Q19" i="1"/>
  <c r="Q195" i="1"/>
  <c r="R195" i="1"/>
  <c r="R75" i="1"/>
  <c r="Q75" i="1"/>
  <c r="Q132" i="1"/>
  <c r="R132" i="1"/>
  <c r="Q69" i="1"/>
  <c r="R69" i="1"/>
  <c r="Q106" i="1"/>
  <c r="R106" i="1"/>
  <c r="Q124" i="1"/>
  <c r="R124" i="1"/>
  <c r="Q126" i="1"/>
  <c r="R126" i="1"/>
  <c r="R73" i="1"/>
  <c r="Q73" i="1"/>
  <c r="S211" i="1"/>
  <c r="T246" i="1"/>
  <c r="U246" i="1" s="1"/>
  <c r="R89" i="1"/>
  <c r="Q89" i="1"/>
  <c r="S146" i="1"/>
  <c r="R25" i="1"/>
  <c r="Q144" i="1"/>
  <c r="R144" i="1"/>
  <c r="R145" i="1"/>
  <c r="Q145" i="1"/>
  <c r="Q35" i="1"/>
  <c r="S35" i="1" s="1"/>
  <c r="Q201" i="1"/>
  <c r="R201" i="1"/>
  <c r="S138" i="1"/>
  <c r="S18" i="1"/>
  <c r="Q49" i="1"/>
  <c r="R85" i="1"/>
  <c r="Q85" i="1"/>
  <c r="S249" i="1"/>
  <c r="S142" i="1"/>
  <c r="T241" i="1"/>
  <c r="U241" i="1" s="1"/>
  <c r="R189" i="1"/>
  <c r="Q189" i="1"/>
  <c r="Q214" i="1"/>
  <c r="R214" i="1"/>
  <c r="T168" i="1"/>
  <c r="U168" i="1" s="1"/>
  <c r="S196" i="1"/>
  <c r="S36" i="1"/>
  <c r="Q202" i="1"/>
  <c r="R202" i="1"/>
  <c r="Q68" i="1"/>
  <c r="R68" i="1"/>
  <c r="Q111" i="1"/>
  <c r="R111" i="1"/>
  <c r="R21" i="1"/>
  <c r="Q21" i="1"/>
  <c r="Q143" i="1"/>
  <c r="R143" i="1"/>
  <c r="R87" i="1"/>
  <c r="Q87" i="1"/>
  <c r="Q247" i="1"/>
  <c r="R247" i="1"/>
  <c r="Q203" i="1"/>
  <c r="R203" i="1"/>
  <c r="R24" i="1"/>
  <c r="Q24" i="1"/>
  <c r="Q83" i="1"/>
  <c r="R83" i="1"/>
  <c r="Q95" i="1"/>
  <c r="R95" i="1"/>
  <c r="T242" i="1"/>
  <c r="U242" i="1" s="1"/>
  <c r="R70" i="1"/>
  <c r="Q70" i="1"/>
  <c r="Q169" i="1"/>
  <c r="R169" i="1"/>
  <c r="R76" i="1"/>
  <c r="Q76" i="1"/>
  <c r="T243" i="1"/>
  <c r="U243" i="1" s="1"/>
  <c r="T245" i="1"/>
  <c r="U245" i="1" s="1"/>
  <c r="Q110" i="1"/>
  <c r="R110" i="1"/>
  <c r="Q17" i="1"/>
  <c r="R17" i="1"/>
  <c r="Q86" i="1"/>
  <c r="R86" i="1"/>
  <c r="Q198" i="1"/>
  <c r="R198" i="1"/>
  <c r="Q191" i="1"/>
  <c r="R191" i="1"/>
  <c r="Q47" i="1"/>
  <c r="S47" i="1" s="1"/>
  <c r="Q71" i="1"/>
  <c r="S71" i="1" s="1"/>
  <c r="Q118" i="1"/>
  <c r="R118" i="1"/>
  <c r="Q23" i="1"/>
  <c r="S23" i="1" s="1"/>
  <c r="Q150" i="1"/>
  <c r="R150" i="1"/>
  <c r="R128" i="1"/>
  <c r="Q128" i="1"/>
  <c r="Q39" i="1"/>
  <c r="S39" i="1" s="1"/>
  <c r="R125" i="1"/>
  <c r="Q125" i="1"/>
  <c r="S66" i="1"/>
  <c r="Q140" i="1"/>
  <c r="R140" i="1"/>
  <c r="R93" i="1"/>
  <c r="Q93" i="1"/>
  <c r="Q72" i="1"/>
  <c r="R72" i="1"/>
  <c r="S195" i="1" l="1"/>
  <c r="S49" i="1"/>
  <c r="S19" i="1"/>
  <c r="S189" i="1"/>
  <c r="S143" i="1"/>
  <c r="S202" i="1"/>
  <c r="S51" i="1"/>
  <c r="T59" i="1" s="1"/>
  <c r="U59" i="1" s="1"/>
  <c r="S95" i="1"/>
  <c r="S247" i="1"/>
  <c r="S208" i="1"/>
  <c r="S110" i="1"/>
  <c r="S214" i="1"/>
  <c r="S99" i="1"/>
  <c r="S74" i="1"/>
  <c r="S30" i="1"/>
  <c r="T43" i="1" s="1"/>
  <c r="U43" i="1" s="1"/>
  <c r="S128" i="1"/>
  <c r="S25" i="1"/>
  <c r="S87" i="1"/>
  <c r="S77" i="1"/>
  <c r="S115" i="1"/>
  <c r="S126" i="1"/>
  <c r="S132" i="1"/>
  <c r="S134" i="1"/>
  <c r="S133" i="1"/>
  <c r="S140" i="1"/>
  <c r="S150" i="1"/>
  <c r="S103" i="1"/>
  <c r="S129" i="1"/>
  <c r="S199" i="1"/>
  <c r="S94" i="1"/>
  <c r="S198" i="1"/>
  <c r="S124" i="1"/>
  <c r="S192" i="1"/>
  <c r="S204" i="1"/>
  <c r="S118" i="1"/>
  <c r="S78" i="1"/>
  <c r="S218" i="1"/>
  <c r="S86" i="1"/>
  <c r="S111" i="1"/>
  <c r="S207" i="1"/>
  <c r="T216" i="1" s="1"/>
  <c r="U216" i="1" s="1"/>
  <c r="S101" i="1"/>
  <c r="S119" i="1"/>
  <c r="S102" i="1"/>
  <c r="S184" i="1"/>
  <c r="S17" i="1"/>
  <c r="S169" i="1"/>
  <c r="T169" i="1" s="1"/>
  <c r="U169" i="1" s="1"/>
  <c r="S68" i="1"/>
  <c r="S69" i="1"/>
  <c r="S190" i="1"/>
  <c r="S113" i="1"/>
  <c r="S248" i="1"/>
  <c r="T249" i="1" s="1"/>
  <c r="U249" i="1" s="1"/>
  <c r="S191" i="1"/>
  <c r="S135" i="1"/>
  <c r="S91" i="1"/>
  <c r="S130" i="1"/>
  <c r="S107" i="1"/>
  <c r="S90" i="1"/>
  <c r="S203" i="1"/>
  <c r="S201" i="1"/>
  <c r="S89" i="1"/>
  <c r="S125" i="1"/>
  <c r="S75" i="1"/>
  <c r="S81" i="1"/>
  <c r="T50" i="1"/>
  <c r="U50" i="1" s="1"/>
  <c r="T46" i="1"/>
  <c r="U46" i="1" s="1"/>
  <c r="T45" i="1"/>
  <c r="U45" i="1" s="1"/>
  <c r="T67" i="1"/>
  <c r="U67" i="1" s="1"/>
  <c r="S93" i="1"/>
  <c r="S73" i="1"/>
  <c r="S225" i="1"/>
  <c r="T227" i="1" s="1"/>
  <c r="U227" i="1" s="1"/>
  <c r="S197" i="1"/>
  <c r="T44" i="1"/>
  <c r="U44" i="1" s="1"/>
  <c r="S70" i="1"/>
  <c r="T48" i="1"/>
  <c r="U48" i="1" s="1"/>
  <c r="S209" i="1"/>
  <c r="S147" i="1"/>
  <c r="S127" i="1"/>
  <c r="S88" i="1"/>
  <c r="S123" i="1"/>
  <c r="S97" i="1"/>
  <c r="S98" i="1"/>
  <c r="S131" i="1"/>
  <c r="S76" i="1"/>
  <c r="T248" i="1"/>
  <c r="U248" i="1" s="1"/>
  <c r="S85" i="1"/>
  <c r="S145" i="1"/>
  <c r="S141" i="1"/>
  <c r="S193" i="1"/>
  <c r="T247" i="1"/>
  <c r="U247" i="1" s="1"/>
  <c r="T57" i="1"/>
  <c r="U57" i="1" s="1"/>
  <c r="S194" i="1"/>
  <c r="S72" i="1"/>
  <c r="S83" i="1"/>
  <c r="S21" i="1"/>
  <c r="S144" i="1"/>
  <c r="S117" i="1"/>
  <c r="S79" i="1"/>
  <c r="T66" i="1"/>
  <c r="U66" i="1" s="1"/>
  <c r="S24" i="1"/>
  <c r="T49" i="1"/>
  <c r="U49" i="1" s="1"/>
  <c r="S106" i="1"/>
  <c r="S154" i="1"/>
  <c r="S109" i="1"/>
  <c r="T47" i="1"/>
  <c r="U47" i="1" s="1"/>
  <c r="S178" i="1"/>
  <c r="S29" i="1"/>
  <c r="S187" i="1"/>
  <c r="T70" i="1" l="1"/>
  <c r="U70" i="1" s="1"/>
  <c r="T68" i="1"/>
  <c r="U68" i="1" s="1"/>
  <c r="T58" i="1"/>
  <c r="U58" i="1" s="1"/>
  <c r="T123" i="1"/>
  <c r="U123" i="1" s="1"/>
  <c r="T60" i="1"/>
  <c r="U60" i="1" s="1"/>
  <c r="T55" i="1"/>
  <c r="U55" i="1" s="1"/>
  <c r="T56" i="1"/>
  <c r="U56" i="1" s="1"/>
  <c r="T221" i="1"/>
  <c r="U221" i="1" s="1"/>
  <c r="T51" i="1"/>
  <c r="U51" i="1" s="1"/>
  <c r="T54" i="1"/>
  <c r="U54" i="1" s="1"/>
  <c r="T52" i="1"/>
  <c r="U52" i="1" s="1"/>
  <c r="T63" i="1"/>
  <c r="U63" i="1" s="1"/>
  <c r="T61" i="1"/>
  <c r="U61" i="1" s="1"/>
  <c r="T53" i="1"/>
  <c r="U53" i="1" s="1"/>
  <c r="T64" i="1"/>
  <c r="U64" i="1" s="1"/>
  <c r="T62" i="1"/>
  <c r="U62" i="1" s="1"/>
  <c r="T212" i="1"/>
  <c r="U212" i="1" s="1"/>
  <c r="T215" i="1"/>
  <c r="U215" i="1" s="1"/>
  <c r="T219" i="1"/>
  <c r="U219" i="1" s="1"/>
  <c r="T231" i="1"/>
  <c r="U231" i="1" s="1"/>
  <c r="T220" i="1"/>
  <c r="U220" i="1" s="1"/>
  <c r="T223" i="1"/>
  <c r="U223" i="1" s="1"/>
  <c r="T224" i="1"/>
  <c r="U224" i="1" s="1"/>
  <c r="T149" i="1"/>
  <c r="U149" i="1" s="1"/>
  <c r="T217" i="1"/>
  <c r="U217" i="1" s="1"/>
  <c r="T228" i="1"/>
  <c r="U228" i="1" s="1"/>
  <c r="T120" i="1"/>
  <c r="U120" i="1" s="1"/>
  <c r="T208" i="1"/>
  <c r="U208" i="1" s="1"/>
  <c r="T182" i="1"/>
  <c r="U182" i="1" s="1"/>
  <c r="T132" i="1"/>
  <c r="U132" i="1" s="1"/>
  <c r="T69" i="1"/>
  <c r="U69" i="1" s="1"/>
  <c r="T175" i="1"/>
  <c r="U175" i="1" s="1"/>
  <c r="T107" i="1"/>
  <c r="U107" i="1" s="1"/>
  <c r="T170" i="1"/>
  <c r="U170" i="1" s="1"/>
  <c r="T171" i="1"/>
  <c r="U171" i="1" s="1"/>
  <c r="T174" i="1"/>
  <c r="U174" i="1" s="1"/>
  <c r="T177" i="1"/>
  <c r="U177" i="1" s="1"/>
  <c r="T209" i="1"/>
  <c r="U209" i="1" s="1"/>
  <c r="T211" i="1"/>
  <c r="U211" i="1" s="1"/>
  <c r="T207" i="1"/>
  <c r="U207" i="1" s="1"/>
  <c r="T115" i="1"/>
  <c r="U115" i="1" s="1"/>
  <c r="T37" i="1"/>
  <c r="U37" i="1" s="1"/>
  <c r="T138" i="1"/>
  <c r="U138" i="1" s="1"/>
  <c r="T158" i="1"/>
  <c r="U158" i="1" s="1"/>
  <c r="T78" i="1"/>
  <c r="U78" i="1" s="1"/>
  <c r="T113" i="1"/>
  <c r="U113" i="1" s="1"/>
  <c r="T206" i="1"/>
  <c r="U206" i="1" s="1"/>
  <c r="T99" i="1"/>
  <c r="U99" i="1" s="1"/>
  <c r="T180" i="1"/>
  <c r="U180" i="1" s="1"/>
  <c r="T128" i="1"/>
  <c r="U128" i="1" s="1"/>
  <c r="T197" i="1"/>
  <c r="U197" i="1" s="1"/>
  <c r="T214" i="1"/>
  <c r="U214" i="1" s="1"/>
  <c r="T127" i="1"/>
  <c r="U127" i="1" s="1"/>
  <c r="T83" i="1"/>
  <c r="U83" i="1" s="1"/>
  <c r="T176" i="1"/>
  <c r="U176" i="1" s="1"/>
  <c r="T173" i="1"/>
  <c r="U173" i="1" s="1"/>
  <c r="T172" i="1"/>
  <c r="U172" i="1" s="1"/>
  <c r="T100" i="1"/>
  <c r="U100" i="1" s="1"/>
  <c r="T191" i="1"/>
  <c r="U191" i="1" s="1"/>
  <c r="T187" i="1"/>
  <c r="U187" i="1" s="1"/>
  <c r="T183" i="1"/>
  <c r="U183" i="1" s="1"/>
  <c r="T190" i="1"/>
  <c r="U190" i="1" s="1"/>
  <c r="T189" i="1"/>
  <c r="U189" i="1" s="1"/>
  <c r="T184" i="1"/>
  <c r="U184" i="1" s="1"/>
  <c r="T188" i="1"/>
  <c r="U188" i="1" s="1"/>
  <c r="T186" i="1"/>
  <c r="U186" i="1" s="1"/>
  <c r="T185" i="1"/>
  <c r="U185" i="1" s="1"/>
  <c r="T167" i="1"/>
  <c r="U167" i="1" s="1"/>
  <c r="T166" i="1"/>
  <c r="U166" i="1" s="1"/>
  <c r="T164" i="1"/>
  <c r="U164" i="1" s="1"/>
  <c r="T165" i="1"/>
  <c r="U165" i="1" s="1"/>
  <c r="T77" i="1"/>
  <c r="U77" i="1" s="1"/>
  <c r="T30" i="1"/>
  <c r="U30" i="1" s="1"/>
  <c r="T152" i="1"/>
  <c r="U152" i="1" s="1"/>
  <c r="T154" i="1"/>
  <c r="U154" i="1" s="1"/>
  <c r="T81" i="1"/>
  <c r="U81" i="1" s="1"/>
  <c r="T144" i="1"/>
  <c r="U144" i="1" s="1"/>
  <c r="T90" i="1"/>
  <c r="U90" i="1" s="1"/>
  <c r="T76" i="1"/>
  <c r="U76" i="1" s="1"/>
  <c r="T119" i="1"/>
  <c r="U119" i="1" s="1"/>
  <c r="T117" i="1"/>
  <c r="U117" i="1" s="1"/>
  <c r="T118" i="1"/>
  <c r="U118" i="1" s="1"/>
  <c r="T92" i="1"/>
  <c r="U92" i="1" s="1"/>
  <c r="T157" i="1"/>
  <c r="U157" i="1" s="1"/>
  <c r="T85" i="1"/>
  <c r="U85" i="1" s="1"/>
  <c r="T137" i="1"/>
  <c r="U137" i="1" s="1"/>
  <c r="T163" i="1"/>
  <c r="U163" i="1" s="1"/>
  <c r="T32" i="1"/>
  <c r="U32" i="1" s="1"/>
  <c r="T125" i="1"/>
  <c r="U125" i="1" s="1"/>
  <c r="T142" i="1"/>
  <c r="U142" i="1" s="1"/>
  <c r="T111" i="1"/>
  <c r="U111" i="1" s="1"/>
  <c r="T160" i="1"/>
  <c r="U160" i="1" s="1"/>
  <c r="T124" i="1"/>
  <c r="U124" i="1" s="1"/>
  <c r="T80" i="1"/>
  <c r="U80" i="1" s="1"/>
  <c r="T181" i="1"/>
  <c r="U181" i="1" s="1"/>
  <c r="T179" i="1"/>
  <c r="U179" i="1" s="1"/>
  <c r="T130" i="1"/>
  <c r="U130" i="1" s="1"/>
  <c r="T129" i="1"/>
  <c r="U129" i="1" s="1"/>
  <c r="T31" i="1"/>
  <c r="U31" i="1" s="1"/>
  <c r="T87" i="1"/>
  <c r="U87" i="1" s="1"/>
  <c r="T145" i="1"/>
  <c r="U145" i="1" s="1"/>
  <c r="T126" i="1"/>
  <c r="U126" i="1" s="1"/>
  <c r="T116" i="1"/>
  <c r="U116" i="1" s="1"/>
  <c r="T110" i="1"/>
  <c r="U110" i="1" s="1"/>
  <c r="T109" i="1"/>
  <c r="U109" i="1" s="1"/>
  <c r="T222" i="1"/>
  <c r="U222" i="1" s="1"/>
  <c r="T218" i="1"/>
  <c r="U218" i="1" s="1"/>
  <c r="T210" i="1"/>
  <c r="U210" i="1" s="1"/>
  <c r="T161" i="1"/>
  <c r="U161" i="1" s="1"/>
  <c r="T35" i="1"/>
  <c r="U35" i="1" s="1"/>
  <c r="T147" i="1"/>
  <c r="U147" i="1" s="1"/>
  <c r="T150" i="1"/>
  <c r="U150" i="1" s="1"/>
  <c r="T204" i="1"/>
  <c r="U204" i="1" s="1"/>
  <c r="T230" i="1"/>
  <c r="U230" i="1" s="1"/>
  <c r="T34" i="1"/>
  <c r="U34" i="1" s="1"/>
  <c r="T33" i="1"/>
  <c r="U33" i="1" s="1"/>
  <c r="T201" i="1"/>
  <c r="U201" i="1" s="1"/>
  <c r="T71" i="1"/>
  <c r="U71" i="1" s="1"/>
  <c r="T89" i="1"/>
  <c r="U89" i="1" s="1"/>
  <c r="T136" i="1"/>
  <c r="U136" i="1" s="1"/>
  <c r="T135" i="1"/>
  <c r="U135" i="1" s="1"/>
  <c r="T134" i="1"/>
  <c r="U134" i="1" s="1"/>
  <c r="T133" i="1"/>
  <c r="U133" i="1" s="1"/>
  <c r="T148" i="1"/>
  <c r="U148" i="1" s="1"/>
  <c r="T108" i="1"/>
  <c r="U108" i="1" s="1"/>
  <c r="T143" i="1"/>
  <c r="U143" i="1" s="1"/>
  <c r="T131" i="1"/>
  <c r="U131" i="1" s="1"/>
  <c r="T36" i="1"/>
  <c r="U36" i="1" s="1"/>
  <c r="T202" i="1"/>
  <c r="U202" i="1" s="1"/>
  <c r="T101" i="1"/>
  <c r="U101" i="1" s="1"/>
  <c r="T238" i="1"/>
  <c r="U238" i="1" s="1"/>
  <c r="T235" i="1"/>
  <c r="U235" i="1" s="1"/>
  <c r="T232" i="1"/>
  <c r="U232" i="1" s="1"/>
  <c r="T225" i="1"/>
  <c r="U225" i="1" s="1"/>
  <c r="T234" i="1"/>
  <c r="U234" i="1" s="1"/>
  <c r="T226" i="1"/>
  <c r="U226" i="1" s="1"/>
  <c r="T237" i="1"/>
  <c r="U237" i="1" s="1"/>
  <c r="T233" i="1"/>
  <c r="U233" i="1" s="1"/>
  <c r="T236" i="1"/>
  <c r="U236" i="1" s="1"/>
  <c r="T229" i="1"/>
  <c r="U229" i="1" s="1"/>
  <c r="T75" i="1"/>
  <c r="U75" i="1" s="1"/>
  <c r="T106" i="1"/>
  <c r="U106" i="1" s="1"/>
  <c r="T105" i="1"/>
  <c r="U105" i="1" s="1"/>
  <c r="T151" i="1"/>
  <c r="U151" i="1" s="1"/>
  <c r="T91" i="1"/>
  <c r="U91" i="1" s="1"/>
  <c r="T96" i="1"/>
  <c r="U96" i="1" s="1"/>
  <c r="T95" i="1"/>
  <c r="U95" i="1" s="1"/>
  <c r="T93" i="1"/>
  <c r="U93" i="1" s="1"/>
  <c r="T104" i="1"/>
  <c r="U104" i="1" s="1"/>
  <c r="T84" i="1"/>
  <c r="U84" i="1" s="1"/>
  <c r="T139" i="1"/>
  <c r="U139" i="1" s="1"/>
  <c r="T72" i="1"/>
  <c r="U72" i="1" s="1"/>
  <c r="T140" i="1"/>
  <c r="U140" i="1" s="1"/>
  <c r="T112" i="1"/>
  <c r="U112" i="1" s="1"/>
  <c r="T82" i="1"/>
  <c r="U82" i="1" s="1"/>
  <c r="T141" i="1"/>
  <c r="U141" i="1" s="1"/>
  <c r="T86" i="1"/>
  <c r="U86" i="1" s="1"/>
  <c r="T146" i="1"/>
  <c r="U146" i="1" s="1"/>
  <c r="T162" i="1"/>
  <c r="U162" i="1" s="1"/>
  <c r="T200" i="1"/>
  <c r="U200" i="1" s="1"/>
  <c r="T199" i="1"/>
  <c r="U199" i="1" s="1"/>
  <c r="T198" i="1"/>
  <c r="U198" i="1" s="1"/>
  <c r="T196" i="1"/>
  <c r="U196" i="1" s="1"/>
  <c r="T195" i="1"/>
  <c r="U195" i="1" s="1"/>
  <c r="T192" i="1"/>
  <c r="U192" i="1" s="1"/>
  <c r="T193" i="1"/>
  <c r="U193" i="1" s="1"/>
  <c r="T194" i="1"/>
  <c r="U194" i="1" s="1"/>
  <c r="T122" i="1"/>
  <c r="U122" i="1" s="1"/>
  <c r="T121" i="1"/>
  <c r="U121" i="1" s="1"/>
  <c r="T88" i="1"/>
  <c r="U88" i="1" s="1"/>
  <c r="T156" i="1"/>
  <c r="U156" i="1" s="1"/>
  <c r="T103" i="1"/>
  <c r="U103" i="1" s="1"/>
  <c r="T73" i="1"/>
  <c r="U73" i="1" s="1"/>
  <c r="T102" i="1"/>
  <c r="U102" i="1" s="1"/>
  <c r="T94" i="1"/>
  <c r="U94" i="1" s="1"/>
  <c r="T159" i="1"/>
  <c r="U159" i="1" s="1"/>
  <c r="T42" i="1"/>
  <c r="U42" i="1" s="1"/>
  <c r="T41" i="1"/>
  <c r="U41" i="1" s="1"/>
  <c r="T205" i="1"/>
  <c r="U205" i="1" s="1"/>
  <c r="T38" i="1"/>
  <c r="U38" i="1" s="1"/>
  <c r="T114" i="1"/>
  <c r="U114" i="1" s="1"/>
  <c r="T29" i="1"/>
  <c r="U29" i="1" s="1"/>
  <c r="T40" i="1"/>
  <c r="U40" i="1" s="1"/>
  <c r="T79" i="1"/>
  <c r="U79" i="1" s="1"/>
  <c r="T98" i="1"/>
  <c r="U98" i="1" s="1"/>
  <c r="T97" i="1"/>
  <c r="U97" i="1" s="1"/>
  <c r="T153" i="1"/>
  <c r="U153" i="1" s="1"/>
  <c r="T178" i="1"/>
  <c r="U178" i="1" s="1"/>
  <c r="T213" i="1"/>
  <c r="U213" i="1" s="1"/>
  <c r="T203" i="1"/>
  <c r="U203" i="1" s="1"/>
  <c r="T155" i="1"/>
  <c r="U155" i="1" s="1"/>
  <c r="T74" i="1"/>
  <c r="U74" i="1" s="1"/>
  <c r="T39" i="1"/>
  <c r="U39" i="1" s="1"/>
</calcChain>
</file>

<file path=xl/sharedStrings.xml><?xml version="1.0" encoding="utf-8"?>
<sst xmlns="http://schemas.openxmlformats.org/spreadsheetml/2006/main" count="21" uniqueCount="21">
  <si>
    <t>Date</t>
  </si>
  <si>
    <t>Open</t>
  </si>
  <si>
    <t>High</t>
  </si>
  <si>
    <t>Low</t>
  </si>
  <si>
    <t>Close</t>
  </si>
  <si>
    <t>H-L</t>
  </si>
  <si>
    <t>H-PC</t>
  </si>
  <si>
    <t>L-PC</t>
  </si>
  <si>
    <t>TrueRange</t>
  </si>
  <si>
    <t>+DM (1)</t>
  </si>
  <si>
    <t>-DM (1)</t>
  </si>
  <si>
    <t>TR (14)</t>
  </si>
  <si>
    <t>+DM(14)</t>
  </si>
  <si>
    <t>-DM(14)</t>
  </si>
  <si>
    <t>+DI14</t>
  </si>
  <si>
    <t>-DI14</t>
  </si>
  <si>
    <t>DI 14 Diff</t>
  </si>
  <si>
    <t>DI 14 Sum</t>
  </si>
  <si>
    <t>DX</t>
  </si>
  <si>
    <t>ADX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</si>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</sst>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Rockwell"/>
      <family val="2"/>
      <scheme val="minor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theme="8" tint="0.59999389629810485"/>
      </left>
      <right style="thin">
        <color theme="8" tint="0.59999389629810485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ckwel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ckwel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ckwel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ckwel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ckwel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ckwel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ckwel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ckwel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ckwel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ckwel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ckwel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Rockwell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Rockwell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theme="1"/>
        <name val="Rockwell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Rockwell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Rockwell"/>
        <scheme val="minor"/>
      </font>
      <numFmt numFmtId="0" formatCode="General"/>
    </dxf>
    <dxf>
      <numFmt numFmtId="20" formatCode="d\-mmm\-yy"/>
    </dxf>
    <dxf>
      <border outline="0">
        <top style="thin">
          <color theme="8" tint="0.5999938962981048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8" tint="0.59999389629810485"/>
        </left>
        <right style="thin">
          <color theme="8" tint="0.5999938962981048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ADX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4453097808951726E-2"/>
          <c:y val="0.15826065942410339"/>
          <c:w val="0.91097063725068683"/>
          <c:h val="0.74317785307347928"/>
        </c:manualLayout>
      </c:layout>
      <c:lineChart>
        <c:grouping val="standard"/>
        <c:varyColors val="0"/>
        <c:ser>
          <c:idx val="0"/>
          <c:order val="0"/>
          <c:tx>
            <c:strRef>
              <c:f>Sheet1!$T$1</c:f>
              <c:strCache>
                <c:ptCount val="1"/>
                <c:pt idx="0">
                  <c:v>ADX</c:v>
                </c:pt>
              </c:strCache>
            </c:strRef>
          </c:tx>
          <c:spPr>
            <a:ln w="2540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cat>
            <c:numRef>
              <c:f>Sheet1!$A$16:$A$249</c:f>
              <c:numCache>
                <c:formatCode>d\-mmm\-yy</c:formatCode>
                <c:ptCount val="234"/>
                <c:pt idx="0">
                  <c:v>44838</c:v>
                </c:pt>
                <c:pt idx="1">
                  <c:v>44840</c:v>
                </c:pt>
                <c:pt idx="2">
                  <c:v>44841</c:v>
                </c:pt>
                <c:pt idx="3">
                  <c:v>44844</c:v>
                </c:pt>
                <c:pt idx="4">
                  <c:v>44845</c:v>
                </c:pt>
                <c:pt idx="5">
                  <c:v>44846</c:v>
                </c:pt>
                <c:pt idx="6">
                  <c:v>44847</c:v>
                </c:pt>
                <c:pt idx="7">
                  <c:v>44848</c:v>
                </c:pt>
                <c:pt idx="8">
                  <c:v>44851</c:v>
                </c:pt>
                <c:pt idx="9">
                  <c:v>44852</c:v>
                </c:pt>
                <c:pt idx="10">
                  <c:v>44853</c:v>
                </c:pt>
                <c:pt idx="11">
                  <c:v>44854</c:v>
                </c:pt>
                <c:pt idx="12">
                  <c:v>44855</c:v>
                </c:pt>
                <c:pt idx="13">
                  <c:v>44858</c:v>
                </c:pt>
                <c:pt idx="14">
                  <c:v>44859</c:v>
                </c:pt>
                <c:pt idx="15">
                  <c:v>44861</c:v>
                </c:pt>
                <c:pt idx="16">
                  <c:v>44862</c:v>
                </c:pt>
                <c:pt idx="17">
                  <c:v>44865</c:v>
                </c:pt>
                <c:pt idx="18">
                  <c:v>44866</c:v>
                </c:pt>
                <c:pt idx="19">
                  <c:v>44867</c:v>
                </c:pt>
                <c:pt idx="20">
                  <c:v>44868</c:v>
                </c:pt>
                <c:pt idx="21">
                  <c:v>44869</c:v>
                </c:pt>
                <c:pt idx="22">
                  <c:v>44872</c:v>
                </c:pt>
                <c:pt idx="23">
                  <c:v>44874</c:v>
                </c:pt>
                <c:pt idx="24">
                  <c:v>44875</c:v>
                </c:pt>
                <c:pt idx="25">
                  <c:v>44876</c:v>
                </c:pt>
                <c:pt idx="26">
                  <c:v>44880</c:v>
                </c:pt>
                <c:pt idx="27">
                  <c:v>44881</c:v>
                </c:pt>
                <c:pt idx="28">
                  <c:v>44882</c:v>
                </c:pt>
                <c:pt idx="29">
                  <c:v>44883</c:v>
                </c:pt>
                <c:pt idx="30">
                  <c:v>44886</c:v>
                </c:pt>
                <c:pt idx="31">
                  <c:v>44887</c:v>
                </c:pt>
                <c:pt idx="32">
                  <c:v>44888</c:v>
                </c:pt>
                <c:pt idx="33">
                  <c:v>44889</c:v>
                </c:pt>
                <c:pt idx="34">
                  <c:v>44890</c:v>
                </c:pt>
                <c:pt idx="35">
                  <c:v>44893</c:v>
                </c:pt>
                <c:pt idx="36">
                  <c:v>44894</c:v>
                </c:pt>
                <c:pt idx="37">
                  <c:v>44895</c:v>
                </c:pt>
                <c:pt idx="38">
                  <c:v>44896</c:v>
                </c:pt>
                <c:pt idx="39">
                  <c:v>44897</c:v>
                </c:pt>
                <c:pt idx="40">
                  <c:v>44900</c:v>
                </c:pt>
                <c:pt idx="41">
                  <c:v>44901</c:v>
                </c:pt>
                <c:pt idx="42">
                  <c:v>44902</c:v>
                </c:pt>
                <c:pt idx="43">
                  <c:v>44903</c:v>
                </c:pt>
                <c:pt idx="44">
                  <c:v>44904</c:v>
                </c:pt>
                <c:pt idx="45">
                  <c:v>44907</c:v>
                </c:pt>
                <c:pt idx="46">
                  <c:v>44908</c:v>
                </c:pt>
                <c:pt idx="47">
                  <c:v>44909</c:v>
                </c:pt>
                <c:pt idx="48">
                  <c:v>44910</c:v>
                </c:pt>
                <c:pt idx="49">
                  <c:v>44911</c:v>
                </c:pt>
                <c:pt idx="50">
                  <c:v>44914</c:v>
                </c:pt>
                <c:pt idx="51">
                  <c:v>44915</c:v>
                </c:pt>
                <c:pt idx="52">
                  <c:v>44916</c:v>
                </c:pt>
                <c:pt idx="53">
                  <c:v>44917</c:v>
                </c:pt>
                <c:pt idx="54">
                  <c:v>44918</c:v>
                </c:pt>
                <c:pt idx="55">
                  <c:v>44921</c:v>
                </c:pt>
                <c:pt idx="56">
                  <c:v>44922</c:v>
                </c:pt>
                <c:pt idx="57">
                  <c:v>44923</c:v>
                </c:pt>
                <c:pt idx="58">
                  <c:v>44924</c:v>
                </c:pt>
                <c:pt idx="59">
                  <c:v>44925</c:v>
                </c:pt>
                <c:pt idx="60">
                  <c:v>44928</c:v>
                </c:pt>
                <c:pt idx="61">
                  <c:v>44929</c:v>
                </c:pt>
                <c:pt idx="62">
                  <c:v>44930</c:v>
                </c:pt>
                <c:pt idx="63">
                  <c:v>44931</c:v>
                </c:pt>
                <c:pt idx="64">
                  <c:v>44932</c:v>
                </c:pt>
                <c:pt idx="65">
                  <c:v>44935</c:v>
                </c:pt>
                <c:pt idx="66">
                  <c:v>44936</c:v>
                </c:pt>
                <c:pt idx="67">
                  <c:v>44937</c:v>
                </c:pt>
                <c:pt idx="68">
                  <c:v>44938</c:v>
                </c:pt>
                <c:pt idx="69">
                  <c:v>44939</c:v>
                </c:pt>
                <c:pt idx="70">
                  <c:v>44942</c:v>
                </c:pt>
                <c:pt idx="71">
                  <c:v>44943</c:v>
                </c:pt>
                <c:pt idx="72">
                  <c:v>44944</c:v>
                </c:pt>
                <c:pt idx="73">
                  <c:v>44945</c:v>
                </c:pt>
                <c:pt idx="74">
                  <c:v>44946</c:v>
                </c:pt>
                <c:pt idx="75">
                  <c:v>44949</c:v>
                </c:pt>
                <c:pt idx="76">
                  <c:v>44950</c:v>
                </c:pt>
                <c:pt idx="77">
                  <c:v>44951</c:v>
                </c:pt>
                <c:pt idx="78">
                  <c:v>44953</c:v>
                </c:pt>
                <c:pt idx="79">
                  <c:v>44956</c:v>
                </c:pt>
                <c:pt idx="80">
                  <c:v>44957</c:v>
                </c:pt>
                <c:pt idx="81">
                  <c:v>44958</c:v>
                </c:pt>
                <c:pt idx="82">
                  <c:v>44959</c:v>
                </c:pt>
                <c:pt idx="83">
                  <c:v>44960</c:v>
                </c:pt>
                <c:pt idx="84">
                  <c:v>44963</c:v>
                </c:pt>
                <c:pt idx="85">
                  <c:v>44964</c:v>
                </c:pt>
                <c:pt idx="86">
                  <c:v>44965</c:v>
                </c:pt>
                <c:pt idx="87">
                  <c:v>44966</c:v>
                </c:pt>
                <c:pt idx="88">
                  <c:v>44967</c:v>
                </c:pt>
                <c:pt idx="89">
                  <c:v>44970</c:v>
                </c:pt>
                <c:pt idx="90">
                  <c:v>44971</c:v>
                </c:pt>
                <c:pt idx="91">
                  <c:v>44972</c:v>
                </c:pt>
                <c:pt idx="92">
                  <c:v>44973</c:v>
                </c:pt>
                <c:pt idx="93">
                  <c:v>44974</c:v>
                </c:pt>
                <c:pt idx="94">
                  <c:v>44977</c:v>
                </c:pt>
                <c:pt idx="95">
                  <c:v>44978</c:v>
                </c:pt>
                <c:pt idx="96">
                  <c:v>44979</c:v>
                </c:pt>
                <c:pt idx="97">
                  <c:v>44980</c:v>
                </c:pt>
                <c:pt idx="98">
                  <c:v>44981</c:v>
                </c:pt>
                <c:pt idx="99">
                  <c:v>44984</c:v>
                </c:pt>
                <c:pt idx="100">
                  <c:v>44985</c:v>
                </c:pt>
                <c:pt idx="101">
                  <c:v>44986</c:v>
                </c:pt>
                <c:pt idx="102">
                  <c:v>44987</c:v>
                </c:pt>
                <c:pt idx="103">
                  <c:v>44988</c:v>
                </c:pt>
                <c:pt idx="104">
                  <c:v>44991</c:v>
                </c:pt>
                <c:pt idx="105">
                  <c:v>44993</c:v>
                </c:pt>
                <c:pt idx="106">
                  <c:v>44994</c:v>
                </c:pt>
                <c:pt idx="107">
                  <c:v>44995</c:v>
                </c:pt>
                <c:pt idx="108">
                  <c:v>44998</c:v>
                </c:pt>
                <c:pt idx="109">
                  <c:v>44999</c:v>
                </c:pt>
                <c:pt idx="110">
                  <c:v>45000</c:v>
                </c:pt>
                <c:pt idx="111">
                  <c:v>45001</c:v>
                </c:pt>
                <c:pt idx="112">
                  <c:v>45002</c:v>
                </c:pt>
                <c:pt idx="113">
                  <c:v>45005</c:v>
                </c:pt>
                <c:pt idx="114">
                  <c:v>45006</c:v>
                </c:pt>
                <c:pt idx="115">
                  <c:v>45007</c:v>
                </c:pt>
                <c:pt idx="116">
                  <c:v>45008</c:v>
                </c:pt>
                <c:pt idx="117">
                  <c:v>45009</c:v>
                </c:pt>
                <c:pt idx="118">
                  <c:v>45012</c:v>
                </c:pt>
                <c:pt idx="119">
                  <c:v>45013</c:v>
                </c:pt>
                <c:pt idx="120">
                  <c:v>45014</c:v>
                </c:pt>
                <c:pt idx="121">
                  <c:v>45016</c:v>
                </c:pt>
                <c:pt idx="122">
                  <c:v>45019</c:v>
                </c:pt>
                <c:pt idx="123">
                  <c:v>45021</c:v>
                </c:pt>
                <c:pt idx="124">
                  <c:v>45022</c:v>
                </c:pt>
                <c:pt idx="125">
                  <c:v>45026</c:v>
                </c:pt>
                <c:pt idx="126">
                  <c:v>45027</c:v>
                </c:pt>
                <c:pt idx="127">
                  <c:v>45028</c:v>
                </c:pt>
                <c:pt idx="128">
                  <c:v>45029</c:v>
                </c:pt>
                <c:pt idx="129">
                  <c:v>45033</c:v>
                </c:pt>
                <c:pt idx="130">
                  <c:v>45034</c:v>
                </c:pt>
                <c:pt idx="131">
                  <c:v>45035</c:v>
                </c:pt>
                <c:pt idx="132">
                  <c:v>45036</c:v>
                </c:pt>
                <c:pt idx="133">
                  <c:v>45037</c:v>
                </c:pt>
                <c:pt idx="134">
                  <c:v>45040</c:v>
                </c:pt>
                <c:pt idx="135">
                  <c:v>45041</c:v>
                </c:pt>
                <c:pt idx="136">
                  <c:v>45042</c:v>
                </c:pt>
                <c:pt idx="137">
                  <c:v>45043</c:v>
                </c:pt>
                <c:pt idx="138">
                  <c:v>45044</c:v>
                </c:pt>
                <c:pt idx="139">
                  <c:v>45048</c:v>
                </c:pt>
                <c:pt idx="140">
                  <c:v>45049</c:v>
                </c:pt>
                <c:pt idx="141">
                  <c:v>45050</c:v>
                </c:pt>
                <c:pt idx="142">
                  <c:v>45051</c:v>
                </c:pt>
                <c:pt idx="143">
                  <c:v>45054</c:v>
                </c:pt>
                <c:pt idx="144">
                  <c:v>45055</c:v>
                </c:pt>
                <c:pt idx="145">
                  <c:v>45056</c:v>
                </c:pt>
                <c:pt idx="146">
                  <c:v>45057</c:v>
                </c:pt>
                <c:pt idx="147">
                  <c:v>45058</c:v>
                </c:pt>
                <c:pt idx="148">
                  <c:v>45061</c:v>
                </c:pt>
                <c:pt idx="149">
                  <c:v>45062</c:v>
                </c:pt>
                <c:pt idx="150">
                  <c:v>45063</c:v>
                </c:pt>
                <c:pt idx="151">
                  <c:v>45064</c:v>
                </c:pt>
                <c:pt idx="152">
                  <c:v>45065</c:v>
                </c:pt>
                <c:pt idx="153">
                  <c:v>45068</c:v>
                </c:pt>
                <c:pt idx="154">
                  <c:v>45069</c:v>
                </c:pt>
                <c:pt idx="155">
                  <c:v>45070</c:v>
                </c:pt>
                <c:pt idx="156">
                  <c:v>45071</c:v>
                </c:pt>
                <c:pt idx="157">
                  <c:v>45072</c:v>
                </c:pt>
                <c:pt idx="158">
                  <c:v>45075</c:v>
                </c:pt>
                <c:pt idx="159">
                  <c:v>45076</c:v>
                </c:pt>
                <c:pt idx="160">
                  <c:v>45077</c:v>
                </c:pt>
                <c:pt idx="161">
                  <c:v>45078</c:v>
                </c:pt>
                <c:pt idx="162">
                  <c:v>45079</c:v>
                </c:pt>
                <c:pt idx="163">
                  <c:v>45082</c:v>
                </c:pt>
                <c:pt idx="164">
                  <c:v>45083</c:v>
                </c:pt>
                <c:pt idx="165">
                  <c:v>45084</c:v>
                </c:pt>
                <c:pt idx="166">
                  <c:v>45085</c:v>
                </c:pt>
                <c:pt idx="167">
                  <c:v>45086</c:v>
                </c:pt>
                <c:pt idx="168">
                  <c:v>45089</c:v>
                </c:pt>
                <c:pt idx="169">
                  <c:v>45090</c:v>
                </c:pt>
                <c:pt idx="170">
                  <c:v>45091</c:v>
                </c:pt>
                <c:pt idx="171">
                  <c:v>45092</c:v>
                </c:pt>
                <c:pt idx="172">
                  <c:v>45093</c:v>
                </c:pt>
                <c:pt idx="173">
                  <c:v>45096</c:v>
                </c:pt>
                <c:pt idx="174">
                  <c:v>45097</c:v>
                </c:pt>
                <c:pt idx="175">
                  <c:v>45098</c:v>
                </c:pt>
                <c:pt idx="176">
                  <c:v>45099</c:v>
                </c:pt>
                <c:pt idx="177">
                  <c:v>45100</c:v>
                </c:pt>
                <c:pt idx="178">
                  <c:v>45103</c:v>
                </c:pt>
                <c:pt idx="179">
                  <c:v>45104</c:v>
                </c:pt>
                <c:pt idx="180">
                  <c:v>45105</c:v>
                </c:pt>
                <c:pt idx="181">
                  <c:v>45107</c:v>
                </c:pt>
                <c:pt idx="182">
                  <c:v>45110</c:v>
                </c:pt>
                <c:pt idx="183">
                  <c:v>45111</c:v>
                </c:pt>
                <c:pt idx="184">
                  <c:v>45112</c:v>
                </c:pt>
                <c:pt idx="185">
                  <c:v>45113</c:v>
                </c:pt>
                <c:pt idx="186">
                  <c:v>45114</c:v>
                </c:pt>
                <c:pt idx="187">
                  <c:v>45117</c:v>
                </c:pt>
                <c:pt idx="188">
                  <c:v>45118</c:v>
                </c:pt>
                <c:pt idx="189">
                  <c:v>45119</c:v>
                </c:pt>
                <c:pt idx="190">
                  <c:v>45120</c:v>
                </c:pt>
                <c:pt idx="191">
                  <c:v>45121</c:v>
                </c:pt>
                <c:pt idx="192">
                  <c:v>45124</c:v>
                </c:pt>
                <c:pt idx="193">
                  <c:v>45125</c:v>
                </c:pt>
                <c:pt idx="194">
                  <c:v>45126</c:v>
                </c:pt>
                <c:pt idx="195">
                  <c:v>45127</c:v>
                </c:pt>
                <c:pt idx="196">
                  <c:v>45128</c:v>
                </c:pt>
                <c:pt idx="197">
                  <c:v>45131</c:v>
                </c:pt>
                <c:pt idx="198">
                  <c:v>45132</c:v>
                </c:pt>
                <c:pt idx="199">
                  <c:v>45133</c:v>
                </c:pt>
                <c:pt idx="200">
                  <c:v>45134</c:v>
                </c:pt>
                <c:pt idx="201">
                  <c:v>45135</c:v>
                </c:pt>
                <c:pt idx="202">
                  <c:v>45138</c:v>
                </c:pt>
                <c:pt idx="203">
                  <c:v>45139</c:v>
                </c:pt>
                <c:pt idx="204">
                  <c:v>45140</c:v>
                </c:pt>
                <c:pt idx="205">
                  <c:v>45141</c:v>
                </c:pt>
                <c:pt idx="206">
                  <c:v>45142</c:v>
                </c:pt>
                <c:pt idx="207">
                  <c:v>45145</c:v>
                </c:pt>
                <c:pt idx="208">
                  <c:v>45146</c:v>
                </c:pt>
                <c:pt idx="209">
                  <c:v>45147</c:v>
                </c:pt>
                <c:pt idx="210">
                  <c:v>45148</c:v>
                </c:pt>
                <c:pt idx="211">
                  <c:v>45149</c:v>
                </c:pt>
                <c:pt idx="212">
                  <c:v>45152</c:v>
                </c:pt>
                <c:pt idx="213">
                  <c:v>45154</c:v>
                </c:pt>
                <c:pt idx="214">
                  <c:v>45155</c:v>
                </c:pt>
                <c:pt idx="215">
                  <c:v>45156</c:v>
                </c:pt>
                <c:pt idx="216">
                  <c:v>45159</c:v>
                </c:pt>
                <c:pt idx="217">
                  <c:v>45160</c:v>
                </c:pt>
                <c:pt idx="218">
                  <c:v>45161</c:v>
                </c:pt>
                <c:pt idx="219">
                  <c:v>45162</c:v>
                </c:pt>
                <c:pt idx="220">
                  <c:v>45163</c:v>
                </c:pt>
                <c:pt idx="221">
                  <c:v>45166</c:v>
                </c:pt>
                <c:pt idx="222">
                  <c:v>45167</c:v>
                </c:pt>
                <c:pt idx="223">
                  <c:v>45168</c:v>
                </c:pt>
                <c:pt idx="224">
                  <c:v>45169</c:v>
                </c:pt>
                <c:pt idx="225">
                  <c:v>45170</c:v>
                </c:pt>
                <c:pt idx="226">
                  <c:v>45173</c:v>
                </c:pt>
                <c:pt idx="227">
                  <c:v>45174</c:v>
                </c:pt>
                <c:pt idx="228">
                  <c:v>45175</c:v>
                </c:pt>
                <c:pt idx="229">
                  <c:v>45176</c:v>
                </c:pt>
                <c:pt idx="230">
                  <c:v>45177</c:v>
                </c:pt>
                <c:pt idx="231">
                  <c:v>45180</c:v>
                </c:pt>
                <c:pt idx="232">
                  <c:v>45181</c:v>
                </c:pt>
                <c:pt idx="233">
                  <c:v>45182</c:v>
                </c:pt>
              </c:numCache>
            </c:numRef>
          </c:cat>
          <c:val>
            <c:numRef>
              <c:f>Sheet1!$T$16:$T$249</c:f>
              <c:numCache>
                <c:formatCode>0.00</c:formatCode>
                <c:ptCount val="234"/>
                <c:pt idx="13">
                  <c:v>30.085623654268723</c:v>
                </c:pt>
                <c:pt idx="14">
                  <c:v>28.664926967459859</c:v>
                </c:pt>
                <c:pt idx="15">
                  <c:v>27.259839949560327</c:v>
                </c:pt>
                <c:pt idx="16">
                  <c:v>27.484426295866268</c:v>
                </c:pt>
                <c:pt idx="17">
                  <c:v>29.32686058528974</c:v>
                </c:pt>
                <c:pt idx="18">
                  <c:v>30.941233216299235</c:v>
                </c:pt>
                <c:pt idx="19">
                  <c:v>32.62707624933654</c:v>
                </c:pt>
                <c:pt idx="20">
                  <c:v>33.888384702844931</c:v>
                </c:pt>
                <c:pt idx="21">
                  <c:v>36.767283463188392</c:v>
                </c:pt>
                <c:pt idx="22">
                  <c:v>40.894832612645516</c:v>
                </c:pt>
                <c:pt idx="23">
                  <c:v>43.574282075357324</c:v>
                </c:pt>
                <c:pt idx="24">
                  <c:v>43.555604242386245</c:v>
                </c:pt>
                <c:pt idx="25">
                  <c:v>44.923257802990285</c:v>
                </c:pt>
                <c:pt idx="26">
                  <c:v>46.492229265785326</c:v>
                </c:pt>
                <c:pt idx="27">
                  <c:v>47.450161830139741</c:v>
                </c:pt>
                <c:pt idx="28">
                  <c:v>49.802206795468052</c:v>
                </c:pt>
                <c:pt idx="29">
                  <c:v>51.921241696028218</c:v>
                </c:pt>
                <c:pt idx="30">
                  <c:v>52.360259421408713</c:v>
                </c:pt>
                <c:pt idx="31">
                  <c:v>50.137532334377134</c:v>
                </c:pt>
                <c:pt idx="32">
                  <c:v>46.060946303306821</c:v>
                </c:pt>
                <c:pt idx="33">
                  <c:v>43.189052469826827</c:v>
                </c:pt>
                <c:pt idx="34">
                  <c:v>41.788246106041925</c:v>
                </c:pt>
                <c:pt idx="35">
                  <c:v>40.161524402440783</c:v>
                </c:pt>
                <c:pt idx="36">
                  <c:v>37.318496602190415</c:v>
                </c:pt>
                <c:pt idx="37">
                  <c:v>35.27417422150063</c:v>
                </c:pt>
                <c:pt idx="38">
                  <c:v>36.372638460290368</c:v>
                </c:pt>
                <c:pt idx="39">
                  <c:v>33.932845036209514</c:v>
                </c:pt>
                <c:pt idx="40">
                  <c:v>30.786113758271455</c:v>
                </c:pt>
                <c:pt idx="41">
                  <c:v>27.706423222473802</c:v>
                </c:pt>
                <c:pt idx="42">
                  <c:v>24.150086029261299</c:v>
                </c:pt>
                <c:pt idx="43">
                  <c:v>22.261173705690062</c:v>
                </c:pt>
                <c:pt idx="44">
                  <c:v>20.715905865058215</c:v>
                </c:pt>
                <c:pt idx="45">
                  <c:v>19.498544762080929</c:v>
                </c:pt>
                <c:pt idx="46">
                  <c:v>18.973924524291398</c:v>
                </c:pt>
                <c:pt idx="47">
                  <c:v>17.469024169685223</c:v>
                </c:pt>
                <c:pt idx="48">
                  <c:v>16.612615645018042</c:v>
                </c:pt>
                <c:pt idx="49">
                  <c:v>16.729471539369531</c:v>
                </c:pt>
                <c:pt idx="50">
                  <c:v>17.629338208429822</c:v>
                </c:pt>
                <c:pt idx="51">
                  <c:v>19.484087325382045</c:v>
                </c:pt>
                <c:pt idx="52">
                  <c:v>19.895974508398336</c:v>
                </c:pt>
                <c:pt idx="53">
                  <c:v>22.460086006454819</c:v>
                </c:pt>
                <c:pt idx="54">
                  <c:v>26.380024648770934</c:v>
                </c:pt>
                <c:pt idx="55">
                  <c:v>30.169004801359904</c:v>
                </c:pt>
                <c:pt idx="56">
                  <c:v>33.431842926552704</c:v>
                </c:pt>
                <c:pt idx="57">
                  <c:v>35.707856248793888</c:v>
                </c:pt>
                <c:pt idx="58">
                  <c:v>38.247759143790304</c:v>
                </c:pt>
                <c:pt idx="59">
                  <c:v>40.775452564888219</c:v>
                </c:pt>
                <c:pt idx="60">
                  <c:v>43.88788020163144</c:v>
                </c:pt>
                <c:pt idx="61">
                  <c:v>47.270341270505014</c:v>
                </c:pt>
                <c:pt idx="62">
                  <c:v>48.911474649765225</c:v>
                </c:pt>
                <c:pt idx="63">
                  <c:v>50.315797240965594</c:v>
                </c:pt>
                <c:pt idx="64">
                  <c:v>51.472005311651863</c:v>
                </c:pt>
                <c:pt idx="65">
                  <c:v>50.255735411370253</c:v>
                </c:pt>
                <c:pt idx="66">
                  <c:v>49.878801767565712</c:v>
                </c:pt>
                <c:pt idx="67">
                  <c:v>49.437583901079471</c:v>
                </c:pt>
                <c:pt idx="68">
                  <c:v>47.464406497277771</c:v>
                </c:pt>
                <c:pt idx="69">
                  <c:v>45.601632168781897</c:v>
                </c:pt>
                <c:pt idx="70">
                  <c:v>44.551797291877406</c:v>
                </c:pt>
                <c:pt idx="71">
                  <c:v>43.70301297488875</c:v>
                </c:pt>
                <c:pt idx="72">
                  <c:v>41.472819566645676</c:v>
                </c:pt>
                <c:pt idx="73">
                  <c:v>40.045447867317819</c:v>
                </c:pt>
                <c:pt idx="74">
                  <c:v>38.124788524005353</c:v>
                </c:pt>
                <c:pt idx="75">
                  <c:v>36.001184925156203</c:v>
                </c:pt>
                <c:pt idx="76">
                  <c:v>32.997156412517391</c:v>
                </c:pt>
                <c:pt idx="77">
                  <c:v>30.747269839358946</c:v>
                </c:pt>
                <c:pt idx="78">
                  <c:v>29.476635347602365</c:v>
                </c:pt>
                <c:pt idx="79">
                  <c:v>30.309566563739661</c:v>
                </c:pt>
                <c:pt idx="80">
                  <c:v>29.771443855822788</c:v>
                </c:pt>
                <c:pt idx="81">
                  <c:v>27.523286283644783</c:v>
                </c:pt>
                <c:pt idx="82">
                  <c:v>25.918303467493871</c:v>
                </c:pt>
                <c:pt idx="83">
                  <c:v>23.612706466180828</c:v>
                </c:pt>
                <c:pt idx="84">
                  <c:v>21.409500045319408</c:v>
                </c:pt>
                <c:pt idx="85">
                  <c:v>19.531053732859846</c:v>
                </c:pt>
                <c:pt idx="86">
                  <c:v>19.31692044504905</c:v>
                </c:pt>
                <c:pt idx="87">
                  <c:v>18.680205076288527</c:v>
                </c:pt>
                <c:pt idx="88">
                  <c:v>17.520673748908177</c:v>
                </c:pt>
                <c:pt idx="89">
                  <c:v>16.651321798894635</c:v>
                </c:pt>
                <c:pt idx="90">
                  <c:v>16.834223263858146</c:v>
                </c:pt>
                <c:pt idx="91">
                  <c:v>16.523092455811472</c:v>
                </c:pt>
                <c:pt idx="92">
                  <c:v>18.24494876601845</c:v>
                </c:pt>
                <c:pt idx="93">
                  <c:v>18.565995321934235</c:v>
                </c:pt>
                <c:pt idx="94">
                  <c:v>18.658275645897284</c:v>
                </c:pt>
                <c:pt idx="95">
                  <c:v>19.417524440806268</c:v>
                </c:pt>
                <c:pt idx="96">
                  <c:v>18.635463073011273</c:v>
                </c:pt>
                <c:pt idx="97">
                  <c:v>20.793223348024828</c:v>
                </c:pt>
                <c:pt idx="98">
                  <c:v>22.84934186023122</c:v>
                </c:pt>
                <c:pt idx="99">
                  <c:v>24.890166949767053</c:v>
                </c:pt>
                <c:pt idx="100">
                  <c:v>27.755352184312919</c:v>
                </c:pt>
                <c:pt idx="101">
                  <c:v>30.634195770311152</c:v>
                </c:pt>
                <c:pt idx="102">
                  <c:v>33.864628079826659</c:v>
                </c:pt>
                <c:pt idx="103">
                  <c:v>34.699101160483174</c:v>
                </c:pt>
                <c:pt idx="104">
                  <c:v>35.19176776785438</c:v>
                </c:pt>
                <c:pt idx="105">
                  <c:v>36.246714899994515</c:v>
                </c:pt>
                <c:pt idx="106">
                  <c:v>34.851192977466276</c:v>
                </c:pt>
                <c:pt idx="107">
                  <c:v>34.161067677584512</c:v>
                </c:pt>
                <c:pt idx="108">
                  <c:v>34.566197123742448</c:v>
                </c:pt>
                <c:pt idx="109">
                  <c:v>36.441021145214513</c:v>
                </c:pt>
                <c:pt idx="110">
                  <c:v>39.633746551610173</c:v>
                </c:pt>
                <c:pt idx="111">
                  <c:v>40.836740089786566</c:v>
                </c:pt>
                <c:pt idx="112">
                  <c:v>41.210800773124745</c:v>
                </c:pt>
                <c:pt idx="113">
                  <c:v>41.280628891280493</c:v>
                </c:pt>
                <c:pt idx="114">
                  <c:v>39.866461376704379</c:v>
                </c:pt>
                <c:pt idx="115">
                  <c:v>38.229767437866542</c:v>
                </c:pt>
                <c:pt idx="116">
                  <c:v>36.546007443464987</c:v>
                </c:pt>
                <c:pt idx="117">
                  <c:v>38.409197351736466</c:v>
                </c:pt>
                <c:pt idx="118">
                  <c:v>42.026261646507585</c:v>
                </c:pt>
                <c:pt idx="119">
                  <c:v>44.720111765298796</c:v>
                </c:pt>
                <c:pt idx="120">
                  <c:v>45.947909794765614</c:v>
                </c:pt>
                <c:pt idx="121">
                  <c:v>44.06228501472409</c:v>
                </c:pt>
                <c:pt idx="122">
                  <c:v>40.463933023989412</c:v>
                </c:pt>
                <c:pt idx="123">
                  <c:v>38.24092620751393</c:v>
                </c:pt>
                <c:pt idx="124">
                  <c:v>37.190190305645771</c:v>
                </c:pt>
                <c:pt idx="125">
                  <c:v>37.036329472044308</c:v>
                </c:pt>
                <c:pt idx="126">
                  <c:v>37.456514691724642</c:v>
                </c:pt>
                <c:pt idx="127">
                  <c:v>39.34832613400097</c:v>
                </c:pt>
                <c:pt idx="128">
                  <c:v>41.657662918022197</c:v>
                </c:pt>
                <c:pt idx="129">
                  <c:v>42.490648265329632</c:v>
                </c:pt>
                <c:pt idx="130">
                  <c:v>43.823361928950241</c:v>
                </c:pt>
                <c:pt idx="131">
                  <c:v>44.578274520602179</c:v>
                </c:pt>
                <c:pt idx="132">
                  <c:v>44.166653905397062</c:v>
                </c:pt>
                <c:pt idx="133">
                  <c:v>43.581033562438201</c:v>
                </c:pt>
                <c:pt idx="134">
                  <c:v>43.696395724665102</c:v>
                </c:pt>
                <c:pt idx="135">
                  <c:v>45.798940043741936</c:v>
                </c:pt>
                <c:pt idx="136">
                  <c:v>49.130068996648397</c:v>
                </c:pt>
                <c:pt idx="137">
                  <c:v>50.664552417321396</c:v>
                </c:pt>
                <c:pt idx="138">
                  <c:v>51.954306124100981</c:v>
                </c:pt>
                <c:pt idx="139">
                  <c:v>52.450229829751713</c:v>
                </c:pt>
                <c:pt idx="140">
                  <c:v>52.124445773931612</c:v>
                </c:pt>
                <c:pt idx="141">
                  <c:v>50.636019049923746</c:v>
                </c:pt>
                <c:pt idx="142">
                  <c:v>49.068635824572901</c:v>
                </c:pt>
                <c:pt idx="143">
                  <c:v>51.38612364190994</c:v>
                </c:pt>
                <c:pt idx="144">
                  <c:v>53.254892419399255</c:v>
                </c:pt>
                <c:pt idx="145">
                  <c:v>54.242188736054814</c:v>
                </c:pt>
                <c:pt idx="146">
                  <c:v>55.260698974807831</c:v>
                </c:pt>
                <c:pt idx="147">
                  <c:v>56.012189152419971</c:v>
                </c:pt>
                <c:pt idx="148">
                  <c:v>56.739483936113118</c:v>
                </c:pt>
                <c:pt idx="149">
                  <c:v>57.787170771588855</c:v>
                </c:pt>
                <c:pt idx="150">
                  <c:v>57.392556652882021</c:v>
                </c:pt>
                <c:pt idx="151">
                  <c:v>56.673367161594683</c:v>
                </c:pt>
                <c:pt idx="152">
                  <c:v>54.299514248421715</c:v>
                </c:pt>
                <c:pt idx="153">
                  <c:v>51.944168513613498</c:v>
                </c:pt>
                <c:pt idx="154">
                  <c:v>51.510505189737842</c:v>
                </c:pt>
                <c:pt idx="155">
                  <c:v>49.299325372760094</c:v>
                </c:pt>
                <c:pt idx="156">
                  <c:v>46.857186425546899</c:v>
                </c:pt>
                <c:pt idx="157">
                  <c:v>42.953038135108777</c:v>
                </c:pt>
                <c:pt idx="158">
                  <c:v>39.323564616565037</c:v>
                </c:pt>
                <c:pt idx="159">
                  <c:v>35.768566895769588</c:v>
                </c:pt>
                <c:pt idx="160">
                  <c:v>31.133813702317727</c:v>
                </c:pt>
                <c:pt idx="161">
                  <c:v>27.462952438518133</c:v>
                </c:pt>
                <c:pt idx="162">
                  <c:v>23.035269874586977</c:v>
                </c:pt>
                <c:pt idx="163">
                  <c:v>19.607547554433815</c:v>
                </c:pt>
                <c:pt idx="164">
                  <c:v>18.604084700736216</c:v>
                </c:pt>
                <c:pt idx="165">
                  <c:v>18.789273476268875</c:v>
                </c:pt>
                <c:pt idx="166">
                  <c:v>20.807772461597917</c:v>
                </c:pt>
                <c:pt idx="167">
                  <c:v>21.553638964013782</c:v>
                </c:pt>
                <c:pt idx="168">
                  <c:v>20.818504960588502</c:v>
                </c:pt>
                <c:pt idx="169">
                  <c:v>22.681459910951599</c:v>
                </c:pt>
                <c:pt idx="170">
                  <c:v>25.822710973029057</c:v>
                </c:pt>
                <c:pt idx="171">
                  <c:v>27.651825571110653</c:v>
                </c:pt>
                <c:pt idx="172">
                  <c:v>28.70496490287859</c:v>
                </c:pt>
                <c:pt idx="173">
                  <c:v>29.487076279978634</c:v>
                </c:pt>
                <c:pt idx="174">
                  <c:v>31.75374263018001</c:v>
                </c:pt>
                <c:pt idx="175">
                  <c:v>34.125162730231985</c:v>
                </c:pt>
                <c:pt idx="176">
                  <c:v>36.667279028150844</c:v>
                </c:pt>
                <c:pt idx="177">
                  <c:v>36.733431681339866</c:v>
                </c:pt>
                <c:pt idx="178">
                  <c:v>36.532469556636052</c:v>
                </c:pt>
                <c:pt idx="179">
                  <c:v>35.587324406615366</c:v>
                </c:pt>
                <c:pt idx="180">
                  <c:v>34.981961839358867</c:v>
                </c:pt>
                <c:pt idx="181">
                  <c:v>36.984173755225662</c:v>
                </c:pt>
                <c:pt idx="182">
                  <c:v>39.856996871392198</c:v>
                </c:pt>
                <c:pt idx="183">
                  <c:v>41.564535648276717</c:v>
                </c:pt>
                <c:pt idx="184">
                  <c:v>42.309182556987643</c:v>
                </c:pt>
                <c:pt idx="185">
                  <c:v>43.891959238124478</c:v>
                </c:pt>
                <c:pt idx="186">
                  <c:v>44.969183234690945</c:v>
                </c:pt>
                <c:pt idx="187">
                  <c:v>46.023730996927682</c:v>
                </c:pt>
                <c:pt idx="188">
                  <c:v>47.390850475702244</c:v>
                </c:pt>
                <c:pt idx="189">
                  <c:v>47.709412448782544</c:v>
                </c:pt>
                <c:pt idx="190">
                  <c:v>49.059123480605642</c:v>
                </c:pt>
                <c:pt idx="191">
                  <c:v>53.546016476522304</c:v>
                </c:pt>
                <c:pt idx="192">
                  <c:v>57.609423285599931</c:v>
                </c:pt>
                <c:pt idx="193">
                  <c:v>61.720734932798145</c:v>
                </c:pt>
                <c:pt idx="194">
                  <c:v>64.707334754015733</c:v>
                </c:pt>
                <c:pt idx="195">
                  <c:v>66.120579251079135</c:v>
                </c:pt>
                <c:pt idx="196">
                  <c:v>66.079622033415689</c:v>
                </c:pt>
                <c:pt idx="197">
                  <c:v>65.220680260391447</c:v>
                </c:pt>
                <c:pt idx="198">
                  <c:v>63.963187892002068</c:v>
                </c:pt>
                <c:pt idx="199">
                  <c:v>62.568797877932589</c:v>
                </c:pt>
                <c:pt idx="200">
                  <c:v>61.584458953857315</c:v>
                </c:pt>
                <c:pt idx="201">
                  <c:v>60.255542146854118</c:v>
                </c:pt>
                <c:pt idx="202">
                  <c:v>58.114442188222839</c:v>
                </c:pt>
                <c:pt idx="203">
                  <c:v>57.056101242342869</c:v>
                </c:pt>
                <c:pt idx="204">
                  <c:v>52.948658490373866</c:v>
                </c:pt>
                <c:pt idx="205">
                  <c:v>47.930221011443891</c:v>
                </c:pt>
                <c:pt idx="206">
                  <c:v>43.642685938385867</c:v>
                </c:pt>
                <c:pt idx="207">
                  <c:v>39.421944287457521</c:v>
                </c:pt>
                <c:pt idx="208">
                  <c:v>35.534811417772467</c:v>
                </c:pt>
                <c:pt idx="209">
                  <c:v>33.22845322570253</c:v>
                </c:pt>
                <c:pt idx="210">
                  <c:v>31.755689043577451</c:v>
                </c:pt>
                <c:pt idx="211">
                  <c:v>31.279046951010667</c:v>
                </c:pt>
                <c:pt idx="212">
                  <c:v>31.691777512899119</c:v>
                </c:pt>
                <c:pt idx="213">
                  <c:v>32.865194523287428</c:v>
                </c:pt>
                <c:pt idx="214">
                  <c:v>34.175939737749324</c:v>
                </c:pt>
                <c:pt idx="215">
                  <c:v>35.985588653314764</c:v>
                </c:pt>
                <c:pt idx="216">
                  <c:v>38.092135265933074</c:v>
                </c:pt>
                <c:pt idx="217">
                  <c:v>39.716782145065643</c:v>
                </c:pt>
                <c:pt idx="218">
                  <c:v>42.363817144567413</c:v>
                </c:pt>
                <c:pt idx="219">
                  <c:v>42.273182311253542</c:v>
                </c:pt>
                <c:pt idx="220">
                  <c:v>42.389537437322453</c:v>
                </c:pt>
                <c:pt idx="221">
                  <c:v>43.069037121791681</c:v>
                </c:pt>
                <c:pt idx="222">
                  <c:v>43.643256051380533</c:v>
                </c:pt>
                <c:pt idx="223">
                  <c:v>41.417919212437376</c:v>
                </c:pt>
                <c:pt idx="224">
                  <c:v>40.180852252517539</c:v>
                </c:pt>
                <c:pt idx="225">
                  <c:v>37.575457446452113</c:v>
                </c:pt>
                <c:pt idx="226">
                  <c:v>35.565203342840391</c:v>
                </c:pt>
                <c:pt idx="227">
                  <c:v>32.935631960468655</c:v>
                </c:pt>
                <c:pt idx="228">
                  <c:v>30.938596940735557</c:v>
                </c:pt>
                <c:pt idx="229">
                  <c:v>30.119717587008235</c:v>
                </c:pt>
                <c:pt idx="230">
                  <c:v>29.317571018395409</c:v>
                </c:pt>
                <c:pt idx="231">
                  <c:v>28.844587887166302</c:v>
                </c:pt>
                <c:pt idx="232">
                  <c:v>30.094404449815748</c:v>
                </c:pt>
                <c:pt idx="233">
                  <c:v>33.417822338159176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0813832"/>
        <c:axId val="386082320"/>
      </c:lineChart>
      <c:catAx>
        <c:axId val="290813832"/>
        <c:scaling>
          <c:orientation val="minMax"/>
        </c:scaling>
        <c:delete val="0"/>
        <c:axPos val="b"/>
        <c:numFmt formatCode="[$-409]d\-mmm\-yy;@" sourceLinked="0"/>
        <c:majorTickMark val="none"/>
        <c:minorTickMark val="none"/>
        <c:tickLblPos val="nextTo"/>
        <c:txPr>
          <a:bodyPr rot="5400000"/>
          <a:lstStyle/>
          <a:p>
            <a:pPr>
              <a:defRPr/>
            </a:pPr>
            <a:endParaRPr lang="en-US"/>
          </a:p>
        </c:txPr>
        <c:crossAx val="386082320"/>
        <c:crosses val="autoZero"/>
        <c:auto val="0"/>
        <c:lblAlgn val="ctr"/>
        <c:lblOffset val="100"/>
        <c:noMultiLvlLbl val="0"/>
      </c:catAx>
      <c:valAx>
        <c:axId val="3860823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65000"/>
                  <a:alpha val="35000"/>
                </a:schemeClr>
              </a:solidFill>
            </a:ln>
          </c:spPr>
        </c:majorGridlines>
        <c:numFmt formatCode="0.00" sourceLinked="1"/>
        <c:majorTickMark val="none"/>
        <c:minorTickMark val="none"/>
        <c:tickLblPos val="nextTo"/>
        <c:crossAx val="290813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8259110705864035"/>
          <c:y val="4.3394065982154728E-2"/>
          <c:w val="0.23086588935998381"/>
          <c:h val="0.20403848471826649"/>
        </c:manualLayout>
      </c:layout>
      <c:overlay val="0"/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30</xdr:col>
      <xdr:colOff>176434</xdr:colOff>
      <xdr:row>27</xdr:row>
      <xdr:rowOff>67195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market/nse%20pgp%20gfm/ronak/Unprotected_RSI-ATR-MACD-EMA-HV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ata"/>
    </sheetNames>
    <sheetDataSet>
      <sheetData sheetId="0">
        <row r="9">
          <cell r="B9">
            <v>252</v>
          </cell>
        </row>
      </sheetData>
      <sheetData sheetId="1" refreshError="1"/>
    </sheetDataSet>
  </externalBook>
</externalLink>
</file>

<file path=xl/tables/table1.xml><?xml version="1.0" encoding="utf-8"?>
<table xmlns="http://schemas.openxmlformats.org/spreadsheetml/2006/main" id="1" name="Table1" displayName="Table1" ref="A1:U249" totalsRowShown="0" headerRowDxfId="18" tableBorderDxfId="17">
  <tableColumns count="21">
    <tableColumn id="1" name="Date" dataDxfId="16"/>
    <tableColumn id="2" name="Open"/>
    <tableColumn id="3" name="High"/>
    <tableColumn id="4" name="Low"/>
    <tableColumn id="5" name="Close"/>
    <tableColumn id="6" name="H-L" dataDxfId="15">
      <calculatedColumnFormula>C2-D2</calculatedColumnFormula>
    </tableColumn>
    <tableColumn id="7" name="H-PC" dataDxfId="14">
      <calculatedColumnFormula>IF(F2&gt;0,F2,0)</calculatedColumnFormula>
    </tableColumn>
    <tableColumn id="8" name="L-PC" dataDxfId="13">
      <calculatedColumnFormula>IF(F2&lt;0,ABS(F2),0)</calculatedColumnFormula>
    </tableColumn>
    <tableColumn id="9" name="TrueRange" dataDxfId="12">
      <calculatedColumnFormula>MAX(F2:H2)</calculatedColumnFormula>
    </tableColumn>
    <tableColumn id="10" name="+DM (1)" dataDxfId="11">
      <calculatedColumnFormula>(J1*13+H2 )/14</calculatedColumnFormula>
    </tableColumn>
    <tableColumn id="11" name="-DM (1)" dataDxfId="10">
      <calculatedColumnFormula>IF(D1-D2&gt;C2-C1,MAX(D1-D2,0),0)</calculatedColumnFormula>
    </tableColumn>
    <tableColumn id="12" name="TR (14)" dataDxfId="9"/>
    <tableColumn id="13" name="+DM(14)" dataDxfId="8"/>
    <tableColumn id="14" name="-DM(14)" dataDxfId="7"/>
    <tableColumn id="15" name="+DI14" dataDxfId="6">
      <calculatedColumnFormula>(100*(M2/L2))</calculatedColumnFormula>
    </tableColumn>
    <tableColumn id="16" name="-DI14" dataDxfId="5">
      <calculatedColumnFormula>(100*(N2/L2))</calculatedColumnFormula>
    </tableColumn>
    <tableColumn id="17" name="DI 14 Diff" dataDxfId="4">
      <calculatedColumnFormula>ABS(O2-P2)</calculatedColumnFormula>
    </tableColumn>
    <tableColumn id="18" name="DI 14 Sum" dataDxfId="3">
      <calculatedColumnFormula>O2+P2</calculatedColumnFormula>
    </tableColumn>
    <tableColumn id="19" name="DX" dataDxfId="2">
      <calculatedColumnFormula>(100*(Q2/R2))</calculatedColumnFormula>
    </tableColumn>
    <tableColumn id="20" name="ADX" dataDxfId="1"/>
    <tableColumn id="21" name="Strength" dataDxfId="0">
      <calculatedColumnFormula>IF(T2="","",IF(T2&gt;=30,"Strong","Weak"))</calculatedColumnFormula>
    </tableColumn>
  </tableColumns>
  <tableStyleInfo name="TableStyleLight8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Wood Type">
  <a:themeElements>
    <a:clrScheme name="Wood Type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Wood Type">
      <a:majorFont>
        <a:latin typeface="Rockwell Condensed" panose="02060603050405020104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Rockwell" panose="02060603020205020403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Wood Type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70000"/>
                <a:shade val="63000"/>
              </a:schemeClr>
              <a:schemeClr val="phClr">
                <a:tint val="10000"/>
                <a:satMod val="150000"/>
              </a:schemeClr>
            </a:duotone>
          </a:blip>
          <a:tile tx="0" ty="0" sx="60000" sy="59000" flip="none" algn="tl"/>
        </a:blipFill>
        <a:blipFill rotWithShape="1">
          <a:blip xmlns:r="http://schemas.openxmlformats.org/officeDocument/2006/relationships" r:embed="rId1">
            <a:duotone>
              <a:schemeClr val="phClr">
                <a:shade val="36000"/>
                <a:satMod val="120000"/>
              </a:schemeClr>
              <a:schemeClr val="phClr">
                <a:tint val="40000"/>
              </a:schemeClr>
            </a:duotone>
          </a:blip>
          <a:tile tx="0" ty="0" sx="60000" sy="59000" flip="none" algn="tl"/>
        </a:blip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solidFill>
          <a:schemeClr val="phClr">
            <a:shade val="97000"/>
            <a:satMod val="15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75000"/>
                <a:shade val="58000"/>
                <a:satMod val="120000"/>
              </a:schemeClr>
              <a:schemeClr val="phClr">
                <a:tint val="50000"/>
                <a:shade val="96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ood Type" id="{7ACABC62-BF99-48CF-A9DC-4DB89C7B13DC}" vid="{142A1326-48AB-42A9-8428-CB14AA30176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48540"/>
  <sheetViews>
    <sheetView tabSelected="1" zoomScaleNormal="100" workbookViewId="0">
      <pane ySplit="1" topLeftCell="A2" activePane="bottomLeft" state="frozen"/>
      <selection pane="bottomLeft" activeCell="A6" sqref="A6"/>
    </sheetView>
  </sheetViews>
  <sheetFormatPr defaultRowHeight="13.8" x14ac:dyDescent="0.25"/>
  <cols>
    <col min="1" max="5" width="12.59765625" customWidth="1"/>
    <col min="6" max="6" width="9.796875" customWidth="1"/>
    <col min="9" max="21" width="11.8984375" customWidth="1"/>
  </cols>
  <sheetData>
    <row r="1" spans="1:21" ht="15.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1" x14ac:dyDescent="0.25">
      <c r="A2" s="1">
        <v>44818</v>
      </c>
      <c r="B2">
        <v>17771.150000000001</v>
      </c>
      <c r="C2">
        <v>18091.55</v>
      </c>
      <c r="D2">
        <v>17771.150000000001</v>
      </c>
      <c r="E2">
        <v>18003.75</v>
      </c>
      <c r="F2">
        <f t="shared" ref="F2:F65" si="0">C2-D2</f>
        <v>320.39999999999782</v>
      </c>
      <c r="I2">
        <f>MAX(F2:H2)</f>
        <v>320.39999999999782</v>
      </c>
      <c r="U2" s="5" t="str">
        <f t="shared" ref="U2:U65" si="1">IF(T2="","",IF(T2&gt;=30,"Strong","Weak"))</f>
        <v/>
      </c>
    </row>
    <row r="3" spans="1:21" x14ac:dyDescent="0.25">
      <c r="A3" s="1">
        <v>44819</v>
      </c>
      <c r="B3">
        <v>18046.349999999999</v>
      </c>
      <c r="C3">
        <v>18096.150000000001</v>
      </c>
      <c r="D3">
        <v>17861.5</v>
      </c>
      <c r="E3">
        <v>17877.400000000001</v>
      </c>
      <c r="F3">
        <f t="shared" si="0"/>
        <v>234.65000000000146</v>
      </c>
      <c r="G3">
        <f>ABS(C3-E2)</f>
        <v>92.400000000001455</v>
      </c>
      <c r="H3">
        <f>ABS(D3-E2)</f>
        <v>142.25</v>
      </c>
      <c r="I3">
        <f t="shared" ref="I3:I66" si="2">MAX(F3:H3)</f>
        <v>234.65000000000146</v>
      </c>
      <c r="J3">
        <f>IF(C3-C2&gt;D2-D3,MAX(C3-C2,0),0)</f>
        <v>4.6000000000021828</v>
      </c>
      <c r="K3">
        <f t="shared" ref="K3:K65" si="3">IF(D2-D3&gt;C3-C2,MAX(D2-D3,0),0)</f>
        <v>0</v>
      </c>
      <c r="U3" s="6" t="str">
        <f t="shared" si="1"/>
        <v/>
      </c>
    </row>
    <row r="4" spans="1:21" x14ac:dyDescent="0.25">
      <c r="A4" s="1">
        <v>44820</v>
      </c>
      <c r="B4">
        <v>17796.8</v>
      </c>
      <c r="C4">
        <v>17820.05</v>
      </c>
      <c r="D4">
        <v>17497.25</v>
      </c>
      <c r="E4">
        <v>17530.849999999999</v>
      </c>
      <c r="F4">
        <f t="shared" si="0"/>
        <v>322.79999999999927</v>
      </c>
      <c r="G4">
        <f t="shared" ref="G4:G67" si="4">ABS(C4-E3)</f>
        <v>57.350000000002183</v>
      </c>
      <c r="H4">
        <f t="shared" ref="H4:H67" si="5">ABS(D4-E3)</f>
        <v>380.15000000000146</v>
      </c>
      <c r="I4">
        <f t="shared" si="2"/>
        <v>380.15000000000146</v>
      </c>
      <c r="J4">
        <f t="shared" ref="J4:J67" si="6">IF(C4-C3&gt;D3-D4,MAX(C4-C3,0),0)</f>
        <v>0</v>
      </c>
      <c r="K4">
        <f t="shared" si="3"/>
        <v>364.25</v>
      </c>
      <c r="U4" s="6" t="str">
        <f t="shared" si="1"/>
        <v/>
      </c>
    </row>
    <row r="5" spans="1:21" x14ac:dyDescent="0.25">
      <c r="A5" s="1">
        <v>44823</v>
      </c>
      <c r="B5">
        <v>17540.650000000001</v>
      </c>
      <c r="C5">
        <v>17667.2</v>
      </c>
      <c r="D5">
        <v>17429.7</v>
      </c>
      <c r="E5">
        <v>17622.25</v>
      </c>
      <c r="F5">
        <f t="shared" si="0"/>
        <v>237.5</v>
      </c>
      <c r="G5">
        <f t="shared" si="4"/>
        <v>136.35000000000218</v>
      </c>
      <c r="H5">
        <f t="shared" si="5"/>
        <v>101.14999999999782</v>
      </c>
      <c r="I5">
        <f t="shared" si="2"/>
        <v>237.5</v>
      </c>
      <c r="J5">
        <f t="shared" si="6"/>
        <v>0</v>
      </c>
      <c r="K5">
        <f t="shared" si="3"/>
        <v>67.549999999999272</v>
      </c>
      <c r="U5" s="6" t="str">
        <f t="shared" si="1"/>
        <v/>
      </c>
    </row>
    <row r="6" spans="1:21" x14ac:dyDescent="0.25">
      <c r="A6" s="1">
        <v>44824</v>
      </c>
      <c r="B6">
        <v>17770.400000000001</v>
      </c>
      <c r="C6">
        <v>17919.3</v>
      </c>
      <c r="D6">
        <v>17744.400000000001</v>
      </c>
      <c r="E6">
        <v>17816.25</v>
      </c>
      <c r="F6">
        <f t="shared" si="0"/>
        <v>174.89999999999782</v>
      </c>
      <c r="G6">
        <f t="shared" si="4"/>
        <v>297.04999999999927</v>
      </c>
      <c r="H6">
        <f t="shared" si="5"/>
        <v>122.15000000000146</v>
      </c>
      <c r="I6">
        <f t="shared" si="2"/>
        <v>297.04999999999927</v>
      </c>
      <c r="J6">
        <f t="shared" si="6"/>
        <v>252.09999999999854</v>
      </c>
      <c r="K6">
        <f t="shared" si="3"/>
        <v>0</v>
      </c>
      <c r="U6" s="6" t="str">
        <f t="shared" si="1"/>
        <v/>
      </c>
    </row>
    <row r="7" spans="1:21" x14ac:dyDescent="0.25">
      <c r="A7" s="1">
        <v>44825</v>
      </c>
      <c r="B7">
        <v>17766.349999999999</v>
      </c>
      <c r="C7">
        <v>17838.7</v>
      </c>
      <c r="D7">
        <v>17663.599999999999</v>
      </c>
      <c r="E7">
        <v>17718.349999999999</v>
      </c>
      <c r="F7">
        <f t="shared" si="0"/>
        <v>175.10000000000218</v>
      </c>
      <c r="G7">
        <f t="shared" si="4"/>
        <v>22.450000000000728</v>
      </c>
      <c r="H7">
        <f t="shared" si="5"/>
        <v>152.65000000000146</v>
      </c>
      <c r="I7">
        <f t="shared" si="2"/>
        <v>175.10000000000218</v>
      </c>
      <c r="J7">
        <f t="shared" si="6"/>
        <v>0</v>
      </c>
      <c r="K7">
        <f t="shared" si="3"/>
        <v>80.80000000000291</v>
      </c>
      <c r="U7" s="6" t="str">
        <f t="shared" si="1"/>
        <v/>
      </c>
    </row>
    <row r="8" spans="1:21" x14ac:dyDescent="0.25">
      <c r="A8" s="1">
        <v>44826</v>
      </c>
      <c r="B8">
        <v>17609.650000000001</v>
      </c>
      <c r="C8">
        <v>17722.75</v>
      </c>
      <c r="D8">
        <v>17532.45</v>
      </c>
      <c r="E8">
        <v>17629.8</v>
      </c>
      <c r="F8">
        <f t="shared" si="0"/>
        <v>190.29999999999927</v>
      </c>
      <c r="G8">
        <f t="shared" si="4"/>
        <v>4.4000000000014552</v>
      </c>
      <c r="H8">
        <f t="shared" si="5"/>
        <v>185.89999999999782</v>
      </c>
      <c r="I8">
        <f t="shared" si="2"/>
        <v>190.29999999999927</v>
      </c>
      <c r="J8">
        <f t="shared" si="6"/>
        <v>0</v>
      </c>
      <c r="K8">
        <f t="shared" si="3"/>
        <v>131.14999999999782</v>
      </c>
      <c r="U8" s="6" t="str">
        <f t="shared" si="1"/>
        <v/>
      </c>
    </row>
    <row r="9" spans="1:21" x14ac:dyDescent="0.25">
      <c r="A9" s="1">
        <v>44827</v>
      </c>
      <c r="B9">
        <v>17593.849999999999</v>
      </c>
      <c r="C9">
        <v>17642.150000000001</v>
      </c>
      <c r="D9">
        <v>17291.650000000001</v>
      </c>
      <c r="E9">
        <v>17327.349999999999</v>
      </c>
      <c r="F9">
        <f t="shared" si="0"/>
        <v>350.5</v>
      </c>
      <c r="G9">
        <f t="shared" si="4"/>
        <v>12.350000000002183</v>
      </c>
      <c r="H9">
        <f t="shared" si="5"/>
        <v>338.14999999999782</v>
      </c>
      <c r="I9">
        <f t="shared" si="2"/>
        <v>350.5</v>
      </c>
      <c r="J9">
        <f t="shared" si="6"/>
        <v>0</v>
      </c>
      <c r="K9">
        <f t="shared" si="3"/>
        <v>240.79999999999927</v>
      </c>
      <c r="U9" s="6" t="str">
        <f t="shared" si="1"/>
        <v/>
      </c>
    </row>
    <row r="10" spans="1:21" x14ac:dyDescent="0.25">
      <c r="A10" s="1">
        <v>44830</v>
      </c>
      <c r="B10">
        <v>17156.3</v>
      </c>
      <c r="C10">
        <v>17196.400000000001</v>
      </c>
      <c r="D10">
        <v>16978.3</v>
      </c>
      <c r="E10">
        <v>17016.3</v>
      </c>
      <c r="F10">
        <f t="shared" si="0"/>
        <v>218.10000000000218</v>
      </c>
      <c r="G10">
        <f t="shared" si="4"/>
        <v>130.94999999999709</v>
      </c>
      <c r="H10">
        <f t="shared" si="5"/>
        <v>349.04999999999927</v>
      </c>
      <c r="I10">
        <f t="shared" si="2"/>
        <v>349.04999999999927</v>
      </c>
      <c r="J10">
        <f t="shared" si="6"/>
        <v>0</v>
      </c>
      <c r="K10">
        <f t="shared" si="3"/>
        <v>313.35000000000218</v>
      </c>
      <c r="U10" s="6" t="str">
        <f t="shared" si="1"/>
        <v/>
      </c>
    </row>
    <row r="11" spans="1:21" x14ac:dyDescent="0.25">
      <c r="A11" s="1">
        <v>44831</v>
      </c>
      <c r="B11">
        <v>17110.900000000001</v>
      </c>
      <c r="C11">
        <v>17176.45</v>
      </c>
      <c r="D11">
        <v>16942.349999999999</v>
      </c>
      <c r="E11">
        <v>17007.400000000001</v>
      </c>
      <c r="F11">
        <f t="shared" si="0"/>
        <v>234.10000000000218</v>
      </c>
      <c r="G11">
        <f t="shared" si="4"/>
        <v>160.15000000000146</v>
      </c>
      <c r="H11">
        <f t="shared" si="5"/>
        <v>73.950000000000728</v>
      </c>
      <c r="I11">
        <f t="shared" si="2"/>
        <v>234.10000000000218</v>
      </c>
      <c r="J11">
        <f t="shared" si="6"/>
        <v>0</v>
      </c>
      <c r="K11">
        <f t="shared" si="3"/>
        <v>35.950000000000728</v>
      </c>
      <c r="U11" s="6" t="str">
        <f t="shared" si="1"/>
        <v/>
      </c>
    </row>
    <row r="12" spans="1:21" x14ac:dyDescent="0.25">
      <c r="A12" s="1">
        <v>44832</v>
      </c>
      <c r="B12">
        <v>16870.55</v>
      </c>
      <c r="C12">
        <v>17037.599999999999</v>
      </c>
      <c r="D12">
        <v>16820.400000000001</v>
      </c>
      <c r="E12">
        <v>16858.599999999999</v>
      </c>
      <c r="F12">
        <f t="shared" si="0"/>
        <v>217.19999999999709</v>
      </c>
      <c r="G12">
        <f t="shared" si="4"/>
        <v>30.19999999999709</v>
      </c>
      <c r="H12">
        <f t="shared" si="5"/>
        <v>187</v>
      </c>
      <c r="I12">
        <f t="shared" si="2"/>
        <v>217.19999999999709</v>
      </c>
      <c r="J12">
        <f t="shared" si="6"/>
        <v>0</v>
      </c>
      <c r="K12">
        <f t="shared" si="3"/>
        <v>121.94999999999709</v>
      </c>
      <c r="U12" s="6" t="str">
        <f t="shared" si="1"/>
        <v/>
      </c>
    </row>
    <row r="13" spans="1:21" x14ac:dyDescent="0.25">
      <c r="A13" s="1">
        <v>44833</v>
      </c>
      <c r="B13">
        <v>16993.599999999999</v>
      </c>
      <c r="C13">
        <v>17026.05</v>
      </c>
      <c r="D13">
        <v>16788.599999999999</v>
      </c>
      <c r="E13">
        <v>16818.099999999999</v>
      </c>
      <c r="F13">
        <f t="shared" si="0"/>
        <v>237.45000000000073</v>
      </c>
      <c r="G13">
        <f t="shared" si="4"/>
        <v>167.45000000000073</v>
      </c>
      <c r="H13">
        <f t="shared" si="5"/>
        <v>70</v>
      </c>
      <c r="I13">
        <f t="shared" si="2"/>
        <v>237.45000000000073</v>
      </c>
      <c r="J13">
        <f t="shared" si="6"/>
        <v>0</v>
      </c>
      <c r="K13">
        <f t="shared" si="3"/>
        <v>31.80000000000291</v>
      </c>
      <c r="U13" s="6" t="str">
        <f t="shared" si="1"/>
        <v/>
      </c>
    </row>
    <row r="14" spans="1:21" x14ac:dyDescent="0.25">
      <c r="A14" s="1">
        <v>44834</v>
      </c>
      <c r="B14">
        <v>16798.05</v>
      </c>
      <c r="C14">
        <v>17187.099999999999</v>
      </c>
      <c r="D14">
        <v>16747.7</v>
      </c>
      <c r="E14">
        <v>17094.349999999999</v>
      </c>
      <c r="F14">
        <f t="shared" si="0"/>
        <v>439.39999999999782</v>
      </c>
      <c r="G14">
        <f t="shared" si="4"/>
        <v>369</v>
      </c>
      <c r="H14">
        <f t="shared" si="5"/>
        <v>70.399999999997817</v>
      </c>
      <c r="I14">
        <f t="shared" si="2"/>
        <v>439.39999999999782</v>
      </c>
      <c r="J14">
        <f t="shared" si="6"/>
        <v>161.04999999999927</v>
      </c>
      <c r="K14">
        <f t="shared" si="3"/>
        <v>0</v>
      </c>
      <c r="U14" s="6" t="str">
        <f t="shared" si="1"/>
        <v/>
      </c>
    </row>
    <row r="15" spans="1:21" x14ac:dyDescent="0.25">
      <c r="A15" s="1">
        <v>44837</v>
      </c>
      <c r="B15">
        <v>17102.099999999999</v>
      </c>
      <c r="C15">
        <v>17114.650000000001</v>
      </c>
      <c r="D15">
        <v>16855.55</v>
      </c>
      <c r="E15">
        <v>16887.349999999999</v>
      </c>
      <c r="F15">
        <f t="shared" si="0"/>
        <v>259.10000000000218</v>
      </c>
      <c r="G15">
        <f t="shared" si="4"/>
        <v>20.30000000000291</v>
      </c>
      <c r="H15">
        <f t="shared" si="5"/>
        <v>238.79999999999927</v>
      </c>
      <c r="I15">
        <f t="shared" si="2"/>
        <v>259.10000000000218</v>
      </c>
      <c r="J15">
        <f t="shared" si="6"/>
        <v>0</v>
      </c>
      <c r="K15">
        <f t="shared" si="3"/>
        <v>0</v>
      </c>
      <c r="U15" s="6" t="str">
        <f t="shared" si="1"/>
        <v/>
      </c>
    </row>
    <row r="16" spans="1:21" x14ac:dyDescent="0.25">
      <c r="A16" s="1">
        <v>44838</v>
      </c>
      <c r="B16">
        <v>17147.45</v>
      </c>
      <c r="C16">
        <v>17287.3</v>
      </c>
      <c r="D16">
        <v>17117.3</v>
      </c>
      <c r="E16">
        <v>17274.3</v>
      </c>
      <c r="F16">
        <f t="shared" si="0"/>
        <v>170</v>
      </c>
      <c r="G16">
        <f t="shared" si="4"/>
        <v>399.95000000000073</v>
      </c>
      <c r="H16">
        <f t="shared" si="5"/>
        <v>229.95000000000073</v>
      </c>
      <c r="I16">
        <f t="shared" si="2"/>
        <v>399.95000000000073</v>
      </c>
      <c r="J16">
        <f t="shared" si="6"/>
        <v>172.64999999999782</v>
      </c>
      <c r="K16">
        <f t="shared" si="3"/>
        <v>0</v>
      </c>
      <c r="L16">
        <f>SUM(I3:I16)</f>
        <v>4001.5000000000036</v>
      </c>
      <c r="M16">
        <f>SUM(J3:J16)</f>
        <v>590.39999999999782</v>
      </c>
      <c r="N16">
        <f>SUM(K3:K16)</f>
        <v>1387.6000000000022</v>
      </c>
      <c r="O16" s="7">
        <f>(100*(M16/L16))</f>
        <v>14.754467074846863</v>
      </c>
      <c r="P16" s="7">
        <f t="shared" ref="P16:P65" si="7">(100*(N16/L16))</f>
        <v>34.6769961264526</v>
      </c>
      <c r="Q16" s="7">
        <f t="shared" ref="Q16:Q65" si="8">ABS(O16-P16)</f>
        <v>19.922529051605736</v>
      </c>
      <c r="R16" s="7">
        <f t="shared" ref="R16:R65" si="9">O16+P16</f>
        <v>49.431463201299465</v>
      </c>
      <c r="S16" s="7">
        <f t="shared" ref="S16:S65" si="10">(100*(Q16/R16))</f>
        <v>40.303336703741373</v>
      </c>
      <c r="T16" s="7"/>
      <c r="U16" s="6" t="str">
        <f t="shared" si="1"/>
        <v/>
      </c>
    </row>
    <row r="17" spans="1:21" x14ac:dyDescent="0.25">
      <c r="A17" s="1">
        <v>44840</v>
      </c>
      <c r="B17">
        <v>17379.25</v>
      </c>
      <c r="C17">
        <v>17428.8</v>
      </c>
      <c r="D17">
        <v>17315.650000000001</v>
      </c>
      <c r="E17">
        <v>17331.8</v>
      </c>
      <c r="F17">
        <f t="shared" si="0"/>
        <v>113.14999999999782</v>
      </c>
      <c r="G17">
        <f t="shared" si="4"/>
        <v>154.5</v>
      </c>
      <c r="H17">
        <f t="shared" si="5"/>
        <v>41.350000000002183</v>
      </c>
      <c r="I17">
        <f t="shared" si="2"/>
        <v>154.5</v>
      </c>
      <c r="J17">
        <f t="shared" si="6"/>
        <v>141.5</v>
      </c>
      <c r="K17">
        <f t="shared" si="3"/>
        <v>0</v>
      </c>
      <c r="L17">
        <f t="shared" ref="L17:N17" si="11">SUM(I4:I17)</f>
        <v>3921.3500000000022</v>
      </c>
      <c r="M17">
        <f t="shared" si="11"/>
        <v>727.29999999999563</v>
      </c>
      <c r="N17">
        <f t="shared" si="11"/>
        <v>1387.6000000000022</v>
      </c>
      <c r="O17" s="7">
        <f t="shared" ref="O16:O65" si="12">(100*(M17/L17))</f>
        <v>18.547184005508186</v>
      </c>
      <c r="P17" s="7">
        <f t="shared" si="7"/>
        <v>35.38577275683123</v>
      </c>
      <c r="Q17" s="7">
        <f t="shared" si="8"/>
        <v>16.838588751323044</v>
      </c>
      <c r="R17" s="7">
        <f t="shared" si="9"/>
        <v>53.932956762339415</v>
      </c>
      <c r="S17" s="7">
        <f t="shared" si="10"/>
        <v>31.221334342049612</v>
      </c>
      <c r="T17" s="7"/>
      <c r="U17" s="6" t="str">
        <f t="shared" si="1"/>
        <v/>
      </c>
    </row>
    <row r="18" spans="1:21" x14ac:dyDescent="0.25">
      <c r="A18" s="1">
        <v>44841</v>
      </c>
      <c r="B18">
        <v>17287.2</v>
      </c>
      <c r="C18">
        <v>17337.349999999999</v>
      </c>
      <c r="D18">
        <v>17216.95</v>
      </c>
      <c r="E18">
        <v>17314.650000000001</v>
      </c>
      <c r="F18">
        <f t="shared" si="0"/>
        <v>120.39999999999782</v>
      </c>
      <c r="G18">
        <f t="shared" si="4"/>
        <v>5.5499999999992724</v>
      </c>
      <c r="H18">
        <f t="shared" si="5"/>
        <v>114.84999999999854</v>
      </c>
      <c r="I18">
        <f t="shared" si="2"/>
        <v>120.39999999999782</v>
      </c>
      <c r="J18">
        <f t="shared" si="6"/>
        <v>0</v>
      </c>
      <c r="K18">
        <f t="shared" si="3"/>
        <v>98.700000000000728</v>
      </c>
      <c r="L18">
        <f t="shared" ref="L18:N18" si="13">SUM(I5:I18)</f>
        <v>3661.5999999999985</v>
      </c>
      <c r="M18">
        <f t="shared" si="13"/>
        <v>727.29999999999563</v>
      </c>
      <c r="N18">
        <f t="shared" si="13"/>
        <v>1122.0500000000029</v>
      </c>
      <c r="O18" s="7">
        <f t="shared" si="12"/>
        <v>19.862901463840831</v>
      </c>
      <c r="P18" s="7">
        <f t="shared" si="7"/>
        <v>30.64370766877877</v>
      </c>
      <c r="Q18" s="7">
        <f t="shared" si="8"/>
        <v>10.780806204937939</v>
      </c>
      <c r="R18" s="7">
        <f t="shared" si="9"/>
        <v>50.506609132619602</v>
      </c>
      <c r="S18" s="7">
        <f t="shared" si="10"/>
        <v>21.345337551031861</v>
      </c>
      <c r="T18" s="7"/>
      <c r="U18" s="6" t="str">
        <f t="shared" si="1"/>
        <v/>
      </c>
    </row>
    <row r="19" spans="1:21" x14ac:dyDescent="0.25">
      <c r="A19" s="1">
        <v>44844</v>
      </c>
      <c r="B19">
        <v>17094.349999999999</v>
      </c>
      <c r="C19">
        <v>17280.150000000001</v>
      </c>
      <c r="D19">
        <v>17064.7</v>
      </c>
      <c r="E19">
        <v>17241</v>
      </c>
      <c r="F19">
        <f t="shared" si="0"/>
        <v>215.45000000000073</v>
      </c>
      <c r="G19">
        <f t="shared" si="4"/>
        <v>34.5</v>
      </c>
      <c r="H19">
        <f t="shared" si="5"/>
        <v>249.95000000000073</v>
      </c>
      <c r="I19">
        <f t="shared" si="2"/>
        <v>249.95000000000073</v>
      </c>
      <c r="J19">
        <f t="shared" si="6"/>
        <v>0</v>
      </c>
      <c r="K19">
        <f t="shared" si="3"/>
        <v>152.25</v>
      </c>
      <c r="L19">
        <f t="shared" ref="L19:N19" si="14">SUM(I6:I19)</f>
        <v>3674.0499999999993</v>
      </c>
      <c r="M19">
        <f t="shared" si="14"/>
        <v>727.29999999999563</v>
      </c>
      <c r="N19">
        <f t="shared" si="14"/>
        <v>1206.7500000000036</v>
      </c>
      <c r="O19" s="7">
        <f t="shared" si="12"/>
        <v>19.795593418706762</v>
      </c>
      <c r="P19" s="7">
        <f t="shared" si="7"/>
        <v>32.845225296335215</v>
      </c>
      <c r="Q19" s="7">
        <f t="shared" si="8"/>
        <v>13.049631877628453</v>
      </c>
      <c r="R19" s="7">
        <f t="shared" si="9"/>
        <v>52.640818715041974</v>
      </c>
      <c r="S19" s="7">
        <f t="shared" si="10"/>
        <v>24.789948553553852</v>
      </c>
      <c r="T19" s="7"/>
      <c r="U19" s="6" t="str">
        <f t="shared" si="1"/>
        <v/>
      </c>
    </row>
    <row r="20" spans="1:21" x14ac:dyDescent="0.25">
      <c r="A20" s="1">
        <v>44845</v>
      </c>
      <c r="B20">
        <v>17256.05</v>
      </c>
      <c r="C20">
        <v>17261.8</v>
      </c>
      <c r="D20">
        <v>16950.3</v>
      </c>
      <c r="E20">
        <v>16983.55</v>
      </c>
      <c r="F20">
        <f t="shared" si="0"/>
        <v>311.5</v>
      </c>
      <c r="G20">
        <f t="shared" si="4"/>
        <v>20.799999999999272</v>
      </c>
      <c r="H20">
        <f t="shared" si="5"/>
        <v>290.70000000000073</v>
      </c>
      <c r="I20">
        <f t="shared" si="2"/>
        <v>311.5</v>
      </c>
      <c r="J20">
        <f t="shared" si="6"/>
        <v>0</v>
      </c>
      <c r="K20">
        <f t="shared" si="3"/>
        <v>114.40000000000146</v>
      </c>
      <c r="L20">
        <f t="shared" ref="L20:N20" si="15">SUM(I7:I20)</f>
        <v>3688.5</v>
      </c>
      <c r="M20">
        <f t="shared" si="15"/>
        <v>475.19999999999709</v>
      </c>
      <c r="N20">
        <f t="shared" si="15"/>
        <v>1321.1500000000051</v>
      </c>
      <c r="O20" s="7">
        <f t="shared" si="12"/>
        <v>12.883285888572512</v>
      </c>
      <c r="P20" s="7">
        <f t="shared" si="7"/>
        <v>35.818083231666122</v>
      </c>
      <c r="Q20" s="7">
        <f t="shared" si="8"/>
        <v>22.93479734309361</v>
      </c>
      <c r="R20" s="7">
        <f t="shared" si="9"/>
        <v>48.701369120238638</v>
      </c>
      <c r="S20" s="7">
        <f t="shared" si="10"/>
        <v>47.092715784786193</v>
      </c>
      <c r="T20" s="7"/>
      <c r="U20" s="6" t="str">
        <f t="shared" si="1"/>
        <v/>
      </c>
    </row>
    <row r="21" spans="1:21" x14ac:dyDescent="0.25">
      <c r="A21" s="1">
        <v>44846</v>
      </c>
      <c r="B21">
        <v>17025.55</v>
      </c>
      <c r="C21">
        <v>17142.349999999999</v>
      </c>
      <c r="D21">
        <v>16960.05</v>
      </c>
      <c r="E21">
        <v>17123.599999999999</v>
      </c>
      <c r="F21">
        <f t="shared" si="0"/>
        <v>182.29999999999927</v>
      </c>
      <c r="G21">
        <f t="shared" si="4"/>
        <v>158.79999999999927</v>
      </c>
      <c r="H21">
        <f t="shared" si="5"/>
        <v>23.5</v>
      </c>
      <c r="I21">
        <f t="shared" si="2"/>
        <v>182.29999999999927</v>
      </c>
      <c r="J21">
        <f t="shared" si="6"/>
        <v>0</v>
      </c>
      <c r="K21">
        <f t="shared" si="3"/>
        <v>0</v>
      </c>
      <c r="L21">
        <f t="shared" ref="L21:N21" si="16">SUM(I8:I21)</f>
        <v>3695.6999999999971</v>
      </c>
      <c r="M21">
        <f t="shared" si="16"/>
        <v>475.19999999999709</v>
      </c>
      <c r="N21">
        <f t="shared" si="16"/>
        <v>1240.3500000000022</v>
      </c>
      <c r="O21" s="7">
        <f t="shared" si="12"/>
        <v>12.858186541115282</v>
      </c>
      <c r="P21" s="7">
        <f t="shared" si="7"/>
        <v>33.561977433233302</v>
      </c>
      <c r="Q21" s="7">
        <f t="shared" si="8"/>
        <v>20.703790892118022</v>
      </c>
      <c r="R21" s="7">
        <f t="shared" si="9"/>
        <v>46.420163974348583</v>
      </c>
      <c r="S21" s="7">
        <f t="shared" si="10"/>
        <v>44.60085686806012</v>
      </c>
      <c r="T21" s="7"/>
      <c r="U21" s="6" t="str">
        <f t="shared" si="1"/>
        <v/>
      </c>
    </row>
    <row r="22" spans="1:21" x14ac:dyDescent="0.25">
      <c r="A22" s="1">
        <v>44847</v>
      </c>
      <c r="B22">
        <v>17087.349999999999</v>
      </c>
      <c r="C22">
        <v>17112.349999999999</v>
      </c>
      <c r="D22">
        <v>16956.95</v>
      </c>
      <c r="E22">
        <v>17014.349999999999</v>
      </c>
      <c r="F22">
        <f t="shared" si="0"/>
        <v>155.39999999999782</v>
      </c>
      <c r="G22">
        <f t="shared" si="4"/>
        <v>11.25</v>
      </c>
      <c r="H22">
        <f t="shared" si="5"/>
        <v>166.64999999999782</v>
      </c>
      <c r="I22">
        <f t="shared" si="2"/>
        <v>166.64999999999782</v>
      </c>
      <c r="J22">
        <f t="shared" si="6"/>
        <v>0</v>
      </c>
      <c r="K22">
        <f t="shared" si="3"/>
        <v>3.0999999999985448</v>
      </c>
      <c r="L22">
        <f t="shared" ref="L22:N22" si="17">SUM(I9:I22)</f>
        <v>3672.0499999999956</v>
      </c>
      <c r="M22">
        <f t="shared" si="17"/>
        <v>475.19999999999709</v>
      </c>
      <c r="N22">
        <f t="shared" si="17"/>
        <v>1112.3000000000029</v>
      </c>
      <c r="O22" s="7">
        <f t="shared" si="12"/>
        <v>12.941000258711011</v>
      </c>
      <c r="P22" s="7">
        <f t="shared" si="7"/>
        <v>30.290981876608548</v>
      </c>
      <c r="Q22" s="7">
        <f t="shared" si="8"/>
        <v>17.349981617897537</v>
      </c>
      <c r="R22" s="7">
        <f t="shared" si="9"/>
        <v>43.231982135319555</v>
      </c>
      <c r="S22" s="7">
        <f t="shared" si="10"/>
        <v>40.132283464567294</v>
      </c>
      <c r="T22" s="7"/>
      <c r="U22" s="6" t="str">
        <f t="shared" si="1"/>
        <v/>
      </c>
    </row>
    <row r="23" spans="1:21" x14ac:dyDescent="0.25">
      <c r="A23" s="1">
        <v>44848</v>
      </c>
      <c r="B23">
        <v>17322.3</v>
      </c>
      <c r="C23">
        <v>17348.55</v>
      </c>
      <c r="D23">
        <v>17169.75</v>
      </c>
      <c r="E23">
        <v>17185.7</v>
      </c>
      <c r="F23">
        <f t="shared" si="0"/>
        <v>178.79999999999927</v>
      </c>
      <c r="G23">
        <f t="shared" si="4"/>
        <v>334.20000000000073</v>
      </c>
      <c r="H23">
        <f t="shared" si="5"/>
        <v>155.40000000000146</v>
      </c>
      <c r="I23">
        <f t="shared" si="2"/>
        <v>334.20000000000073</v>
      </c>
      <c r="J23">
        <f t="shared" si="6"/>
        <v>236.20000000000073</v>
      </c>
      <c r="K23">
        <f t="shared" si="3"/>
        <v>0</v>
      </c>
      <c r="L23">
        <f t="shared" ref="L23:N23" si="18">SUM(I10:I23)</f>
        <v>3655.7499999999964</v>
      </c>
      <c r="M23">
        <f t="shared" si="18"/>
        <v>711.39999999999782</v>
      </c>
      <c r="N23">
        <f t="shared" si="18"/>
        <v>871.50000000000364</v>
      </c>
      <c r="O23" s="7">
        <f t="shared" si="12"/>
        <v>19.459755180195543</v>
      </c>
      <c r="P23" s="7">
        <f t="shared" si="7"/>
        <v>23.83915749162291</v>
      </c>
      <c r="Q23" s="7">
        <f t="shared" si="8"/>
        <v>4.3794023114273664</v>
      </c>
      <c r="R23" s="7">
        <f t="shared" si="9"/>
        <v>43.298912671818456</v>
      </c>
      <c r="S23" s="7">
        <f t="shared" si="10"/>
        <v>10.114347084465578</v>
      </c>
      <c r="T23" s="7"/>
      <c r="U23" s="6" t="str">
        <f t="shared" si="1"/>
        <v/>
      </c>
    </row>
    <row r="24" spans="1:21" x14ac:dyDescent="0.25">
      <c r="A24" s="1">
        <v>44851</v>
      </c>
      <c r="B24">
        <v>17144.8</v>
      </c>
      <c r="C24">
        <v>17328.55</v>
      </c>
      <c r="D24">
        <v>17098.55</v>
      </c>
      <c r="E24">
        <v>17311.8</v>
      </c>
      <c r="F24">
        <f t="shared" si="0"/>
        <v>230</v>
      </c>
      <c r="G24">
        <f t="shared" si="4"/>
        <v>142.84999999999854</v>
      </c>
      <c r="H24">
        <f t="shared" si="5"/>
        <v>87.150000000001455</v>
      </c>
      <c r="I24">
        <f t="shared" si="2"/>
        <v>230</v>
      </c>
      <c r="J24">
        <f t="shared" si="6"/>
        <v>0</v>
      </c>
      <c r="K24">
        <f t="shared" si="3"/>
        <v>71.200000000000728</v>
      </c>
      <c r="L24">
        <f t="shared" ref="L24:N24" si="19">SUM(I11:I24)</f>
        <v>3536.6999999999971</v>
      </c>
      <c r="M24">
        <f t="shared" si="19"/>
        <v>711.39999999999782</v>
      </c>
      <c r="N24">
        <f t="shared" si="19"/>
        <v>629.35000000000218</v>
      </c>
      <c r="O24" s="7">
        <f t="shared" si="12"/>
        <v>20.114796279017117</v>
      </c>
      <c r="P24" s="7">
        <f t="shared" si="7"/>
        <v>17.794836994938862</v>
      </c>
      <c r="Q24" s="7">
        <f t="shared" si="8"/>
        <v>2.319959284078255</v>
      </c>
      <c r="R24" s="7">
        <f t="shared" si="9"/>
        <v>37.909633273955976</v>
      </c>
      <c r="S24" s="7">
        <f t="shared" si="10"/>
        <v>6.1197091180306238</v>
      </c>
      <c r="T24" s="7"/>
      <c r="U24" s="6" t="str">
        <f t="shared" si="1"/>
        <v/>
      </c>
    </row>
    <row r="25" spans="1:21" x14ac:dyDescent="0.25">
      <c r="A25" s="1">
        <v>44852</v>
      </c>
      <c r="B25">
        <v>17438.75</v>
      </c>
      <c r="C25">
        <v>17527.8</v>
      </c>
      <c r="D25">
        <v>17434.05</v>
      </c>
      <c r="E25">
        <v>17486.95</v>
      </c>
      <c r="F25">
        <f t="shared" si="0"/>
        <v>93.75</v>
      </c>
      <c r="G25">
        <f t="shared" si="4"/>
        <v>216</v>
      </c>
      <c r="H25">
        <f t="shared" si="5"/>
        <v>122.25</v>
      </c>
      <c r="I25">
        <f t="shared" si="2"/>
        <v>216</v>
      </c>
      <c r="J25">
        <f t="shared" si="6"/>
        <v>199.25</v>
      </c>
      <c r="K25">
        <f t="shared" si="3"/>
        <v>0</v>
      </c>
      <c r="L25">
        <f t="shared" ref="L25:N25" si="20">SUM(I12:I25)</f>
        <v>3518.5999999999949</v>
      </c>
      <c r="M25">
        <f t="shared" si="20"/>
        <v>910.64999999999782</v>
      </c>
      <c r="N25">
        <f t="shared" si="20"/>
        <v>593.40000000000146</v>
      </c>
      <c r="O25" s="7">
        <f t="shared" si="12"/>
        <v>25.881032228727307</v>
      </c>
      <c r="P25" s="7">
        <f t="shared" si="7"/>
        <v>16.864662081509756</v>
      </c>
      <c r="Q25" s="7">
        <f t="shared" si="8"/>
        <v>9.0163701472175504</v>
      </c>
      <c r="R25" s="7">
        <f t="shared" si="9"/>
        <v>42.745694310237063</v>
      </c>
      <c r="S25" s="7">
        <f t="shared" si="10"/>
        <v>21.093048768325286</v>
      </c>
      <c r="T25" s="7"/>
      <c r="U25" s="6" t="str">
        <f t="shared" si="1"/>
        <v/>
      </c>
    </row>
    <row r="26" spans="1:21" x14ac:dyDescent="0.25">
      <c r="A26" s="1">
        <v>44853</v>
      </c>
      <c r="B26">
        <v>17568.150000000001</v>
      </c>
      <c r="C26">
        <v>17607.599999999999</v>
      </c>
      <c r="D26">
        <v>17472.849999999999</v>
      </c>
      <c r="E26">
        <v>17512.25</v>
      </c>
      <c r="F26">
        <f t="shared" si="0"/>
        <v>134.75</v>
      </c>
      <c r="G26">
        <f t="shared" si="4"/>
        <v>120.64999999999782</v>
      </c>
      <c r="H26">
        <f t="shared" si="5"/>
        <v>14.100000000002183</v>
      </c>
      <c r="I26">
        <f t="shared" si="2"/>
        <v>134.75</v>
      </c>
      <c r="J26">
        <f t="shared" si="6"/>
        <v>79.799999999999272</v>
      </c>
      <c r="K26">
        <f t="shared" si="3"/>
        <v>0</v>
      </c>
      <c r="L26">
        <f t="shared" ref="L26:N26" si="21">SUM(I13:I26)</f>
        <v>3436.1499999999978</v>
      </c>
      <c r="M26">
        <f t="shared" si="21"/>
        <v>990.44999999999709</v>
      </c>
      <c r="N26">
        <f t="shared" si="21"/>
        <v>471.45000000000437</v>
      </c>
      <c r="O26" s="7">
        <f t="shared" si="12"/>
        <v>28.824411041427112</v>
      </c>
      <c r="P26" s="7">
        <f t="shared" si="7"/>
        <v>13.720297425898305</v>
      </c>
      <c r="Q26" s="7">
        <f t="shared" si="8"/>
        <v>15.104113615528806</v>
      </c>
      <c r="R26" s="7">
        <f t="shared" si="9"/>
        <v>42.544708467325421</v>
      </c>
      <c r="S26" s="7">
        <f t="shared" si="10"/>
        <v>35.501744305355508</v>
      </c>
      <c r="T26" s="7"/>
      <c r="U26" s="6" t="str">
        <f t="shared" si="1"/>
        <v/>
      </c>
    </row>
    <row r="27" spans="1:21" x14ac:dyDescent="0.25">
      <c r="A27" s="1">
        <v>44854</v>
      </c>
      <c r="B27">
        <v>17423.099999999999</v>
      </c>
      <c r="C27">
        <v>17584.150000000001</v>
      </c>
      <c r="D27">
        <v>17421</v>
      </c>
      <c r="E27">
        <v>17563.95</v>
      </c>
      <c r="F27">
        <f t="shared" si="0"/>
        <v>163.15000000000146</v>
      </c>
      <c r="G27">
        <f t="shared" si="4"/>
        <v>71.900000000001455</v>
      </c>
      <c r="H27">
        <f t="shared" si="5"/>
        <v>91.25</v>
      </c>
      <c r="I27">
        <f t="shared" si="2"/>
        <v>163.15000000000146</v>
      </c>
      <c r="J27">
        <f t="shared" si="6"/>
        <v>0</v>
      </c>
      <c r="K27">
        <f t="shared" si="3"/>
        <v>51.849999999998545</v>
      </c>
      <c r="L27">
        <f t="shared" ref="L27:N27" si="22">SUM(I14:I27)</f>
        <v>3361.8499999999985</v>
      </c>
      <c r="M27">
        <f t="shared" si="22"/>
        <v>990.44999999999709</v>
      </c>
      <c r="N27">
        <f t="shared" si="22"/>
        <v>491.5</v>
      </c>
      <c r="O27" s="7">
        <f t="shared" si="12"/>
        <v>29.46145723336846</v>
      </c>
      <c r="P27" s="7">
        <f t="shared" si="7"/>
        <v>14.619926528548277</v>
      </c>
      <c r="Q27" s="7">
        <f t="shared" si="8"/>
        <v>14.841530704820183</v>
      </c>
      <c r="R27" s="7">
        <f t="shared" si="9"/>
        <v>44.08138376191674</v>
      </c>
      <c r="S27" s="7">
        <f t="shared" si="10"/>
        <v>33.668477344039815</v>
      </c>
      <c r="T27" s="7"/>
      <c r="U27" s="6" t="str">
        <f t="shared" si="1"/>
        <v/>
      </c>
    </row>
    <row r="28" spans="1:21" x14ac:dyDescent="0.25">
      <c r="A28" s="1">
        <v>44855</v>
      </c>
      <c r="B28">
        <v>17622.849999999999</v>
      </c>
      <c r="C28">
        <v>17670.150000000001</v>
      </c>
      <c r="D28">
        <v>17520.75</v>
      </c>
      <c r="E28">
        <v>17576.3</v>
      </c>
      <c r="F28">
        <f t="shared" si="0"/>
        <v>149.40000000000146</v>
      </c>
      <c r="G28">
        <f t="shared" si="4"/>
        <v>106.20000000000073</v>
      </c>
      <c r="H28">
        <f t="shared" si="5"/>
        <v>43.200000000000728</v>
      </c>
      <c r="I28">
        <f t="shared" si="2"/>
        <v>149.40000000000146</v>
      </c>
      <c r="J28">
        <f t="shared" si="6"/>
        <v>86</v>
      </c>
      <c r="K28">
        <f t="shared" si="3"/>
        <v>0</v>
      </c>
      <c r="L28">
        <f t="shared" ref="L28:N28" si="23">SUM(I15:I28)</f>
        <v>3071.8500000000022</v>
      </c>
      <c r="M28">
        <f t="shared" si="23"/>
        <v>915.39999999999782</v>
      </c>
      <c r="N28">
        <f t="shared" si="23"/>
        <v>491.5</v>
      </c>
      <c r="O28" s="7">
        <f t="shared" si="12"/>
        <v>29.799632143496495</v>
      </c>
      <c r="P28" s="7">
        <f t="shared" si="7"/>
        <v>16.00013021469146</v>
      </c>
      <c r="Q28" s="7">
        <f t="shared" si="8"/>
        <v>13.799501928805036</v>
      </c>
      <c r="R28" s="7">
        <f t="shared" si="9"/>
        <v>45.799762358187955</v>
      </c>
      <c r="S28" s="7">
        <f t="shared" si="10"/>
        <v>30.13007321060477</v>
      </c>
      <c r="T28" s="7"/>
      <c r="U28" s="6" t="str">
        <f t="shared" si="1"/>
        <v/>
      </c>
    </row>
    <row r="29" spans="1:21" x14ac:dyDescent="0.25">
      <c r="A29" s="1">
        <v>44858</v>
      </c>
      <c r="B29">
        <v>17736.349999999999</v>
      </c>
      <c r="C29">
        <v>17777.55</v>
      </c>
      <c r="D29">
        <v>17707.400000000001</v>
      </c>
      <c r="E29">
        <v>17730.75</v>
      </c>
      <c r="F29">
        <f t="shared" si="0"/>
        <v>70.149999999997817</v>
      </c>
      <c r="G29">
        <f t="shared" si="4"/>
        <v>201.25</v>
      </c>
      <c r="H29">
        <f t="shared" si="5"/>
        <v>131.10000000000218</v>
      </c>
      <c r="I29">
        <f t="shared" si="2"/>
        <v>201.25</v>
      </c>
      <c r="J29">
        <f t="shared" si="6"/>
        <v>107.39999999999782</v>
      </c>
      <c r="K29">
        <f t="shared" si="3"/>
        <v>0</v>
      </c>
      <c r="L29">
        <f t="shared" ref="L29:N29" si="24">SUM(I16:I29)</f>
        <v>3014</v>
      </c>
      <c r="M29">
        <f t="shared" si="24"/>
        <v>1022.7999999999956</v>
      </c>
      <c r="N29">
        <f t="shared" si="24"/>
        <v>491.5</v>
      </c>
      <c r="O29" s="7">
        <f t="shared" si="12"/>
        <v>33.934970139349559</v>
      </c>
      <c r="P29" s="7">
        <f t="shared" si="7"/>
        <v>16.30723291307233</v>
      </c>
      <c r="Q29" s="7">
        <f t="shared" si="8"/>
        <v>17.62773722627723</v>
      </c>
      <c r="R29" s="7">
        <f t="shared" si="9"/>
        <v>50.242203052421885</v>
      </c>
      <c r="S29" s="7">
        <f t="shared" si="10"/>
        <v>35.085518061150182</v>
      </c>
      <c r="T29" s="7">
        <f>AVERAGE(S16:S29)</f>
        <v>30.085623654268723</v>
      </c>
      <c r="U29" s="4" t="str">
        <f t="shared" si="1"/>
        <v>Strong</v>
      </c>
    </row>
    <row r="30" spans="1:21" x14ac:dyDescent="0.25">
      <c r="A30" s="1">
        <v>44859</v>
      </c>
      <c r="B30">
        <v>17808.3</v>
      </c>
      <c r="C30">
        <v>17811.5</v>
      </c>
      <c r="D30">
        <v>17637</v>
      </c>
      <c r="E30">
        <v>17656.349999999999</v>
      </c>
      <c r="F30">
        <f t="shared" si="0"/>
        <v>174.5</v>
      </c>
      <c r="G30">
        <f t="shared" si="4"/>
        <v>80.75</v>
      </c>
      <c r="H30">
        <f t="shared" si="5"/>
        <v>93.75</v>
      </c>
      <c r="I30">
        <f t="shared" si="2"/>
        <v>174.5</v>
      </c>
      <c r="J30">
        <f t="shared" si="6"/>
        <v>0</v>
      </c>
      <c r="K30">
        <f t="shared" si="3"/>
        <v>70.400000000001455</v>
      </c>
      <c r="L30">
        <f t="shared" ref="L30:N30" si="25">SUM(I17:I30)</f>
        <v>2788.5499999999993</v>
      </c>
      <c r="M30">
        <f t="shared" si="25"/>
        <v>850.14999999999782</v>
      </c>
      <c r="N30">
        <f t="shared" si="25"/>
        <v>561.90000000000146</v>
      </c>
      <c r="O30" s="7">
        <f t="shared" si="12"/>
        <v>30.487170751824355</v>
      </c>
      <c r="P30" s="7">
        <f t="shared" si="7"/>
        <v>20.150257302182194</v>
      </c>
      <c r="Q30" s="7">
        <f t="shared" si="8"/>
        <v>10.336913449642161</v>
      </c>
      <c r="R30" s="7">
        <f t="shared" si="9"/>
        <v>50.637428054006548</v>
      </c>
      <c r="S30" s="7">
        <f t="shared" si="10"/>
        <v>20.413583088417305</v>
      </c>
      <c r="T30" s="7">
        <f t="shared" ref="T30:T93" si="26">AVERAGE(S17:S30)</f>
        <v>28.664926967459859</v>
      </c>
      <c r="U30" s="6" t="str">
        <f t="shared" si="1"/>
        <v>Weak</v>
      </c>
    </row>
    <row r="31" spans="1:21" x14ac:dyDescent="0.25">
      <c r="A31" s="1">
        <v>44861</v>
      </c>
      <c r="B31">
        <v>17771.400000000001</v>
      </c>
      <c r="C31">
        <v>17783.900000000001</v>
      </c>
      <c r="D31">
        <v>17654.5</v>
      </c>
      <c r="E31">
        <v>17736.95</v>
      </c>
      <c r="F31">
        <f t="shared" si="0"/>
        <v>129.40000000000146</v>
      </c>
      <c r="G31">
        <f t="shared" si="4"/>
        <v>127.55000000000291</v>
      </c>
      <c r="H31">
        <f t="shared" si="5"/>
        <v>1.8499999999985448</v>
      </c>
      <c r="I31">
        <f t="shared" si="2"/>
        <v>129.40000000000146</v>
      </c>
      <c r="J31">
        <f t="shared" si="6"/>
        <v>0</v>
      </c>
      <c r="K31">
        <f t="shared" si="3"/>
        <v>0</v>
      </c>
      <c r="L31">
        <f t="shared" ref="L31:N31" si="27">SUM(I18:I31)</f>
        <v>2763.4500000000007</v>
      </c>
      <c r="M31">
        <f t="shared" si="27"/>
        <v>708.64999999999782</v>
      </c>
      <c r="N31">
        <f t="shared" si="27"/>
        <v>561.90000000000146</v>
      </c>
      <c r="O31" s="7">
        <f t="shared" si="12"/>
        <v>25.643670050118427</v>
      </c>
      <c r="P31" s="7">
        <f t="shared" si="7"/>
        <v>20.333279053357263</v>
      </c>
      <c r="Q31" s="7">
        <f t="shared" si="8"/>
        <v>5.3103909967611642</v>
      </c>
      <c r="R31" s="7">
        <f t="shared" si="9"/>
        <v>45.97694910347569</v>
      </c>
      <c r="S31" s="7">
        <f t="shared" si="10"/>
        <v>11.550116091456182</v>
      </c>
      <c r="T31" s="7">
        <f t="shared" si="26"/>
        <v>27.259839949560327</v>
      </c>
      <c r="U31" s="6" t="str">
        <f t="shared" si="1"/>
        <v>Weak</v>
      </c>
    </row>
    <row r="32" spans="1:21" x14ac:dyDescent="0.25">
      <c r="A32" s="1">
        <v>44862</v>
      </c>
      <c r="B32">
        <v>17756.400000000001</v>
      </c>
      <c r="C32">
        <v>17838.900000000001</v>
      </c>
      <c r="D32">
        <v>17723.7</v>
      </c>
      <c r="E32">
        <v>17786.8</v>
      </c>
      <c r="F32">
        <f t="shared" si="0"/>
        <v>115.20000000000073</v>
      </c>
      <c r="G32">
        <f t="shared" si="4"/>
        <v>101.95000000000073</v>
      </c>
      <c r="H32">
        <f t="shared" si="5"/>
        <v>13.25</v>
      </c>
      <c r="I32">
        <f t="shared" si="2"/>
        <v>115.20000000000073</v>
      </c>
      <c r="J32">
        <f t="shared" si="6"/>
        <v>55</v>
      </c>
      <c r="K32">
        <f t="shared" si="3"/>
        <v>0</v>
      </c>
      <c r="L32">
        <f t="shared" ref="L32:N32" si="28">SUM(I19:I32)</f>
        <v>2758.2500000000036</v>
      </c>
      <c r="M32">
        <f t="shared" si="28"/>
        <v>763.64999999999782</v>
      </c>
      <c r="N32">
        <f t="shared" si="28"/>
        <v>463.20000000000073</v>
      </c>
      <c r="O32" s="7">
        <f t="shared" si="12"/>
        <v>27.686032810658816</v>
      </c>
      <c r="P32" s="7">
        <f t="shared" si="7"/>
        <v>16.793256593854803</v>
      </c>
      <c r="Q32" s="7">
        <f t="shared" si="8"/>
        <v>10.892776216804013</v>
      </c>
      <c r="R32" s="7">
        <f t="shared" si="9"/>
        <v>44.479289404513622</v>
      </c>
      <c r="S32" s="7">
        <f t="shared" si="10"/>
        <v>24.48954639931511</v>
      </c>
      <c r="T32" s="7">
        <f t="shared" si="26"/>
        <v>27.484426295866268</v>
      </c>
      <c r="U32" s="6" t="str">
        <f t="shared" si="1"/>
        <v>Weak</v>
      </c>
    </row>
    <row r="33" spans="1:21" x14ac:dyDescent="0.25">
      <c r="A33" s="1">
        <v>44865</v>
      </c>
      <c r="B33">
        <v>17910.2</v>
      </c>
      <c r="C33">
        <v>18022.8</v>
      </c>
      <c r="D33">
        <v>17899.900000000001</v>
      </c>
      <c r="E33">
        <v>18012.2</v>
      </c>
      <c r="F33">
        <f t="shared" si="0"/>
        <v>122.89999999999782</v>
      </c>
      <c r="G33">
        <f t="shared" si="4"/>
        <v>236</v>
      </c>
      <c r="H33">
        <f t="shared" si="5"/>
        <v>113.10000000000218</v>
      </c>
      <c r="I33">
        <f t="shared" si="2"/>
        <v>236</v>
      </c>
      <c r="J33">
        <f t="shared" si="6"/>
        <v>183.89999999999782</v>
      </c>
      <c r="K33">
        <f t="shared" si="3"/>
        <v>0</v>
      </c>
      <c r="L33">
        <f t="shared" ref="L33:N33" si="29">SUM(I20:I33)</f>
        <v>2744.3000000000029</v>
      </c>
      <c r="M33">
        <f t="shared" si="29"/>
        <v>947.54999999999563</v>
      </c>
      <c r="N33">
        <f t="shared" si="29"/>
        <v>310.95000000000073</v>
      </c>
      <c r="O33" s="7">
        <f t="shared" si="12"/>
        <v>34.527930619830002</v>
      </c>
      <c r="P33" s="7">
        <f t="shared" si="7"/>
        <v>11.3307582990198</v>
      </c>
      <c r="Q33" s="7">
        <f t="shared" si="8"/>
        <v>23.197172320810203</v>
      </c>
      <c r="R33" s="7">
        <f t="shared" si="9"/>
        <v>45.858688918849801</v>
      </c>
      <c r="S33" s="7">
        <f t="shared" si="10"/>
        <v>50.584028605482466</v>
      </c>
      <c r="T33" s="7">
        <f t="shared" si="26"/>
        <v>29.32686058528974</v>
      </c>
      <c r="U33" s="6" t="str">
        <f t="shared" si="1"/>
        <v>Weak</v>
      </c>
    </row>
    <row r="34" spans="1:21" x14ac:dyDescent="0.25">
      <c r="A34" s="1">
        <v>44866</v>
      </c>
      <c r="B34">
        <v>18130.7</v>
      </c>
      <c r="C34">
        <v>18175.8</v>
      </c>
      <c r="D34">
        <v>18060.150000000001</v>
      </c>
      <c r="E34">
        <v>18145.400000000001</v>
      </c>
      <c r="F34">
        <f t="shared" si="0"/>
        <v>115.64999999999782</v>
      </c>
      <c r="G34">
        <f t="shared" si="4"/>
        <v>163.59999999999854</v>
      </c>
      <c r="H34">
        <f t="shared" si="5"/>
        <v>47.950000000000728</v>
      </c>
      <c r="I34">
        <f t="shared" si="2"/>
        <v>163.59999999999854</v>
      </c>
      <c r="J34">
        <f t="shared" si="6"/>
        <v>153</v>
      </c>
      <c r="K34">
        <f t="shared" si="3"/>
        <v>0</v>
      </c>
      <c r="L34">
        <f t="shared" ref="L34:N34" si="30">SUM(I21:I34)</f>
        <v>2596.4000000000015</v>
      </c>
      <c r="M34">
        <f t="shared" si="30"/>
        <v>1100.5499999999956</v>
      </c>
      <c r="N34">
        <f t="shared" si="30"/>
        <v>196.54999999999927</v>
      </c>
      <c r="O34" s="7">
        <f t="shared" si="12"/>
        <v>42.387536589123208</v>
      </c>
      <c r="P34" s="7">
        <f t="shared" si="7"/>
        <v>7.5700970574641495</v>
      </c>
      <c r="Q34" s="7">
        <f t="shared" si="8"/>
        <v>34.817439531659062</v>
      </c>
      <c r="R34" s="7">
        <f t="shared" si="9"/>
        <v>49.957633646587354</v>
      </c>
      <c r="S34" s="7">
        <f t="shared" si="10"/>
        <v>69.693932618919135</v>
      </c>
      <c r="T34" s="7">
        <f t="shared" si="26"/>
        <v>30.941233216299235</v>
      </c>
      <c r="U34" s="6" t="str">
        <f t="shared" si="1"/>
        <v>Strong</v>
      </c>
    </row>
    <row r="35" spans="1:21" x14ac:dyDescent="0.25">
      <c r="A35" s="1">
        <v>44867</v>
      </c>
      <c r="B35">
        <v>18177.900000000001</v>
      </c>
      <c r="C35">
        <v>18178.75</v>
      </c>
      <c r="D35">
        <v>18048.650000000001</v>
      </c>
      <c r="E35">
        <v>18082.849999999999</v>
      </c>
      <c r="F35">
        <f t="shared" si="0"/>
        <v>130.09999999999854</v>
      </c>
      <c r="G35">
        <f t="shared" si="4"/>
        <v>33.349999999998545</v>
      </c>
      <c r="H35">
        <f t="shared" si="5"/>
        <v>96.75</v>
      </c>
      <c r="I35">
        <f t="shared" si="2"/>
        <v>130.09999999999854</v>
      </c>
      <c r="J35">
        <f t="shared" si="6"/>
        <v>0</v>
      </c>
      <c r="K35">
        <f t="shared" si="3"/>
        <v>11.5</v>
      </c>
      <c r="L35">
        <f t="shared" ref="L35:N35" si="31">SUM(I22:I35)</f>
        <v>2544.2000000000007</v>
      </c>
      <c r="M35">
        <f t="shared" si="31"/>
        <v>1100.5499999999956</v>
      </c>
      <c r="N35">
        <f t="shared" si="31"/>
        <v>208.04999999999927</v>
      </c>
      <c r="O35" s="7">
        <f t="shared" si="12"/>
        <v>43.257212483295156</v>
      </c>
      <c r="P35" s="7">
        <f t="shared" si="7"/>
        <v>8.177423158556687</v>
      </c>
      <c r="Q35" s="7">
        <f t="shared" si="8"/>
        <v>35.079789324738471</v>
      </c>
      <c r="R35" s="7">
        <f t="shared" si="9"/>
        <v>51.434635641851841</v>
      </c>
      <c r="S35" s="7">
        <f t="shared" si="10"/>
        <v>68.202659330582293</v>
      </c>
      <c r="T35" s="7">
        <f t="shared" si="26"/>
        <v>32.62707624933654</v>
      </c>
      <c r="U35" s="6" t="str">
        <f t="shared" si="1"/>
        <v>Strong</v>
      </c>
    </row>
    <row r="36" spans="1:21" x14ac:dyDescent="0.25">
      <c r="A36" s="1">
        <v>44868</v>
      </c>
      <c r="B36">
        <v>17968.349999999999</v>
      </c>
      <c r="C36">
        <v>18106.3</v>
      </c>
      <c r="D36">
        <v>17959.2</v>
      </c>
      <c r="E36">
        <v>18052.7</v>
      </c>
      <c r="F36">
        <f t="shared" si="0"/>
        <v>147.09999999999854</v>
      </c>
      <c r="G36">
        <f t="shared" si="4"/>
        <v>23.450000000000728</v>
      </c>
      <c r="H36">
        <f t="shared" si="5"/>
        <v>123.64999999999782</v>
      </c>
      <c r="I36">
        <f t="shared" si="2"/>
        <v>147.09999999999854</v>
      </c>
      <c r="J36">
        <f t="shared" si="6"/>
        <v>0</v>
      </c>
      <c r="K36">
        <f t="shared" si="3"/>
        <v>89.450000000000728</v>
      </c>
      <c r="L36">
        <f t="shared" ref="L36:N36" si="32">SUM(I23:I36)</f>
        <v>2524.6500000000015</v>
      </c>
      <c r="M36">
        <f t="shared" si="32"/>
        <v>1100.5499999999956</v>
      </c>
      <c r="N36">
        <f t="shared" si="32"/>
        <v>294.40000000000146</v>
      </c>
      <c r="O36" s="7">
        <f t="shared" si="12"/>
        <v>43.592181094408929</v>
      </c>
      <c r="P36" s="7">
        <f t="shared" si="7"/>
        <v>11.661022319925586</v>
      </c>
      <c r="Q36" s="7">
        <f t="shared" si="8"/>
        <v>31.931158774483343</v>
      </c>
      <c r="R36" s="7">
        <f t="shared" si="9"/>
        <v>55.253203414334514</v>
      </c>
      <c r="S36" s="7">
        <f t="shared" si="10"/>
        <v>57.790601813684781</v>
      </c>
      <c r="T36" s="7">
        <f t="shared" si="26"/>
        <v>33.888384702844931</v>
      </c>
      <c r="U36" s="6" t="str">
        <f t="shared" si="1"/>
        <v>Strong</v>
      </c>
    </row>
    <row r="37" spans="1:21" x14ac:dyDescent="0.25">
      <c r="A37" s="1">
        <v>44869</v>
      </c>
      <c r="B37">
        <v>18053.400000000001</v>
      </c>
      <c r="C37">
        <v>18135.099999999999</v>
      </c>
      <c r="D37">
        <v>18017.150000000001</v>
      </c>
      <c r="E37">
        <v>18117.150000000001</v>
      </c>
      <c r="F37">
        <f t="shared" si="0"/>
        <v>117.94999999999709</v>
      </c>
      <c r="G37">
        <f t="shared" si="4"/>
        <v>82.399999999997817</v>
      </c>
      <c r="H37">
        <f t="shared" si="5"/>
        <v>35.549999999999272</v>
      </c>
      <c r="I37">
        <f t="shared" si="2"/>
        <v>117.94999999999709</v>
      </c>
      <c r="J37">
        <f t="shared" si="6"/>
        <v>28.799999999999272</v>
      </c>
      <c r="K37">
        <f t="shared" si="3"/>
        <v>0</v>
      </c>
      <c r="L37">
        <f t="shared" ref="L37:N37" si="33">SUM(I24:I37)</f>
        <v>2308.3999999999978</v>
      </c>
      <c r="M37">
        <f t="shared" si="33"/>
        <v>893.14999999999418</v>
      </c>
      <c r="N37">
        <f t="shared" si="33"/>
        <v>294.40000000000146</v>
      </c>
      <c r="O37" s="7">
        <f t="shared" si="12"/>
        <v>38.691301334257275</v>
      </c>
      <c r="P37" s="7">
        <f t="shared" si="7"/>
        <v>12.753422283833032</v>
      </c>
      <c r="Q37" s="7">
        <f t="shared" si="8"/>
        <v>25.937879050424243</v>
      </c>
      <c r="R37" s="7">
        <f t="shared" si="9"/>
        <v>51.444723618090308</v>
      </c>
      <c r="S37" s="7">
        <f t="shared" si="10"/>
        <v>50.418929729274133</v>
      </c>
      <c r="T37" s="7">
        <f t="shared" si="26"/>
        <v>36.767283463188392</v>
      </c>
      <c r="U37" s="6" t="str">
        <f t="shared" si="1"/>
        <v>Strong</v>
      </c>
    </row>
    <row r="38" spans="1:21" x14ac:dyDescent="0.25">
      <c r="A38" s="1">
        <v>44872</v>
      </c>
      <c r="B38">
        <v>18211.75</v>
      </c>
      <c r="C38">
        <v>18255.5</v>
      </c>
      <c r="D38">
        <v>18064.75</v>
      </c>
      <c r="E38">
        <v>18202.8</v>
      </c>
      <c r="F38">
        <f t="shared" si="0"/>
        <v>190.75</v>
      </c>
      <c r="G38">
        <f t="shared" si="4"/>
        <v>138.34999999999854</v>
      </c>
      <c r="H38">
        <f t="shared" si="5"/>
        <v>52.400000000001455</v>
      </c>
      <c r="I38">
        <f t="shared" si="2"/>
        <v>190.75</v>
      </c>
      <c r="J38">
        <f t="shared" si="6"/>
        <v>120.40000000000146</v>
      </c>
      <c r="K38">
        <f t="shared" si="3"/>
        <v>0</v>
      </c>
      <c r="L38">
        <f t="shared" ref="L38:N38" si="34">SUM(I25:I38)</f>
        <v>2269.1499999999978</v>
      </c>
      <c r="M38">
        <f t="shared" si="34"/>
        <v>1013.5499999999956</v>
      </c>
      <c r="N38">
        <f t="shared" si="34"/>
        <v>223.20000000000073</v>
      </c>
      <c r="O38" s="7">
        <f t="shared" si="12"/>
        <v>44.666505078994192</v>
      </c>
      <c r="P38" s="7">
        <f t="shared" si="7"/>
        <v>9.8362823083533897</v>
      </c>
      <c r="Q38" s="7">
        <f t="shared" si="8"/>
        <v>34.830222770640802</v>
      </c>
      <c r="R38" s="7">
        <f t="shared" si="9"/>
        <v>54.502787387347581</v>
      </c>
      <c r="S38" s="7">
        <f t="shared" si="10"/>
        <v>63.905397210430351</v>
      </c>
      <c r="T38" s="7">
        <f t="shared" si="26"/>
        <v>40.894832612645516</v>
      </c>
      <c r="U38" s="6" t="str">
        <f t="shared" si="1"/>
        <v>Strong</v>
      </c>
    </row>
    <row r="39" spans="1:21" x14ac:dyDescent="0.25">
      <c r="A39" s="1">
        <v>44874</v>
      </c>
      <c r="B39">
        <v>18288.25</v>
      </c>
      <c r="C39">
        <v>18296.400000000001</v>
      </c>
      <c r="D39">
        <v>18117.5</v>
      </c>
      <c r="E39">
        <v>18157</v>
      </c>
      <c r="F39">
        <f t="shared" si="0"/>
        <v>178.90000000000146</v>
      </c>
      <c r="G39">
        <f t="shared" si="4"/>
        <v>93.600000000002183</v>
      </c>
      <c r="H39">
        <f t="shared" si="5"/>
        <v>85.299999999999272</v>
      </c>
      <c r="I39">
        <f t="shared" si="2"/>
        <v>178.90000000000146</v>
      </c>
      <c r="J39">
        <f t="shared" si="6"/>
        <v>40.900000000001455</v>
      </c>
      <c r="K39">
        <f t="shared" si="3"/>
        <v>0</v>
      </c>
      <c r="L39">
        <f t="shared" ref="L39:N39" si="35">SUM(I26:I39)</f>
        <v>2232.0499999999993</v>
      </c>
      <c r="M39">
        <f t="shared" si="35"/>
        <v>855.19999999999709</v>
      </c>
      <c r="N39">
        <f t="shared" si="35"/>
        <v>223.20000000000073</v>
      </c>
      <c r="O39" s="7">
        <f t="shared" si="12"/>
        <v>38.314553885441512</v>
      </c>
      <c r="P39" s="7">
        <f t="shared" si="7"/>
        <v>9.9997759906812469</v>
      </c>
      <c r="Q39" s="7">
        <f t="shared" si="8"/>
        <v>28.314777894760265</v>
      </c>
      <c r="R39" s="7">
        <f t="shared" si="9"/>
        <v>48.314329876122756</v>
      </c>
      <c r="S39" s="7">
        <f t="shared" si="10"/>
        <v>58.605341246290585</v>
      </c>
      <c r="T39" s="7">
        <f t="shared" si="26"/>
        <v>43.574282075357324</v>
      </c>
      <c r="U39" s="6" t="str">
        <f t="shared" si="1"/>
        <v>Strong</v>
      </c>
    </row>
    <row r="40" spans="1:21" x14ac:dyDescent="0.25">
      <c r="A40" s="1">
        <v>44875</v>
      </c>
      <c r="B40">
        <v>18044.349999999999</v>
      </c>
      <c r="C40">
        <v>18103.099999999999</v>
      </c>
      <c r="D40">
        <v>17969.400000000001</v>
      </c>
      <c r="E40">
        <v>18028.2</v>
      </c>
      <c r="F40">
        <f t="shared" si="0"/>
        <v>133.69999999999709</v>
      </c>
      <c r="G40">
        <f t="shared" si="4"/>
        <v>53.900000000001455</v>
      </c>
      <c r="H40">
        <f t="shared" si="5"/>
        <v>187.59999999999854</v>
      </c>
      <c r="I40">
        <f t="shared" si="2"/>
        <v>187.59999999999854</v>
      </c>
      <c r="J40">
        <f t="shared" si="6"/>
        <v>0</v>
      </c>
      <c r="K40">
        <f t="shared" si="3"/>
        <v>148.09999999999854</v>
      </c>
      <c r="L40">
        <f t="shared" ref="L40:N40" si="36">SUM(I27:I40)</f>
        <v>2284.8999999999978</v>
      </c>
      <c r="M40">
        <f t="shared" si="36"/>
        <v>775.39999999999782</v>
      </c>
      <c r="N40">
        <f t="shared" si="36"/>
        <v>371.29999999999927</v>
      </c>
      <c r="O40" s="7">
        <f t="shared" si="12"/>
        <v>33.935839642872715</v>
      </c>
      <c r="P40" s="7">
        <f t="shared" si="7"/>
        <v>16.250164120968076</v>
      </c>
      <c r="Q40" s="7">
        <f t="shared" si="8"/>
        <v>17.685675521904638</v>
      </c>
      <c r="R40" s="7">
        <f t="shared" si="9"/>
        <v>50.186003763840787</v>
      </c>
      <c r="S40" s="7">
        <f t="shared" si="10"/>
        <v>35.240254643760331</v>
      </c>
      <c r="T40" s="7">
        <f t="shared" si="26"/>
        <v>43.555604242386245</v>
      </c>
      <c r="U40" s="6" t="str">
        <f t="shared" si="1"/>
        <v>Strong</v>
      </c>
    </row>
    <row r="41" spans="1:21" x14ac:dyDescent="0.25">
      <c r="A41" s="1">
        <v>44876</v>
      </c>
      <c r="B41">
        <v>18272.349999999999</v>
      </c>
      <c r="C41">
        <v>18362.3</v>
      </c>
      <c r="D41">
        <v>18259.349999999999</v>
      </c>
      <c r="E41">
        <v>18349.7</v>
      </c>
      <c r="F41">
        <f t="shared" si="0"/>
        <v>102.95000000000073</v>
      </c>
      <c r="G41">
        <f t="shared" si="4"/>
        <v>334.09999999999854</v>
      </c>
      <c r="H41">
        <f t="shared" si="5"/>
        <v>231.14999999999782</v>
      </c>
      <c r="I41">
        <f t="shared" si="2"/>
        <v>334.09999999999854</v>
      </c>
      <c r="J41">
        <f t="shared" si="6"/>
        <v>259.20000000000073</v>
      </c>
      <c r="K41">
        <f t="shared" si="3"/>
        <v>0</v>
      </c>
      <c r="L41">
        <f t="shared" ref="L41:N41" si="37">SUM(I28:I41)</f>
        <v>2455.8499999999949</v>
      </c>
      <c r="M41">
        <f t="shared" si="37"/>
        <v>1034.5999999999985</v>
      </c>
      <c r="N41">
        <f t="shared" si="37"/>
        <v>319.45000000000073</v>
      </c>
      <c r="O41" s="7">
        <f t="shared" si="12"/>
        <v>42.127980129079575</v>
      </c>
      <c r="P41" s="7">
        <f t="shared" si="7"/>
        <v>13.00771626931618</v>
      </c>
      <c r="Q41" s="7">
        <f t="shared" si="8"/>
        <v>29.120263859763394</v>
      </c>
      <c r="R41" s="7">
        <f t="shared" si="9"/>
        <v>55.135696398395751</v>
      </c>
      <c r="S41" s="7">
        <f t="shared" si="10"/>
        <v>52.81562719249645</v>
      </c>
      <c r="T41" s="7">
        <f t="shared" si="26"/>
        <v>44.923257802990285</v>
      </c>
      <c r="U41" s="6" t="str">
        <f t="shared" si="1"/>
        <v>Strong</v>
      </c>
    </row>
    <row r="42" spans="1:21" x14ac:dyDescent="0.25">
      <c r="A42" s="1">
        <v>44880</v>
      </c>
      <c r="B42">
        <v>18362.75</v>
      </c>
      <c r="C42">
        <v>18427.95</v>
      </c>
      <c r="D42">
        <v>18282</v>
      </c>
      <c r="E42">
        <v>18403.400000000001</v>
      </c>
      <c r="F42">
        <f t="shared" si="0"/>
        <v>145.95000000000073</v>
      </c>
      <c r="G42">
        <f t="shared" si="4"/>
        <v>78.25</v>
      </c>
      <c r="H42">
        <f t="shared" si="5"/>
        <v>67.700000000000728</v>
      </c>
      <c r="I42">
        <f t="shared" si="2"/>
        <v>145.95000000000073</v>
      </c>
      <c r="J42">
        <f t="shared" si="6"/>
        <v>65.650000000001455</v>
      </c>
      <c r="K42">
        <f t="shared" si="3"/>
        <v>0</v>
      </c>
      <c r="L42">
        <f t="shared" ref="L42:N42" si="38">SUM(I29:I42)</f>
        <v>2452.3999999999942</v>
      </c>
      <c r="M42">
        <f t="shared" si="38"/>
        <v>1014.25</v>
      </c>
      <c r="N42">
        <f t="shared" si="38"/>
        <v>319.45000000000073</v>
      </c>
      <c r="O42" s="7">
        <f t="shared" si="12"/>
        <v>41.357445767411619</v>
      </c>
      <c r="P42" s="7">
        <f t="shared" si="7"/>
        <v>13.026015331919814</v>
      </c>
      <c r="Q42" s="7">
        <f t="shared" si="8"/>
        <v>28.331430435491804</v>
      </c>
      <c r="R42" s="7">
        <f t="shared" si="9"/>
        <v>54.383461099331434</v>
      </c>
      <c r="S42" s="7">
        <f t="shared" si="10"/>
        <v>52.095673689735236</v>
      </c>
      <c r="T42" s="7">
        <f t="shared" si="26"/>
        <v>46.492229265785326</v>
      </c>
      <c r="U42" s="6" t="str">
        <f t="shared" si="1"/>
        <v>Strong</v>
      </c>
    </row>
    <row r="43" spans="1:21" x14ac:dyDescent="0.25">
      <c r="A43" s="1">
        <v>44881</v>
      </c>
      <c r="B43">
        <v>18398.25</v>
      </c>
      <c r="C43">
        <v>18442.150000000001</v>
      </c>
      <c r="D43">
        <v>18344.150000000001</v>
      </c>
      <c r="E43">
        <v>18409.650000000001</v>
      </c>
      <c r="F43">
        <f t="shared" si="0"/>
        <v>98</v>
      </c>
      <c r="G43">
        <f t="shared" si="4"/>
        <v>38.75</v>
      </c>
      <c r="H43">
        <f t="shared" si="5"/>
        <v>59.25</v>
      </c>
      <c r="I43">
        <f t="shared" si="2"/>
        <v>98</v>
      </c>
      <c r="J43">
        <f t="shared" si="6"/>
        <v>14.200000000000728</v>
      </c>
      <c r="K43">
        <f t="shared" si="3"/>
        <v>0</v>
      </c>
      <c r="L43">
        <f t="shared" ref="L43:N43" si="39">SUM(I30:I43)</f>
        <v>2349.1499999999942</v>
      </c>
      <c r="M43">
        <f t="shared" si="39"/>
        <v>921.05000000000291</v>
      </c>
      <c r="N43">
        <f t="shared" si="39"/>
        <v>319.45000000000073</v>
      </c>
      <c r="O43" s="7">
        <f t="shared" si="12"/>
        <v>39.207798565438786</v>
      </c>
      <c r="P43" s="7">
        <f t="shared" si="7"/>
        <v>13.598535640550901</v>
      </c>
      <c r="Q43" s="7">
        <f t="shared" si="8"/>
        <v>25.609262924887886</v>
      </c>
      <c r="R43" s="7">
        <f t="shared" si="9"/>
        <v>52.806334205989685</v>
      </c>
      <c r="S43" s="7">
        <f t="shared" si="10"/>
        <v>48.496573962112095</v>
      </c>
      <c r="T43" s="7">
        <f t="shared" si="26"/>
        <v>47.450161830139741</v>
      </c>
      <c r="U43" s="6" t="str">
        <f t="shared" si="1"/>
        <v>Strong</v>
      </c>
    </row>
    <row r="44" spans="1:21" x14ac:dyDescent="0.25">
      <c r="A44" s="1">
        <v>44882</v>
      </c>
      <c r="B44">
        <v>18358.7</v>
      </c>
      <c r="C44">
        <v>18417.599999999999</v>
      </c>
      <c r="D44">
        <v>18312.95</v>
      </c>
      <c r="E44">
        <v>18343.900000000001</v>
      </c>
      <c r="F44">
        <f t="shared" si="0"/>
        <v>104.64999999999782</v>
      </c>
      <c r="G44">
        <f t="shared" si="4"/>
        <v>7.9499999999970896</v>
      </c>
      <c r="H44">
        <f t="shared" si="5"/>
        <v>96.700000000000728</v>
      </c>
      <c r="I44">
        <f t="shared" si="2"/>
        <v>104.64999999999782</v>
      </c>
      <c r="J44">
        <f t="shared" si="6"/>
        <v>0</v>
      </c>
      <c r="K44">
        <f t="shared" si="3"/>
        <v>31.200000000000728</v>
      </c>
      <c r="L44">
        <f t="shared" ref="L44:N44" si="40">SUM(I31:I44)</f>
        <v>2279.299999999992</v>
      </c>
      <c r="M44">
        <f t="shared" si="40"/>
        <v>921.05000000000291</v>
      </c>
      <c r="N44">
        <f t="shared" si="40"/>
        <v>280.25</v>
      </c>
      <c r="O44" s="7">
        <f t="shared" si="12"/>
        <v>40.409336199710708</v>
      </c>
      <c r="P44" s="7">
        <f t="shared" si="7"/>
        <v>12.295441582942175</v>
      </c>
      <c r="Q44" s="7">
        <f t="shared" si="8"/>
        <v>28.113894616768533</v>
      </c>
      <c r="R44" s="7">
        <f t="shared" si="9"/>
        <v>52.704777782652883</v>
      </c>
      <c r="S44" s="7">
        <f t="shared" si="10"/>
        <v>53.342212603013515</v>
      </c>
      <c r="T44" s="7">
        <f t="shared" si="26"/>
        <v>49.802206795468052</v>
      </c>
      <c r="U44" s="6" t="str">
        <f t="shared" si="1"/>
        <v>Strong</v>
      </c>
    </row>
    <row r="45" spans="1:21" x14ac:dyDescent="0.25">
      <c r="A45" s="1">
        <v>44883</v>
      </c>
      <c r="B45">
        <v>18382.95</v>
      </c>
      <c r="C45">
        <v>18394.599999999999</v>
      </c>
      <c r="D45">
        <v>18209.8</v>
      </c>
      <c r="E45">
        <v>18307.650000000001</v>
      </c>
      <c r="F45">
        <f t="shared" si="0"/>
        <v>184.79999999999927</v>
      </c>
      <c r="G45">
        <f t="shared" si="4"/>
        <v>50.69999999999709</v>
      </c>
      <c r="H45">
        <f t="shared" si="5"/>
        <v>134.10000000000218</v>
      </c>
      <c r="I45">
        <f t="shared" si="2"/>
        <v>184.79999999999927</v>
      </c>
      <c r="J45">
        <f t="shared" si="6"/>
        <v>0</v>
      </c>
      <c r="K45">
        <f t="shared" si="3"/>
        <v>103.15000000000146</v>
      </c>
      <c r="L45">
        <f t="shared" ref="L45:N45" si="41">SUM(I32:I45)</f>
        <v>2334.6999999999898</v>
      </c>
      <c r="M45">
        <f t="shared" si="41"/>
        <v>921.05000000000291</v>
      </c>
      <c r="N45">
        <f t="shared" si="41"/>
        <v>383.40000000000146</v>
      </c>
      <c r="O45" s="7">
        <f t="shared" si="12"/>
        <v>39.45046472780259</v>
      </c>
      <c r="P45" s="7">
        <f t="shared" si="7"/>
        <v>16.421810082666003</v>
      </c>
      <c r="Q45" s="7">
        <f t="shared" si="8"/>
        <v>23.028654645136587</v>
      </c>
      <c r="R45" s="7">
        <f t="shared" si="9"/>
        <v>55.872274810468596</v>
      </c>
      <c r="S45" s="7">
        <f t="shared" si="10"/>
        <v>41.216604699298529</v>
      </c>
      <c r="T45" s="7">
        <f t="shared" si="26"/>
        <v>51.921241696028218</v>
      </c>
      <c r="U45" s="6" t="str">
        <f t="shared" si="1"/>
        <v>Strong</v>
      </c>
    </row>
    <row r="46" spans="1:21" x14ac:dyDescent="0.25">
      <c r="A46" s="1">
        <v>44886</v>
      </c>
      <c r="B46">
        <v>18246.400000000001</v>
      </c>
      <c r="C46">
        <v>18262.3</v>
      </c>
      <c r="D46">
        <v>18133.349999999999</v>
      </c>
      <c r="E46">
        <v>18159.95</v>
      </c>
      <c r="F46">
        <f t="shared" si="0"/>
        <v>128.95000000000073</v>
      </c>
      <c r="G46">
        <f t="shared" si="4"/>
        <v>45.350000000002183</v>
      </c>
      <c r="H46">
        <f t="shared" si="5"/>
        <v>174.30000000000291</v>
      </c>
      <c r="I46">
        <f t="shared" si="2"/>
        <v>174.30000000000291</v>
      </c>
      <c r="J46">
        <f t="shared" si="6"/>
        <v>0</v>
      </c>
      <c r="K46">
        <f t="shared" si="3"/>
        <v>76.450000000000728</v>
      </c>
      <c r="L46">
        <f t="shared" ref="L46:N46" si="42">SUM(I33:I46)</f>
        <v>2393.799999999992</v>
      </c>
      <c r="M46">
        <f t="shared" si="42"/>
        <v>866.05000000000291</v>
      </c>
      <c r="N46">
        <f t="shared" si="42"/>
        <v>459.85000000000218</v>
      </c>
      <c r="O46" s="7">
        <f t="shared" si="12"/>
        <v>36.17887877015648</v>
      </c>
      <c r="P46" s="7">
        <f t="shared" si="7"/>
        <v>19.210042610076187</v>
      </c>
      <c r="Q46" s="7">
        <f t="shared" si="8"/>
        <v>16.968836160080293</v>
      </c>
      <c r="R46" s="7">
        <f t="shared" si="9"/>
        <v>55.388921380232667</v>
      </c>
      <c r="S46" s="7">
        <f t="shared" si="10"/>
        <v>30.635794554642064</v>
      </c>
      <c r="T46" s="7">
        <f t="shared" si="26"/>
        <v>52.360259421408713</v>
      </c>
      <c r="U46" s="6" t="str">
        <f t="shared" si="1"/>
        <v>Strong</v>
      </c>
    </row>
    <row r="47" spans="1:21" x14ac:dyDescent="0.25">
      <c r="A47" s="1">
        <v>44887</v>
      </c>
      <c r="B47">
        <v>18179.150000000001</v>
      </c>
      <c r="C47">
        <v>18261.849999999999</v>
      </c>
      <c r="D47">
        <v>18137.7</v>
      </c>
      <c r="E47">
        <v>18244.2</v>
      </c>
      <c r="F47">
        <f t="shared" si="0"/>
        <v>124.14999999999782</v>
      </c>
      <c r="G47">
        <f t="shared" si="4"/>
        <v>101.89999999999782</v>
      </c>
      <c r="H47">
        <f t="shared" si="5"/>
        <v>22.25</v>
      </c>
      <c r="I47">
        <f t="shared" si="2"/>
        <v>124.14999999999782</v>
      </c>
      <c r="J47">
        <f t="shared" si="6"/>
        <v>0</v>
      </c>
      <c r="K47">
        <f t="shared" si="3"/>
        <v>0</v>
      </c>
      <c r="L47">
        <f t="shared" ref="L47:N47" si="43">SUM(I34:I47)</f>
        <v>2281.9499999999898</v>
      </c>
      <c r="M47">
        <f t="shared" si="43"/>
        <v>682.15000000000509</v>
      </c>
      <c r="N47">
        <f t="shared" si="43"/>
        <v>459.85000000000218</v>
      </c>
      <c r="O47" s="7">
        <f t="shared" si="12"/>
        <v>29.893293016937626</v>
      </c>
      <c r="P47" s="7">
        <f t="shared" si="7"/>
        <v>20.151624706939426</v>
      </c>
      <c r="Q47" s="7">
        <f t="shared" si="8"/>
        <v>9.7416683099982002</v>
      </c>
      <c r="R47" s="7">
        <f t="shared" si="9"/>
        <v>50.044917723877049</v>
      </c>
      <c r="S47" s="7">
        <f t="shared" si="10"/>
        <v>19.465849387040414</v>
      </c>
      <c r="T47" s="7">
        <f t="shared" si="26"/>
        <v>50.137532334377134</v>
      </c>
      <c r="U47" s="6" t="str">
        <f t="shared" si="1"/>
        <v>Strong</v>
      </c>
    </row>
    <row r="48" spans="1:21" x14ac:dyDescent="0.25">
      <c r="A48" s="1">
        <v>44888</v>
      </c>
      <c r="B48">
        <v>18325.2</v>
      </c>
      <c r="C48">
        <v>18325.400000000001</v>
      </c>
      <c r="D48">
        <v>18246</v>
      </c>
      <c r="E48">
        <v>18267.25</v>
      </c>
      <c r="F48">
        <f t="shared" si="0"/>
        <v>79.400000000001455</v>
      </c>
      <c r="G48">
        <f t="shared" si="4"/>
        <v>81.200000000000728</v>
      </c>
      <c r="H48">
        <f t="shared" si="5"/>
        <v>1.7999999999992724</v>
      </c>
      <c r="I48">
        <f t="shared" si="2"/>
        <v>81.200000000000728</v>
      </c>
      <c r="J48">
        <f t="shared" si="6"/>
        <v>63.55000000000291</v>
      </c>
      <c r="K48">
        <f t="shared" si="3"/>
        <v>0</v>
      </c>
      <c r="L48">
        <f t="shared" ref="L48:N48" si="44">SUM(I35:I48)</f>
        <v>2199.549999999992</v>
      </c>
      <c r="M48">
        <f t="shared" si="44"/>
        <v>592.700000000008</v>
      </c>
      <c r="N48">
        <f t="shared" si="44"/>
        <v>459.85000000000218</v>
      </c>
      <c r="O48" s="7">
        <f t="shared" si="12"/>
        <v>26.946420858812491</v>
      </c>
      <c r="P48" s="7">
        <f t="shared" si="7"/>
        <v>20.906549066854758</v>
      </c>
      <c r="Q48" s="7">
        <f t="shared" si="8"/>
        <v>6.0398717919577329</v>
      </c>
      <c r="R48" s="7">
        <f t="shared" si="9"/>
        <v>47.852969925667253</v>
      </c>
      <c r="S48" s="7">
        <f t="shared" si="10"/>
        <v>12.621728183934685</v>
      </c>
      <c r="T48" s="7">
        <f t="shared" si="26"/>
        <v>46.060946303306821</v>
      </c>
      <c r="U48" s="6" t="str">
        <f t="shared" si="1"/>
        <v>Strong</v>
      </c>
    </row>
    <row r="49" spans="1:21" x14ac:dyDescent="0.25">
      <c r="A49" s="1">
        <v>44889</v>
      </c>
      <c r="B49">
        <v>18326.099999999999</v>
      </c>
      <c r="C49">
        <v>18529.7</v>
      </c>
      <c r="D49">
        <v>18294.25</v>
      </c>
      <c r="E49">
        <v>18484.099999999999</v>
      </c>
      <c r="F49">
        <f t="shared" si="0"/>
        <v>235.45000000000073</v>
      </c>
      <c r="G49">
        <f t="shared" si="4"/>
        <v>262.45000000000073</v>
      </c>
      <c r="H49">
        <f t="shared" si="5"/>
        <v>27</v>
      </c>
      <c r="I49">
        <f t="shared" si="2"/>
        <v>262.45000000000073</v>
      </c>
      <c r="J49">
        <f t="shared" si="6"/>
        <v>204.29999999999927</v>
      </c>
      <c r="K49">
        <f t="shared" si="3"/>
        <v>0</v>
      </c>
      <c r="L49">
        <f t="shared" ref="L49:N49" si="45">SUM(I36:I49)</f>
        <v>2331.8999999999942</v>
      </c>
      <c r="M49">
        <f t="shared" si="45"/>
        <v>797.00000000000728</v>
      </c>
      <c r="N49">
        <f t="shared" si="45"/>
        <v>448.35000000000218</v>
      </c>
      <c r="O49" s="7">
        <f t="shared" si="12"/>
        <v>34.178137999056965</v>
      </c>
      <c r="P49" s="7">
        <f t="shared" si="7"/>
        <v>19.226810755178324</v>
      </c>
      <c r="Q49" s="7">
        <f t="shared" si="8"/>
        <v>14.951327243878641</v>
      </c>
      <c r="R49" s="7">
        <f t="shared" si="9"/>
        <v>53.404948754235292</v>
      </c>
      <c r="S49" s="7">
        <f t="shared" si="10"/>
        <v>27.996145661862325</v>
      </c>
      <c r="T49" s="7">
        <f t="shared" si="26"/>
        <v>43.189052469826827</v>
      </c>
      <c r="U49" s="6" t="str">
        <f t="shared" si="1"/>
        <v>Strong</v>
      </c>
    </row>
    <row r="50" spans="1:21" x14ac:dyDescent="0.25">
      <c r="A50" s="1">
        <v>44890</v>
      </c>
      <c r="B50">
        <v>18528.45</v>
      </c>
      <c r="C50">
        <v>18534.900000000001</v>
      </c>
      <c r="D50">
        <v>18445.099999999999</v>
      </c>
      <c r="E50">
        <v>18512.75</v>
      </c>
      <c r="F50">
        <f t="shared" si="0"/>
        <v>89.80000000000291</v>
      </c>
      <c r="G50">
        <f t="shared" si="4"/>
        <v>50.80000000000291</v>
      </c>
      <c r="H50">
        <f t="shared" si="5"/>
        <v>39</v>
      </c>
      <c r="I50">
        <f t="shared" si="2"/>
        <v>89.80000000000291</v>
      </c>
      <c r="J50">
        <f t="shared" si="6"/>
        <v>5.2000000000007276</v>
      </c>
      <c r="K50">
        <f t="shared" si="3"/>
        <v>0</v>
      </c>
      <c r="L50">
        <f t="shared" ref="L50:N50" si="46">SUM(I37:I50)</f>
        <v>2274.5999999999985</v>
      </c>
      <c r="M50">
        <f t="shared" si="46"/>
        <v>802.200000000008</v>
      </c>
      <c r="N50">
        <f t="shared" si="46"/>
        <v>358.90000000000146</v>
      </c>
      <c r="O50" s="7">
        <f t="shared" si="12"/>
        <v>35.267739382748992</v>
      </c>
      <c r="P50" s="7">
        <f t="shared" si="7"/>
        <v>15.778598434889727</v>
      </c>
      <c r="Q50" s="7">
        <f t="shared" si="8"/>
        <v>19.489140947859266</v>
      </c>
      <c r="R50" s="7">
        <f t="shared" si="9"/>
        <v>51.046337817638715</v>
      </c>
      <c r="S50" s="7">
        <f t="shared" si="10"/>
        <v>38.179312720696146</v>
      </c>
      <c r="T50" s="7">
        <f t="shared" si="26"/>
        <v>41.788246106041925</v>
      </c>
      <c r="U50" s="6" t="str">
        <f t="shared" si="1"/>
        <v>Strong</v>
      </c>
    </row>
    <row r="51" spans="1:21" x14ac:dyDescent="0.25">
      <c r="A51" s="1">
        <v>44893</v>
      </c>
      <c r="B51">
        <v>18430.55</v>
      </c>
      <c r="C51">
        <v>18614.25</v>
      </c>
      <c r="D51">
        <v>18365.599999999999</v>
      </c>
      <c r="E51">
        <v>18562.75</v>
      </c>
      <c r="F51">
        <f t="shared" si="0"/>
        <v>248.65000000000146</v>
      </c>
      <c r="G51">
        <f t="shared" si="4"/>
        <v>101.5</v>
      </c>
      <c r="H51">
        <f t="shared" si="5"/>
        <v>147.15000000000146</v>
      </c>
      <c r="I51">
        <f t="shared" si="2"/>
        <v>248.65000000000146</v>
      </c>
      <c r="J51">
        <f t="shared" si="6"/>
        <v>0</v>
      </c>
      <c r="K51">
        <f t="shared" si="3"/>
        <v>79.5</v>
      </c>
      <c r="L51">
        <f t="shared" ref="L51:N51" si="47">SUM(I38:I51)</f>
        <v>2405.3000000000029</v>
      </c>
      <c r="M51">
        <f t="shared" si="47"/>
        <v>773.40000000000873</v>
      </c>
      <c r="N51">
        <f t="shared" si="47"/>
        <v>438.40000000000146</v>
      </c>
      <c r="O51" s="7">
        <f t="shared" si="12"/>
        <v>32.153993264873726</v>
      </c>
      <c r="P51" s="7">
        <f t="shared" si="7"/>
        <v>18.226416663202134</v>
      </c>
      <c r="Q51" s="7">
        <f t="shared" si="8"/>
        <v>13.927576601671593</v>
      </c>
      <c r="R51" s="7">
        <f t="shared" si="9"/>
        <v>50.380409928075863</v>
      </c>
      <c r="S51" s="7">
        <f t="shared" si="10"/>
        <v>27.64482587885826</v>
      </c>
      <c r="T51" s="7">
        <f t="shared" si="26"/>
        <v>40.161524402440783</v>
      </c>
      <c r="U51" s="6" t="str">
        <f t="shared" si="1"/>
        <v>Strong</v>
      </c>
    </row>
    <row r="52" spans="1:21" x14ac:dyDescent="0.25">
      <c r="A52" s="1">
        <v>44894</v>
      </c>
      <c r="B52">
        <v>18552.45</v>
      </c>
      <c r="C52">
        <v>18678.099999999999</v>
      </c>
      <c r="D52">
        <v>18552.150000000001</v>
      </c>
      <c r="E52">
        <v>18618.05</v>
      </c>
      <c r="F52">
        <f t="shared" si="0"/>
        <v>125.94999999999709</v>
      </c>
      <c r="G52">
        <f t="shared" si="4"/>
        <v>115.34999999999854</v>
      </c>
      <c r="H52">
        <f t="shared" si="5"/>
        <v>10.599999999998545</v>
      </c>
      <c r="I52">
        <f t="shared" si="2"/>
        <v>125.94999999999709</v>
      </c>
      <c r="J52">
        <f t="shared" si="6"/>
        <v>63.849999999998545</v>
      </c>
      <c r="K52">
        <f t="shared" si="3"/>
        <v>0</v>
      </c>
      <c r="L52">
        <f t="shared" ref="L52:N52" si="48">SUM(I39:I52)</f>
        <v>2340.5</v>
      </c>
      <c r="M52">
        <f t="shared" si="48"/>
        <v>716.85000000000582</v>
      </c>
      <c r="N52">
        <f t="shared" si="48"/>
        <v>438.40000000000146</v>
      </c>
      <c r="O52" s="7">
        <f t="shared" si="12"/>
        <v>30.628070925016271</v>
      </c>
      <c r="P52" s="7">
        <f t="shared" si="7"/>
        <v>18.731040375988098</v>
      </c>
      <c r="Q52" s="7">
        <f t="shared" si="8"/>
        <v>11.897030549028173</v>
      </c>
      <c r="R52" s="7">
        <f t="shared" si="9"/>
        <v>49.359111301004368</v>
      </c>
      <c r="S52" s="7">
        <f t="shared" si="10"/>
        <v>24.103008006925137</v>
      </c>
      <c r="T52" s="7">
        <f t="shared" si="26"/>
        <v>37.318496602190415</v>
      </c>
      <c r="U52" s="6" t="str">
        <f t="shared" si="1"/>
        <v>Strong</v>
      </c>
    </row>
    <row r="53" spans="1:21" x14ac:dyDescent="0.25">
      <c r="A53" s="1">
        <v>44895</v>
      </c>
      <c r="B53">
        <v>18625.7</v>
      </c>
      <c r="C53">
        <v>18816.05</v>
      </c>
      <c r="D53">
        <v>18616.55</v>
      </c>
      <c r="E53">
        <v>18758.349999999999</v>
      </c>
      <c r="F53">
        <f t="shared" si="0"/>
        <v>199.5</v>
      </c>
      <c r="G53">
        <f t="shared" si="4"/>
        <v>198</v>
      </c>
      <c r="H53">
        <f t="shared" si="5"/>
        <v>1.5</v>
      </c>
      <c r="I53">
        <f t="shared" si="2"/>
        <v>199.5</v>
      </c>
      <c r="J53">
        <f t="shared" si="6"/>
        <v>137.95000000000073</v>
      </c>
      <c r="K53">
        <f t="shared" si="3"/>
        <v>0</v>
      </c>
      <c r="L53">
        <f t="shared" ref="L53:N53" si="49">SUM(I40:I53)</f>
        <v>2361.0999999999985</v>
      </c>
      <c r="M53">
        <f t="shared" si="49"/>
        <v>813.90000000000509</v>
      </c>
      <c r="N53">
        <f t="shared" si="49"/>
        <v>438.40000000000146</v>
      </c>
      <c r="O53" s="7">
        <f t="shared" si="12"/>
        <v>34.47122104104043</v>
      </c>
      <c r="P53" s="7">
        <f t="shared" si="7"/>
        <v>18.56761678878496</v>
      </c>
      <c r="Q53" s="7">
        <f t="shared" si="8"/>
        <v>15.903604252255469</v>
      </c>
      <c r="R53" s="7">
        <f t="shared" si="9"/>
        <v>53.03883782982539</v>
      </c>
      <c r="S53" s="7">
        <f t="shared" si="10"/>
        <v>29.984827916633535</v>
      </c>
      <c r="T53" s="7">
        <f t="shared" si="26"/>
        <v>35.27417422150063</v>
      </c>
      <c r="U53" s="6" t="str">
        <f t="shared" si="1"/>
        <v>Strong</v>
      </c>
    </row>
    <row r="54" spans="1:21" x14ac:dyDescent="0.25">
      <c r="A54" s="1">
        <v>44896</v>
      </c>
      <c r="B54">
        <v>18871.95</v>
      </c>
      <c r="C54">
        <v>18887.599999999999</v>
      </c>
      <c r="D54">
        <v>18778.2</v>
      </c>
      <c r="E54">
        <v>18812.5</v>
      </c>
      <c r="F54">
        <f t="shared" si="0"/>
        <v>109.39999999999782</v>
      </c>
      <c r="G54">
        <f t="shared" si="4"/>
        <v>129.25</v>
      </c>
      <c r="H54">
        <f t="shared" si="5"/>
        <v>19.850000000002183</v>
      </c>
      <c r="I54">
        <f t="shared" si="2"/>
        <v>129.25</v>
      </c>
      <c r="J54">
        <f t="shared" si="6"/>
        <v>71.549999999999272</v>
      </c>
      <c r="K54">
        <f t="shared" si="3"/>
        <v>0</v>
      </c>
      <c r="L54">
        <f t="shared" ref="L54:N54" si="50">SUM(I41:I54)</f>
        <v>2302.75</v>
      </c>
      <c r="M54">
        <f t="shared" si="50"/>
        <v>885.45000000000437</v>
      </c>
      <c r="N54">
        <f t="shared" si="50"/>
        <v>290.30000000000291</v>
      </c>
      <c r="O54" s="7">
        <f t="shared" si="12"/>
        <v>38.451851047660597</v>
      </c>
      <c r="P54" s="7">
        <f t="shared" si="7"/>
        <v>12.606665942894491</v>
      </c>
      <c r="Q54" s="7">
        <f t="shared" si="8"/>
        <v>25.845185104766106</v>
      </c>
      <c r="R54" s="7">
        <f t="shared" si="9"/>
        <v>51.058516990555091</v>
      </c>
      <c r="S54" s="7">
        <f t="shared" si="10"/>
        <v>50.618753986816735</v>
      </c>
      <c r="T54" s="7">
        <f t="shared" si="26"/>
        <v>36.372638460290368</v>
      </c>
      <c r="U54" s="6" t="str">
        <f t="shared" si="1"/>
        <v>Strong</v>
      </c>
    </row>
    <row r="55" spans="1:21" x14ac:dyDescent="0.25">
      <c r="A55" s="1">
        <v>44897</v>
      </c>
      <c r="B55">
        <v>18752.400000000001</v>
      </c>
      <c r="C55">
        <v>18781.95</v>
      </c>
      <c r="D55">
        <v>18639.2</v>
      </c>
      <c r="E55">
        <v>18696.099999999999</v>
      </c>
      <c r="F55">
        <f t="shared" si="0"/>
        <v>142.75</v>
      </c>
      <c r="G55">
        <f t="shared" si="4"/>
        <v>30.549999999999272</v>
      </c>
      <c r="H55">
        <f t="shared" si="5"/>
        <v>173.29999999999927</v>
      </c>
      <c r="I55">
        <f t="shared" si="2"/>
        <v>173.29999999999927</v>
      </c>
      <c r="J55">
        <f t="shared" si="6"/>
        <v>0</v>
      </c>
      <c r="K55">
        <f t="shared" si="3"/>
        <v>139</v>
      </c>
      <c r="L55">
        <f t="shared" ref="L55:N55" si="51">SUM(I42:I55)</f>
        <v>2141.9500000000007</v>
      </c>
      <c r="M55">
        <f t="shared" si="51"/>
        <v>626.25000000000364</v>
      </c>
      <c r="N55">
        <f t="shared" si="51"/>
        <v>429.30000000000291</v>
      </c>
      <c r="O55" s="7">
        <f t="shared" si="12"/>
        <v>29.237377156329675</v>
      </c>
      <c r="P55" s="7">
        <f t="shared" si="7"/>
        <v>20.042484651836073</v>
      </c>
      <c r="Q55" s="7">
        <f t="shared" si="8"/>
        <v>9.1948925044936018</v>
      </c>
      <c r="R55" s="7">
        <f t="shared" si="9"/>
        <v>49.279861808165748</v>
      </c>
      <c r="S55" s="7">
        <f t="shared" si="10"/>
        <v>18.65851925536446</v>
      </c>
      <c r="T55" s="7">
        <f t="shared" si="26"/>
        <v>33.932845036209514</v>
      </c>
      <c r="U55" s="6" t="str">
        <f t="shared" si="1"/>
        <v>Strong</v>
      </c>
    </row>
    <row r="56" spans="1:21" x14ac:dyDescent="0.25">
      <c r="A56" s="1">
        <v>44900</v>
      </c>
      <c r="B56">
        <v>18719.55</v>
      </c>
      <c r="C56">
        <v>18728.599999999999</v>
      </c>
      <c r="D56">
        <v>18591.349999999999</v>
      </c>
      <c r="E56">
        <v>18701.05</v>
      </c>
      <c r="F56">
        <f t="shared" si="0"/>
        <v>137.25</v>
      </c>
      <c r="G56">
        <f t="shared" si="4"/>
        <v>32.5</v>
      </c>
      <c r="H56">
        <f t="shared" si="5"/>
        <v>104.75</v>
      </c>
      <c r="I56">
        <f t="shared" si="2"/>
        <v>137.25</v>
      </c>
      <c r="J56">
        <f t="shared" si="6"/>
        <v>0</v>
      </c>
      <c r="K56">
        <f t="shared" si="3"/>
        <v>47.850000000002183</v>
      </c>
      <c r="L56">
        <f t="shared" ref="L56:N56" si="52">SUM(I43:I56)</f>
        <v>2133.25</v>
      </c>
      <c r="M56">
        <f t="shared" si="52"/>
        <v>560.60000000000218</v>
      </c>
      <c r="N56">
        <f t="shared" si="52"/>
        <v>477.15000000000509</v>
      </c>
      <c r="O56" s="7">
        <f t="shared" si="12"/>
        <v>26.279151529356721</v>
      </c>
      <c r="P56" s="7">
        <f t="shared" si="7"/>
        <v>22.36727997187414</v>
      </c>
      <c r="Q56" s="7">
        <f t="shared" si="8"/>
        <v>3.9118715574825806</v>
      </c>
      <c r="R56" s="7">
        <f t="shared" si="9"/>
        <v>48.646431501230865</v>
      </c>
      <c r="S56" s="7">
        <f t="shared" si="10"/>
        <v>8.0414357986024143</v>
      </c>
      <c r="T56" s="7">
        <f t="shared" si="26"/>
        <v>30.786113758271455</v>
      </c>
      <c r="U56" s="6" t="str">
        <f t="shared" si="1"/>
        <v>Strong</v>
      </c>
    </row>
    <row r="57" spans="1:21" x14ac:dyDescent="0.25">
      <c r="A57" s="1">
        <v>44901</v>
      </c>
      <c r="B57">
        <v>18600.650000000001</v>
      </c>
      <c r="C57">
        <v>18654.900000000001</v>
      </c>
      <c r="D57">
        <v>18577.900000000001</v>
      </c>
      <c r="E57">
        <v>18642.75</v>
      </c>
      <c r="F57">
        <f t="shared" si="0"/>
        <v>77</v>
      </c>
      <c r="G57">
        <f t="shared" si="4"/>
        <v>46.149999999997817</v>
      </c>
      <c r="H57">
        <f t="shared" si="5"/>
        <v>123.14999999999782</v>
      </c>
      <c r="I57">
        <f t="shared" si="2"/>
        <v>123.14999999999782</v>
      </c>
      <c r="J57">
        <f t="shared" si="6"/>
        <v>0</v>
      </c>
      <c r="K57">
        <f t="shared" si="3"/>
        <v>13.44999999999709</v>
      </c>
      <c r="L57">
        <f t="shared" ref="L57:N57" si="53">SUM(I44:I57)</f>
        <v>2158.3999999999978</v>
      </c>
      <c r="M57">
        <f t="shared" si="53"/>
        <v>546.40000000000146</v>
      </c>
      <c r="N57">
        <f t="shared" si="53"/>
        <v>490.60000000000218</v>
      </c>
      <c r="O57" s="7">
        <f t="shared" si="12"/>
        <v>25.315048183839973</v>
      </c>
      <c r="P57" s="7">
        <f t="shared" si="7"/>
        <v>22.729799851742154</v>
      </c>
      <c r="Q57" s="7">
        <f t="shared" si="8"/>
        <v>2.5852483320978195</v>
      </c>
      <c r="R57" s="7">
        <f t="shared" si="9"/>
        <v>48.044848035582127</v>
      </c>
      <c r="S57" s="7">
        <f t="shared" si="10"/>
        <v>5.3809064609449457</v>
      </c>
      <c r="T57" s="7">
        <f t="shared" si="26"/>
        <v>27.706423222473802</v>
      </c>
      <c r="U57" s="6" t="str">
        <f t="shared" si="1"/>
        <v>Weak</v>
      </c>
    </row>
    <row r="58" spans="1:21" x14ac:dyDescent="0.25">
      <c r="A58" s="1">
        <v>44902</v>
      </c>
      <c r="B58">
        <v>18638.849999999999</v>
      </c>
      <c r="C58">
        <v>18668.3</v>
      </c>
      <c r="D58">
        <v>18528.400000000001</v>
      </c>
      <c r="E58">
        <v>18560.5</v>
      </c>
      <c r="F58">
        <f t="shared" si="0"/>
        <v>139.89999999999782</v>
      </c>
      <c r="G58">
        <f t="shared" si="4"/>
        <v>25.549999999999272</v>
      </c>
      <c r="H58">
        <f t="shared" si="5"/>
        <v>114.34999999999854</v>
      </c>
      <c r="I58">
        <f t="shared" si="2"/>
        <v>139.89999999999782</v>
      </c>
      <c r="J58">
        <f t="shared" si="6"/>
        <v>0</v>
      </c>
      <c r="K58">
        <f t="shared" si="3"/>
        <v>49.5</v>
      </c>
      <c r="L58">
        <f t="shared" ref="L58:N58" si="54">SUM(I45:I58)</f>
        <v>2193.6499999999978</v>
      </c>
      <c r="M58">
        <f t="shared" si="54"/>
        <v>546.40000000000146</v>
      </c>
      <c r="N58">
        <f t="shared" si="54"/>
        <v>508.90000000000146</v>
      </c>
      <c r="O58" s="7">
        <f t="shared" si="12"/>
        <v>24.90825792628733</v>
      </c>
      <c r="P58" s="7">
        <f t="shared" si="7"/>
        <v>23.19877829188804</v>
      </c>
      <c r="Q58" s="7">
        <f t="shared" si="8"/>
        <v>1.7094796343992904</v>
      </c>
      <c r="R58" s="7">
        <f t="shared" si="9"/>
        <v>48.107036218175367</v>
      </c>
      <c r="S58" s="7">
        <f t="shared" si="10"/>
        <v>3.5534918980384624</v>
      </c>
      <c r="T58" s="7">
        <f t="shared" si="26"/>
        <v>24.150086029261299</v>
      </c>
      <c r="U58" s="6" t="str">
        <f t="shared" si="1"/>
        <v>Weak</v>
      </c>
    </row>
    <row r="59" spans="1:21" x14ac:dyDescent="0.25">
      <c r="A59" s="1">
        <v>44903</v>
      </c>
      <c r="B59">
        <v>18570.849999999999</v>
      </c>
      <c r="C59">
        <v>18625</v>
      </c>
      <c r="D59">
        <v>18536.95</v>
      </c>
      <c r="E59">
        <v>18609.349999999999</v>
      </c>
      <c r="F59">
        <f t="shared" si="0"/>
        <v>88.049999999999272</v>
      </c>
      <c r="G59">
        <f t="shared" si="4"/>
        <v>64.5</v>
      </c>
      <c r="H59">
        <f t="shared" si="5"/>
        <v>23.549999999999272</v>
      </c>
      <c r="I59">
        <f t="shared" si="2"/>
        <v>88.049999999999272</v>
      </c>
      <c r="J59">
        <f t="shared" si="6"/>
        <v>0</v>
      </c>
      <c r="K59">
        <f t="shared" si="3"/>
        <v>0</v>
      </c>
      <c r="L59">
        <f t="shared" ref="L59:N59" si="55">SUM(I46:I59)</f>
        <v>2096.8999999999978</v>
      </c>
      <c r="M59">
        <f t="shared" si="55"/>
        <v>546.40000000000146</v>
      </c>
      <c r="N59">
        <f t="shared" si="55"/>
        <v>405.75</v>
      </c>
      <c r="O59" s="7">
        <f t="shared" si="12"/>
        <v>26.057513472268685</v>
      </c>
      <c r="P59" s="7">
        <f t="shared" si="7"/>
        <v>19.349992846583071</v>
      </c>
      <c r="Q59" s="7">
        <f t="shared" si="8"/>
        <v>6.7075206256856141</v>
      </c>
      <c r="R59" s="7">
        <f t="shared" si="9"/>
        <v>45.407506318851759</v>
      </c>
      <c r="S59" s="7">
        <f t="shared" si="10"/>
        <v>14.771832169301188</v>
      </c>
      <c r="T59" s="7">
        <f t="shared" si="26"/>
        <v>22.261173705690062</v>
      </c>
      <c r="U59" s="6" t="str">
        <f t="shared" si="1"/>
        <v>Weak</v>
      </c>
    </row>
    <row r="60" spans="1:21" x14ac:dyDescent="0.25">
      <c r="A60" s="1">
        <v>44904</v>
      </c>
      <c r="B60">
        <v>18662.400000000001</v>
      </c>
      <c r="C60">
        <v>18664.7</v>
      </c>
      <c r="D60">
        <v>18410.099999999999</v>
      </c>
      <c r="E60">
        <v>18496.599999999999</v>
      </c>
      <c r="F60">
        <f t="shared" si="0"/>
        <v>254.60000000000218</v>
      </c>
      <c r="G60">
        <f t="shared" si="4"/>
        <v>55.350000000002183</v>
      </c>
      <c r="H60">
        <f t="shared" si="5"/>
        <v>199.25</v>
      </c>
      <c r="I60">
        <f t="shared" si="2"/>
        <v>254.60000000000218</v>
      </c>
      <c r="J60">
        <f t="shared" si="6"/>
        <v>0</v>
      </c>
      <c r="K60">
        <f t="shared" si="3"/>
        <v>126.85000000000218</v>
      </c>
      <c r="L60">
        <f t="shared" ref="L60:N60" si="56">SUM(I47:I60)</f>
        <v>2177.1999999999971</v>
      </c>
      <c r="M60">
        <f t="shared" si="56"/>
        <v>546.40000000000146</v>
      </c>
      <c r="N60">
        <f t="shared" si="56"/>
        <v>456.15000000000146</v>
      </c>
      <c r="O60" s="7">
        <f t="shared" si="12"/>
        <v>25.096454161308202</v>
      </c>
      <c r="P60" s="7">
        <f t="shared" si="7"/>
        <v>20.951221752709998</v>
      </c>
      <c r="Q60" s="7">
        <f t="shared" si="8"/>
        <v>4.1452324085982042</v>
      </c>
      <c r="R60" s="7">
        <f t="shared" si="9"/>
        <v>46.0476759140182</v>
      </c>
      <c r="S60" s="7">
        <f t="shared" si="10"/>
        <v>9.0020447857961905</v>
      </c>
      <c r="T60" s="7">
        <f t="shared" si="26"/>
        <v>20.715905865058215</v>
      </c>
      <c r="U60" s="6" t="str">
        <f t="shared" si="1"/>
        <v>Weak</v>
      </c>
    </row>
    <row r="61" spans="1:21" x14ac:dyDescent="0.25">
      <c r="A61" s="1">
        <v>44907</v>
      </c>
      <c r="B61">
        <v>18402.150000000001</v>
      </c>
      <c r="C61">
        <v>18521.55</v>
      </c>
      <c r="D61">
        <v>18345.7</v>
      </c>
      <c r="E61">
        <v>18497.150000000001</v>
      </c>
      <c r="F61">
        <f t="shared" si="0"/>
        <v>175.84999999999854</v>
      </c>
      <c r="G61">
        <f t="shared" si="4"/>
        <v>24.950000000000728</v>
      </c>
      <c r="H61">
        <f t="shared" si="5"/>
        <v>150.89999999999782</v>
      </c>
      <c r="I61">
        <f t="shared" si="2"/>
        <v>175.84999999999854</v>
      </c>
      <c r="J61">
        <f t="shared" si="6"/>
        <v>0</v>
      </c>
      <c r="K61">
        <f t="shared" si="3"/>
        <v>64.399999999997817</v>
      </c>
      <c r="L61">
        <f t="shared" ref="L61:N61" si="57">SUM(I48:I61)</f>
        <v>2228.8999999999978</v>
      </c>
      <c r="M61">
        <f t="shared" si="57"/>
        <v>546.40000000000146</v>
      </c>
      <c r="N61">
        <f t="shared" si="57"/>
        <v>520.54999999999927</v>
      </c>
      <c r="O61" s="7">
        <f t="shared" si="12"/>
        <v>24.514334425052805</v>
      </c>
      <c r="P61" s="7">
        <f t="shared" si="7"/>
        <v>23.354569518596609</v>
      </c>
      <c r="Q61" s="7">
        <f t="shared" si="8"/>
        <v>1.1597649064561963</v>
      </c>
      <c r="R61" s="7">
        <f t="shared" si="9"/>
        <v>47.868903943649414</v>
      </c>
      <c r="S61" s="7">
        <f t="shared" si="10"/>
        <v>2.4227939453584626</v>
      </c>
      <c r="T61" s="7">
        <f t="shared" si="26"/>
        <v>19.498544762080929</v>
      </c>
      <c r="U61" s="6" t="str">
        <f t="shared" si="1"/>
        <v>Weak</v>
      </c>
    </row>
    <row r="62" spans="1:21" x14ac:dyDescent="0.25">
      <c r="A62" s="1">
        <v>44908</v>
      </c>
      <c r="B62">
        <v>18524.400000000001</v>
      </c>
      <c r="C62">
        <v>18617.25</v>
      </c>
      <c r="D62">
        <v>18490.2</v>
      </c>
      <c r="E62">
        <v>18608</v>
      </c>
      <c r="F62">
        <f t="shared" si="0"/>
        <v>127.04999999999927</v>
      </c>
      <c r="G62">
        <f t="shared" si="4"/>
        <v>120.09999999999854</v>
      </c>
      <c r="H62">
        <f t="shared" si="5"/>
        <v>6.9500000000007276</v>
      </c>
      <c r="I62">
        <f t="shared" si="2"/>
        <v>127.04999999999927</v>
      </c>
      <c r="J62">
        <f t="shared" si="6"/>
        <v>95.700000000000728</v>
      </c>
      <c r="K62">
        <f t="shared" si="3"/>
        <v>0</v>
      </c>
      <c r="L62">
        <f t="shared" ref="L62:N62" si="58">SUM(I49:I62)</f>
        <v>2274.7499999999964</v>
      </c>
      <c r="M62">
        <f t="shared" si="58"/>
        <v>578.54999999999927</v>
      </c>
      <c r="N62">
        <f t="shared" si="58"/>
        <v>520.54999999999927</v>
      </c>
      <c r="O62" s="7">
        <f t="shared" si="12"/>
        <v>25.433564127926157</v>
      </c>
      <c r="P62" s="7">
        <f t="shared" si="7"/>
        <v>22.88383338828443</v>
      </c>
      <c r="Q62" s="7">
        <f t="shared" si="8"/>
        <v>2.5497307396417277</v>
      </c>
      <c r="R62" s="7">
        <f t="shared" si="9"/>
        <v>48.31739751621059</v>
      </c>
      <c r="S62" s="7">
        <f t="shared" si="10"/>
        <v>5.2770448548812823</v>
      </c>
      <c r="T62" s="7">
        <f t="shared" si="26"/>
        <v>18.973924524291398</v>
      </c>
      <c r="U62" s="6" t="str">
        <f t="shared" si="1"/>
        <v>Weak</v>
      </c>
    </row>
    <row r="63" spans="1:21" x14ac:dyDescent="0.25">
      <c r="A63" s="1">
        <v>44909</v>
      </c>
      <c r="B63">
        <v>18671.25</v>
      </c>
      <c r="C63">
        <v>18696.099999999999</v>
      </c>
      <c r="D63">
        <v>18632.900000000001</v>
      </c>
      <c r="E63">
        <v>18660.3</v>
      </c>
      <c r="F63">
        <f t="shared" si="0"/>
        <v>63.19999999999709</v>
      </c>
      <c r="G63">
        <f t="shared" si="4"/>
        <v>88.099999999998545</v>
      </c>
      <c r="H63">
        <f t="shared" si="5"/>
        <v>24.900000000001455</v>
      </c>
      <c r="I63">
        <f t="shared" si="2"/>
        <v>88.099999999998545</v>
      </c>
      <c r="J63">
        <f t="shared" si="6"/>
        <v>78.849999999998545</v>
      </c>
      <c r="K63">
        <f t="shared" si="3"/>
        <v>0</v>
      </c>
      <c r="L63">
        <f t="shared" ref="L63:N63" si="59">SUM(I50:I63)</f>
        <v>2100.3999999999942</v>
      </c>
      <c r="M63">
        <f t="shared" si="59"/>
        <v>453.09999999999854</v>
      </c>
      <c r="N63">
        <f t="shared" si="59"/>
        <v>520.54999999999927</v>
      </c>
      <c r="O63" s="7">
        <f t="shared" si="12"/>
        <v>21.572081508284128</v>
      </c>
      <c r="P63" s="7">
        <f t="shared" si="7"/>
        <v>24.783374595315212</v>
      </c>
      <c r="Q63" s="7">
        <f t="shared" si="8"/>
        <v>3.2112930870310841</v>
      </c>
      <c r="R63" s="7">
        <f t="shared" si="9"/>
        <v>46.355456103599337</v>
      </c>
      <c r="S63" s="7">
        <f t="shared" si="10"/>
        <v>6.9275406973759415</v>
      </c>
      <c r="T63" s="7">
        <f t="shared" si="26"/>
        <v>17.469024169685223</v>
      </c>
      <c r="U63" s="6" t="str">
        <f t="shared" si="1"/>
        <v>Weak</v>
      </c>
    </row>
    <row r="64" spans="1:21" x14ac:dyDescent="0.25">
      <c r="A64" s="1">
        <v>44910</v>
      </c>
      <c r="B64">
        <v>18614.400000000001</v>
      </c>
      <c r="C64">
        <v>18652.900000000001</v>
      </c>
      <c r="D64">
        <v>18387.7</v>
      </c>
      <c r="E64">
        <v>18414.900000000001</v>
      </c>
      <c r="F64">
        <f t="shared" si="0"/>
        <v>265.20000000000073</v>
      </c>
      <c r="G64">
        <f t="shared" si="4"/>
        <v>7.3999999999978172</v>
      </c>
      <c r="H64">
        <f t="shared" si="5"/>
        <v>272.59999999999854</v>
      </c>
      <c r="I64">
        <f t="shared" si="2"/>
        <v>272.59999999999854</v>
      </c>
      <c r="J64">
        <f t="shared" si="6"/>
        <v>0</v>
      </c>
      <c r="K64">
        <f t="shared" si="3"/>
        <v>245.20000000000073</v>
      </c>
      <c r="L64">
        <f t="shared" ref="L64:N64" si="60">SUM(I51:I64)</f>
        <v>2283.1999999999898</v>
      </c>
      <c r="M64">
        <f t="shared" si="60"/>
        <v>447.89999999999782</v>
      </c>
      <c r="N64">
        <f t="shared" si="60"/>
        <v>765.75</v>
      </c>
      <c r="O64" s="7">
        <f t="shared" si="12"/>
        <v>19.61720392431674</v>
      </c>
      <c r="P64" s="7">
        <f t="shared" si="7"/>
        <v>33.538454800280462</v>
      </c>
      <c r="Q64" s="7">
        <f t="shared" si="8"/>
        <v>13.921250875963722</v>
      </c>
      <c r="R64" s="7">
        <f t="shared" si="9"/>
        <v>53.155658724597203</v>
      </c>
      <c r="S64" s="7">
        <f t="shared" si="10"/>
        <v>26.189593375355564</v>
      </c>
      <c r="T64" s="7">
        <f t="shared" si="26"/>
        <v>16.612615645018042</v>
      </c>
      <c r="U64" s="6" t="str">
        <f t="shared" si="1"/>
        <v>Weak</v>
      </c>
    </row>
    <row r="65" spans="1:21" x14ac:dyDescent="0.25">
      <c r="A65" s="1">
        <v>44911</v>
      </c>
      <c r="B65">
        <v>18319.099999999999</v>
      </c>
      <c r="C65">
        <v>18440.95</v>
      </c>
      <c r="D65">
        <v>18255.150000000001</v>
      </c>
      <c r="E65">
        <v>18269</v>
      </c>
      <c r="F65">
        <f t="shared" si="0"/>
        <v>185.79999999999927</v>
      </c>
      <c r="G65">
        <f t="shared" si="4"/>
        <v>26.049999999999272</v>
      </c>
      <c r="H65">
        <f t="shared" si="5"/>
        <v>159.75</v>
      </c>
      <c r="I65">
        <f t="shared" si="2"/>
        <v>185.79999999999927</v>
      </c>
      <c r="J65">
        <f t="shared" si="6"/>
        <v>0</v>
      </c>
      <c r="K65">
        <f t="shared" si="3"/>
        <v>132.54999999999927</v>
      </c>
      <c r="L65">
        <f t="shared" ref="L65:N65" si="61">SUM(I52:I65)</f>
        <v>2220.3499999999876</v>
      </c>
      <c r="M65">
        <f t="shared" si="61"/>
        <v>447.89999999999782</v>
      </c>
      <c r="N65">
        <f t="shared" si="61"/>
        <v>818.79999999999927</v>
      </c>
      <c r="O65" s="7">
        <f t="shared" si="12"/>
        <v>20.172495327313275</v>
      </c>
      <c r="P65" s="7">
        <f t="shared" si="7"/>
        <v>36.877068930574183</v>
      </c>
      <c r="Q65" s="7">
        <f t="shared" si="8"/>
        <v>16.704573603260908</v>
      </c>
      <c r="R65" s="7">
        <f t="shared" si="9"/>
        <v>57.049564257887454</v>
      </c>
      <c r="S65" s="7">
        <f t="shared" si="10"/>
        <v>29.28080839977914</v>
      </c>
      <c r="T65" s="7">
        <f t="shared" si="26"/>
        <v>16.729471539369531</v>
      </c>
      <c r="U65" s="6" t="str">
        <f t="shared" si="1"/>
        <v>Weak</v>
      </c>
    </row>
    <row r="66" spans="1:21" x14ac:dyDescent="0.25">
      <c r="A66" s="1">
        <v>44914</v>
      </c>
      <c r="B66">
        <v>18288.099999999999</v>
      </c>
      <c r="C66">
        <v>18431.650000000001</v>
      </c>
      <c r="D66">
        <v>18244.55</v>
      </c>
      <c r="E66">
        <v>18420.45</v>
      </c>
      <c r="F66">
        <f t="shared" ref="F66:F129" si="62">C66-D66</f>
        <v>187.10000000000218</v>
      </c>
      <c r="G66">
        <f t="shared" si="4"/>
        <v>162.65000000000146</v>
      </c>
      <c r="H66">
        <f t="shared" si="5"/>
        <v>24.450000000000728</v>
      </c>
      <c r="I66">
        <f t="shared" si="2"/>
        <v>187.10000000000218</v>
      </c>
      <c r="J66">
        <f t="shared" si="6"/>
        <v>0</v>
      </c>
      <c r="K66">
        <f t="shared" ref="K66:K129" si="63">IF(D65-D66&gt;C66-C65,MAX(D65-D66,0),0)</f>
        <v>10.600000000002183</v>
      </c>
      <c r="L66">
        <f t="shared" ref="L66:N66" si="64">SUM(I53:I66)</f>
        <v>2281.4999999999927</v>
      </c>
      <c r="M66">
        <f t="shared" si="64"/>
        <v>384.04999999999927</v>
      </c>
      <c r="N66">
        <f t="shared" si="64"/>
        <v>829.40000000000146</v>
      </c>
      <c r="O66" s="7">
        <f t="shared" ref="O66:O129" si="65">(100*(M66/L66))</f>
        <v>16.833223756300704</v>
      </c>
      <c r="P66" s="7">
        <f t="shared" ref="P66:P129" si="66">(100*(N66/L66))</f>
        <v>36.353276353276534</v>
      </c>
      <c r="Q66" s="7">
        <f t="shared" ref="Q66:Q129" si="67">ABS(O66-P66)</f>
        <v>19.52005259697583</v>
      </c>
      <c r="R66" s="7">
        <f t="shared" ref="R66:R129" si="68">O66+P66</f>
        <v>53.186500109577239</v>
      </c>
      <c r="S66" s="7">
        <f t="shared" ref="S66:S129" si="69">(100*(Q66/R66))</f>
        <v>36.701141373769161</v>
      </c>
      <c r="T66" s="7">
        <f t="shared" si="26"/>
        <v>17.629338208429822</v>
      </c>
      <c r="U66" s="6" t="str">
        <f t="shared" ref="U66:U129" si="70">IF(T66="","",IF(T66&gt;=30,"Strong","Weak"))</f>
        <v>Weak</v>
      </c>
    </row>
    <row r="67" spans="1:21" x14ac:dyDescent="0.25">
      <c r="A67" s="1">
        <v>44915</v>
      </c>
      <c r="B67">
        <v>18340.3</v>
      </c>
      <c r="C67">
        <v>18404.900000000001</v>
      </c>
      <c r="D67">
        <v>18202.650000000001</v>
      </c>
      <c r="E67">
        <v>18385.3</v>
      </c>
      <c r="F67">
        <f t="shared" si="62"/>
        <v>202.25</v>
      </c>
      <c r="G67">
        <f t="shared" si="4"/>
        <v>15.549999999999272</v>
      </c>
      <c r="H67">
        <f t="shared" si="5"/>
        <v>217.79999999999927</v>
      </c>
      <c r="I67">
        <f t="shared" ref="I67:I130" si="71">MAX(F67:H67)</f>
        <v>217.79999999999927</v>
      </c>
      <c r="J67">
        <f t="shared" si="6"/>
        <v>0</v>
      </c>
      <c r="K67">
        <f t="shared" si="63"/>
        <v>41.899999999997817</v>
      </c>
      <c r="L67">
        <f t="shared" ref="L67:N67" si="72">SUM(I54:I67)</f>
        <v>2299.799999999992</v>
      </c>
      <c r="M67">
        <f t="shared" si="72"/>
        <v>246.09999999999854</v>
      </c>
      <c r="N67">
        <f t="shared" si="72"/>
        <v>871.29999999999927</v>
      </c>
      <c r="O67" s="7">
        <f t="shared" si="65"/>
        <v>10.70093051569699</v>
      </c>
      <c r="P67" s="7">
        <f t="shared" si="66"/>
        <v>37.88590312201071</v>
      </c>
      <c r="Q67" s="7">
        <f t="shared" si="67"/>
        <v>27.184972606313721</v>
      </c>
      <c r="R67" s="7">
        <f t="shared" si="68"/>
        <v>48.586833637707699</v>
      </c>
      <c r="S67" s="7">
        <f t="shared" si="69"/>
        <v>55.95131555396474</v>
      </c>
      <c r="T67" s="7">
        <f t="shared" si="26"/>
        <v>19.484087325382045</v>
      </c>
      <c r="U67" s="6" t="str">
        <f t="shared" si="70"/>
        <v>Weak</v>
      </c>
    </row>
    <row r="68" spans="1:21" x14ac:dyDescent="0.25">
      <c r="A68" s="1">
        <v>44916</v>
      </c>
      <c r="B68">
        <v>18435.150000000001</v>
      </c>
      <c r="C68">
        <v>18473.349999999999</v>
      </c>
      <c r="D68">
        <v>18162.75</v>
      </c>
      <c r="E68">
        <v>18199.099999999999</v>
      </c>
      <c r="F68">
        <f t="shared" si="62"/>
        <v>310.59999999999854</v>
      </c>
      <c r="G68">
        <f t="shared" ref="G68:G131" si="73">ABS(C68-E67)</f>
        <v>88.049999999999272</v>
      </c>
      <c r="H68">
        <f t="shared" ref="H68:H131" si="74">ABS(D68-E67)</f>
        <v>222.54999999999927</v>
      </c>
      <c r="I68">
        <f t="shared" si="71"/>
        <v>310.59999999999854</v>
      </c>
      <c r="J68">
        <f t="shared" ref="J68:J131" si="75">IF(C68-C67&gt;D67-D68,MAX(C68-C67,0),0)</f>
        <v>68.44999999999709</v>
      </c>
      <c r="K68">
        <f t="shared" si="63"/>
        <v>0</v>
      </c>
      <c r="L68">
        <f t="shared" ref="L68:N68" si="76">SUM(I55:I68)</f>
        <v>2481.1499999999905</v>
      </c>
      <c r="M68">
        <f t="shared" si="76"/>
        <v>242.99999999999636</v>
      </c>
      <c r="N68">
        <f t="shared" si="76"/>
        <v>871.29999999999927</v>
      </c>
      <c r="O68" s="7">
        <f t="shared" si="65"/>
        <v>9.7938455957921633</v>
      </c>
      <c r="P68" s="7">
        <f t="shared" si="66"/>
        <v>35.116780525159811</v>
      </c>
      <c r="Q68" s="7">
        <f t="shared" si="67"/>
        <v>25.322934929367648</v>
      </c>
      <c r="R68" s="7">
        <f t="shared" si="68"/>
        <v>44.910626120951974</v>
      </c>
      <c r="S68" s="7">
        <f t="shared" si="69"/>
        <v>56.385174549044734</v>
      </c>
      <c r="T68" s="7">
        <f t="shared" si="26"/>
        <v>19.895974508398336</v>
      </c>
      <c r="U68" s="6" t="str">
        <f t="shared" si="70"/>
        <v>Weak</v>
      </c>
    </row>
    <row r="69" spans="1:21" x14ac:dyDescent="0.25">
      <c r="A69" s="1">
        <v>44917</v>
      </c>
      <c r="B69">
        <v>18288.8</v>
      </c>
      <c r="C69">
        <v>18318.75</v>
      </c>
      <c r="D69">
        <v>18068.599999999999</v>
      </c>
      <c r="E69">
        <v>18127.349999999999</v>
      </c>
      <c r="F69">
        <f t="shared" si="62"/>
        <v>250.15000000000146</v>
      </c>
      <c r="G69">
        <f t="shared" si="73"/>
        <v>119.65000000000146</v>
      </c>
      <c r="H69">
        <f t="shared" si="74"/>
        <v>130.5</v>
      </c>
      <c r="I69">
        <f t="shared" si="71"/>
        <v>250.15000000000146</v>
      </c>
      <c r="J69">
        <f t="shared" si="75"/>
        <v>0</v>
      </c>
      <c r="K69">
        <f t="shared" si="63"/>
        <v>94.150000000001455</v>
      </c>
      <c r="L69">
        <f t="shared" ref="L69:N69" si="77">SUM(I56:I69)</f>
        <v>2557.9999999999927</v>
      </c>
      <c r="M69">
        <f t="shared" si="77"/>
        <v>242.99999999999636</v>
      </c>
      <c r="N69">
        <f t="shared" si="77"/>
        <v>826.45000000000073</v>
      </c>
      <c r="O69" s="7">
        <f t="shared" si="65"/>
        <v>9.4996090695854996</v>
      </c>
      <c r="P69" s="7">
        <f t="shared" si="66"/>
        <v>32.308444096950865</v>
      </c>
      <c r="Q69" s="7">
        <f t="shared" si="67"/>
        <v>22.808835027365365</v>
      </c>
      <c r="R69" s="7">
        <f t="shared" si="68"/>
        <v>41.808053166536368</v>
      </c>
      <c r="S69" s="7">
        <f t="shared" si="69"/>
        <v>54.55608022815521</v>
      </c>
      <c r="T69" s="7">
        <f t="shared" si="26"/>
        <v>22.460086006454819</v>
      </c>
      <c r="U69" s="6" t="str">
        <f t="shared" si="70"/>
        <v>Weak</v>
      </c>
    </row>
    <row r="70" spans="1:21" x14ac:dyDescent="0.25">
      <c r="A70" s="1">
        <v>44918</v>
      </c>
      <c r="B70">
        <v>17977.650000000001</v>
      </c>
      <c r="C70">
        <v>18050.45</v>
      </c>
      <c r="D70">
        <v>17779.5</v>
      </c>
      <c r="E70">
        <v>17806.8</v>
      </c>
      <c r="F70">
        <f t="shared" si="62"/>
        <v>270.95000000000073</v>
      </c>
      <c r="G70">
        <f t="shared" si="73"/>
        <v>76.899999999997817</v>
      </c>
      <c r="H70">
        <f t="shared" si="74"/>
        <v>347.84999999999854</v>
      </c>
      <c r="I70">
        <f t="shared" si="71"/>
        <v>347.84999999999854</v>
      </c>
      <c r="J70">
        <f t="shared" si="75"/>
        <v>0</v>
      </c>
      <c r="K70">
        <f t="shared" si="63"/>
        <v>289.09999999999854</v>
      </c>
      <c r="L70">
        <f t="shared" ref="L70:N70" si="78">SUM(I57:I70)</f>
        <v>2768.5999999999913</v>
      </c>
      <c r="M70">
        <f t="shared" si="78"/>
        <v>242.99999999999636</v>
      </c>
      <c r="N70">
        <f t="shared" si="78"/>
        <v>1067.6999999999971</v>
      </c>
      <c r="O70" s="7">
        <f t="shared" si="65"/>
        <v>8.7769992053744534</v>
      </c>
      <c r="P70" s="7">
        <f t="shared" si="66"/>
        <v>38.564617496207489</v>
      </c>
      <c r="Q70" s="7">
        <f t="shared" si="67"/>
        <v>29.787618290833038</v>
      </c>
      <c r="R70" s="7">
        <f t="shared" si="68"/>
        <v>47.341616701581941</v>
      </c>
      <c r="S70" s="7">
        <f t="shared" si="69"/>
        <v>62.920576791028068</v>
      </c>
      <c r="T70" s="7">
        <f t="shared" si="26"/>
        <v>26.380024648770934</v>
      </c>
      <c r="U70" s="6" t="str">
        <f t="shared" si="70"/>
        <v>Weak</v>
      </c>
    </row>
    <row r="71" spans="1:21" x14ac:dyDescent="0.25">
      <c r="A71" s="1">
        <v>44921</v>
      </c>
      <c r="B71">
        <v>17830.400000000001</v>
      </c>
      <c r="C71">
        <v>18084.099999999999</v>
      </c>
      <c r="D71">
        <v>17774.25</v>
      </c>
      <c r="E71">
        <v>18014.599999999999</v>
      </c>
      <c r="F71">
        <f t="shared" si="62"/>
        <v>309.84999999999854</v>
      </c>
      <c r="G71">
        <f t="shared" si="73"/>
        <v>277.29999999999927</v>
      </c>
      <c r="H71">
        <f t="shared" si="74"/>
        <v>32.549999999999272</v>
      </c>
      <c r="I71">
        <f t="shared" si="71"/>
        <v>309.84999999999854</v>
      </c>
      <c r="J71">
        <f t="shared" si="75"/>
        <v>33.649999999997817</v>
      </c>
      <c r="K71">
        <f t="shared" si="63"/>
        <v>0</v>
      </c>
      <c r="L71">
        <f t="shared" ref="L71:N71" si="79">SUM(I58:I71)</f>
        <v>2955.299999999992</v>
      </c>
      <c r="M71">
        <f t="shared" si="79"/>
        <v>276.64999999999418</v>
      </c>
      <c r="N71">
        <f t="shared" si="79"/>
        <v>1054.25</v>
      </c>
      <c r="O71" s="7">
        <f t="shared" si="65"/>
        <v>9.3611477684158952</v>
      </c>
      <c r="P71" s="7">
        <f t="shared" si="66"/>
        <v>35.673197306534121</v>
      </c>
      <c r="Q71" s="7">
        <f t="shared" si="67"/>
        <v>26.312049538118224</v>
      </c>
      <c r="R71" s="7">
        <f t="shared" si="68"/>
        <v>45.034345074950018</v>
      </c>
      <c r="S71" s="7">
        <f t="shared" si="69"/>
        <v>58.426628597190557</v>
      </c>
      <c r="T71" s="7">
        <f t="shared" si="26"/>
        <v>30.169004801359904</v>
      </c>
      <c r="U71" s="6" t="str">
        <f t="shared" si="70"/>
        <v>Strong</v>
      </c>
    </row>
    <row r="72" spans="1:21" x14ac:dyDescent="0.25">
      <c r="A72" s="1">
        <v>44922</v>
      </c>
      <c r="B72">
        <v>18089.8</v>
      </c>
      <c r="C72">
        <v>18149.25</v>
      </c>
      <c r="D72">
        <v>17967.45</v>
      </c>
      <c r="E72">
        <v>18132.3</v>
      </c>
      <c r="F72">
        <f t="shared" si="62"/>
        <v>181.79999999999927</v>
      </c>
      <c r="G72">
        <f t="shared" si="73"/>
        <v>134.65000000000146</v>
      </c>
      <c r="H72">
        <f t="shared" si="74"/>
        <v>47.149999999997817</v>
      </c>
      <c r="I72">
        <f t="shared" si="71"/>
        <v>181.79999999999927</v>
      </c>
      <c r="J72">
        <f t="shared" si="75"/>
        <v>65.150000000001455</v>
      </c>
      <c r="K72">
        <f t="shared" si="63"/>
        <v>0</v>
      </c>
      <c r="L72">
        <f t="shared" ref="L72:N72" si="80">SUM(I59:I72)</f>
        <v>2997.1999999999935</v>
      </c>
      <c r="M72">
        <f t="shared" si="80"/>
        <v>341.79999999999563</v>
      </c>
      <c r="N72">
        <f t="shared" si="80"/>
        <v>1004.75</v>
      </c>
      <c r="O72" s="7">
        <f t="shared" si="65"/>
        <v>11.403977045242106</v>
      </c>
      <c r="P72" s="7">
        <f t="shared" si="66"/>
        <v>33.522954757773995</v>
      </c>
      <c r="Q72" s="7">
        <f t="shared" si="67"/>
        <v>22.118977712531887</v>
      </c>
      <c r="R72" s="7">
        <f t="shared" si="68"/>
        <v>44.926931803016103</v>
      </c>
      <c r="S72" s="7">
        <f t="shared" si="69"/>
        <v>49.233225650737545</v>
      </c>
      <c r="T72" s="7">
        <f t="shared" si="26"/>
        <v>33.431842926552704</v>
      </c>
      <c r="U72" s="6" t="str">
        <f t="shared" si="70"/>
        <v>Strong</v>
      </c>
    </row>
    <row r="73" spans="1:21" x14ac:dyDescent="0.25">
      <c r="A73" s="1">
        <v>44923</v>
      </c>
      <c r="B73">
        <v>18084.75</v>
      </c>
      <c r="C73">
        <v>18173.099999999999</v>
      </c>
      <c r="D73">
        <v>18068.349999999999</v>
      </c>
      <c r="E73">
        <v>18122.5</v>
      </c>
      <c r="F73">
        <f t="shared" si="62"/>
        <v>104.75</v>
      </c>
      <c r="G73">
        <f t="shared" si="73"/>
        <v>40.799999999999272</v>
      </c>
      <c r="H73">
        <f t="shared" si="74"/>
        <v>63.950000000000728</v>
      </c>
      <c r="I73">
        <f t="shared" si="71"/>
        <v>104.75</v>
      </c>
      <c r="J73">
        <f t="shared" si="75"/>
        <v>23.849999999998545</v>
      </c>
      <c r="K73">
        <f t="shared" si="63"/>
        <v>0</v>
      </c>
      <c r="L73">
        <f t="shared" ref="L73:N73" si="81">SUM(I60:I73)</f>
        <v>3013.8999999999942</v>
      </c>
      <c r="M73">
        <f t="shared" si="81"/>
        <v>365.64999999999418</v>
      </c>
      <c r="N73">
        <f t="shared" si="81"/>
        <v>1004.75</v>
      </c>
      <c r="O73" s="7">
        <f t="shared" si="65"/>
        <v>12.132121171903345</v>
      </c>
      <c r="P73" s="7">
        <f t="shared" si="66"/>
        <v>33.337204286804543</v>
      </c>
      <c r="Q73" s="7">
        <f t="shared" si="67"/>
        <v>21.2050831149012</v>
      </c>
      <c r="R73" s="7">
        <f t="shared" si="68"/>
        <v>45.469325458707885</v>
      </c>
      <c r="S73" s="7">
        <f t="shared" si="69"/>
        <v>46.636018680677807</v>
      </c>
      <c r="T73" s="7">
        <f t="shared" si="26"/>
        <v>35.707856248793888</v>
      </c>
      <c r="U73" s="6" t="str">
        <f t="shared" si="70"/>
        <v>Strong</v>
      </c>
    </row>
    <row r="74" spans="1:21" x14ac:dyDescent="0.25">
      <c r="A74" s="1">
        <v>44924</v>
      </c>
      <c r="B74">
        <v>18045.7</v>
      </c>
      <c r="C74">
        <v>18229.7</v>
      </c>
      <c r="D74">
        <v>17992.8</v>
      </c>
      <c r="E74">
        <v>18191</v>
      </c>
      <c r="F74">
        <f t="shared" si="62"/>
        <v>236.90000000000146</v>
      </c>
      <c r="G74">
        <f t="shared" si="73"/>
        <v>107.20000000000073</v>
      </c>
      <c r="H74">
        <f t="shared" si="74"/>
        <v>129.70000000000073</v>
      </c>
      <c r="I74">
        <f t="shared" si="71"/>
        <v>236.90000000000146</v>
      </c>
      <c r="J74">
        <f t="shared" si="75"/>
        <v>0</v>
      </c>
      <c r="K74">
        <f t="shared" si="63"/>
        <v>75.549999999999272</v>
      </c>
      <c r="L74">
        <f t="shared" ref="L74:N74" si="82">SUM(I61:I74)</f>
        <v>2996.1999999999935</v>
      </c>
      <c r="M74">
        <f t="shared" si="82"/>
        <v>365.64999999999418</v>
      </c>
      <c r="N74">
        <f t="shared" si="82"/>
        <v>953.44999999999709</v>
      </c>
      <c r="O74" s="7">
        <f t="shared" si="65"/>
        <v>12.203791469194144</v>
      </c>
      <c r="P74" s="7">
        <f t="shared" si="66"/>
        <v>31.821974501034617</v>
      </c>
      <c r="Q74" s="7">
        <f t="shared" si="67"/>
        <v>19.618183031840474</v>
      </c>
      <c r="R74" s="7">
        <f t="shared" si="68"/>
        <v>44.025765970228761</v>
      </c>
      <c r="S74" s="7">
        <f t="shared" si="69"/>
        <v>44.560685315746106</v>
      </c>
      <c r="T74" s="7">
        <f t="shared" si="26"/>
        <v>38.247759143790304</v>
      </c>
      <c r="U74" s="6" t="str">
        <f t="shared" si="70"/>
        <v>Strong</v>
      </c>
    </row>
    <row r="75" spans="1:21" x14ac:dyDescent="0.25">
      <c r="A75" s="1">
        <v>44925</v>
      </c>
      <c r="B75">
        <v>18259.099999999999</v>
      </c>
      <c r="C75">
        <v>18265.25</v>
      </c>
      <c r="D75">
        <v>18080.3</v>
      </c>
      <c r="E75">
        <v>18105.3</v>
      </c>
      <c r="F75">
        <f t="shared" si="62"/>
        <v>184.95000000000073</v>
      </c>
      <c r="G75">
        <f t="shared" si="73"/>
        <v>74.25</v>
      </c>
      <c r="H75">
        <f t="shared" si="74"/>
        <v>110.70000000000073</v>
      </c>
      <c r="I75">
        <f t="shared" si="71"/>
        <v>184.95000000000073</v>
      </c>
      <c r="J75">
        <f t="shared" si="75"/>
        <v>35.549999999999272</v>
      </c>
      <c r="K75">
        <f t="shared" si="63"/>
        <v>0</v>
      </c>
      <c r="L75">
        <f t="shared" ref="L75:N75" si="83">SUM(I62:I75)</f>
        <v>3005.2999999999956</v>
      </c>
      <c r="M75">
        <f t="shared" si="83"/>
        <v>401.19999999999345</v>
      </c>
      <c r="N75">
        <f t="shared" si="83"/>
        <v>889.04999999999927</v>
      </c>
      <c r="O75" s="7">
        <f t="shared" si="65"/>
        <v>13.34974877716015</v>
      </c>
      <c r="P75" s="7">
        <f t="shared" si="66"/>
        <v>29.582737164343015</v>
      </c>
      <c r="Q75" s="7">
        <f t="shared" si="67"/>
        <v>16.232988387182864</v>
      </c>
      <c r="R75" s="7">
        <f t="shared" si="68"/>
        <v>42.932485941503167</v>
      </c>
      <c r="S75" s="7">
        <f t="shared" si="69"/>
        <v>37.810501840729209</v>
      </c>
      <c r="T75" s="7">
        <f t="shared" si="26"/>
        <v>40.775452564888219</v>
      </c>
      <c r="U75" s="6" t="str">
        <f t="shared" si="70"/>
        <v>Strong</v>
      </c>
    </row>
    <row r="76" spans="1:21" x14ac:dyDescent="0.25">
      <c r="A76" s="1">
        <v>44928</v>
      </c>
      <c r="B76">
        <v>18131.7</v>
      </c>
      <c r="C76">
        <v>18215.150000000001</v>
      </c>
      <c r="D76">
        <v>18086.5</v>
      </c>
      <c r="E76">
        <v>18197.45</v>
      </c>
      <c r="F76">
        <f t="shared" si="62"/>
        <v>128.65000000000146</v>
      </c>
      <c r="G76">
        <f t="shared" si="73"/>
        <v>109.85000000000218</v>
      </c>
      <c r="H76">
        <f t="shared" si="74"/>
        <v>18.799999999999272</v>
      </c>
      <c r="I76">
        <f t="shared" si="71"/>
        <v>128.65000000000146</v>
      </c>
      <c r="J76">
        <f t="shared" si="75"/>
        <v>0</v>
      </c>
      <c r="K76">
        <f t="shared" si="63"/>
        <v>0</v>
      </c>
      <c r="L76">
        <f t="shared" ref="L76:N76" si="84">SUM(I63:I76)</f>
        <v>3006.8999999999978</v>
      </c>
      <c r="M76">
        <f t="shared" si="84"/>
        <v>305.49999999999272</v>
      </c>
      <c r="N76">
        <f t="shared" si="84"/>
        <v>889.04999999999927</v>
      </c>
      <c r="O76" s="7">
        <f t="shared" si="65"/>
        <v>10.159965412883466</v>
      </c>
      <c r="P76" s="7">
        <f t="shared" si="66"/>
        <v>29.566995909408355</v>
      </c>
      <c r="Q76" s="7">
        <f t="shared" si="67"/>
        <v>19.407030496524889</v>
      </c>
      <c r="R76" s="7">
        <f t="shared" si="68"/>
        <v>39.726961322291821</v>
      </c>
      <c r="S76" s="7">
        <f t="shared" si="69"/>
        <v>48.851031769286379</v>
      </c>
      <c r="T76" s="7">
        <f t="shared" si="26"/>
        <v>43.88788020163144</v>
      </c>
      <c r="U76" s="6" t="str">
        <f t="shared" si="70"/>
        <v>Strong</v>
      </c>
    </row>
    <row r="77" spans="1:21" x14ac:dyDescent="0.25">
      <c r="A77" s="1">
        <v>44929</v>
      </c>
      <c r="B77">
        <v>18163.2</v>
      </c>
      <c r="C77">
        <v>18251.95</v>
      </c>
      <c r="D77">
        <v>18149.8</v>
      </c>
      <c r="E77">
        <v>18232.55</v>
      </c>
      <c r="F77">
        <f t="shared" si="62"/>
        <v>102.15000000000146</v>
      </c>
      <c r="G77">
        <f t="shared" si="73"/>
        <v>54.5</v>
      </c>
      <c r="H77">
        <f t="shared" si="74"/>
        <v>47.650000000001455</v>
      </c>
      <c r="I77">
        <f t="shared" si="71"/>
        <v>102.15000000000146</v>
      </c>
      <c r="J77">
        <f t="shared" si="75"/>
        <v>36.799999999999272</v>
      </c>
      <c r="K77">
        <f t="shared" si="63"/>
        <v>0</v>
      </c>
      <c r="L77">
        <f t="shared" ref="L77:N77" si="85">SUM(I64:I77)</f>
        <v>3020.9500000000007</v>
      </c>
      <c r="M77">
        <f t="shared" si="85"/>
        <v>263.44999999999345</v>
      </c>
      <c r="N77">
        <f t="shared" si="85"/>
        <v>889.04999999999927</v>
      </c>
      <c r="O77" s="7">
        <f t="shared" si="65"/>
        <v>8.720766646253443</v>
      </c>
      <c r="P77" s="7">
        <f t="shared" si="66"/>
        <v>29.429484102682903</v>
      </c>
      <c r="Q77" s="7">
        <f t="shared" si="67"/>
        <v>20.708717456429461</v>
      </c>
      <c r="R77" s="7">
        <f t="shared" si="68"/>
        <v>38.150250748936344</v>
      </c>
      <c r="S77" s="7">
        <f t="shared" si="69"/>
        <v>54.281995661606061</v>
      </c>
      <c r="T77" s="7">
        <f t="shared" si="26"/>
        <v>47.270341270505014</v>
      </c>
      <c r="U77" s="6" t="str">
        <f t="shared" si="70"/>
        <v>Strong</v>
      </c>
    </row>
    <row r="78" spans="1:21" x14ac:dyDescent="0.25">
      <c r="A78" s="1">
        <v>44930</v>
      </c>
      <c r="B78">
        <v>18230.650000000001</v>
      </c>
      <c r="C78">
        <v>18243</v>
      </c>
      <c r="D78">
        <v>18020.599999999999</v>
      </c>
      <c r="E78">
        <v>18042.95</v>
      </c>
      <c r="F78">
        <f t="shared" si="62"/>
        <v>222.40000000000146</v>
      </c>
      <c r="G78">
        <f t="shared" si="73"/>
        <v>10.450000000000728</v>
      </c>
      <c r="H78">
        <f t="shared" si="74"/>
        <v>211.95000000000073</v>
      </c>
      <c r="I78">
        <f t="shared" si="71"/>
        <v>222.40000000000146</v>
      </c>
      <c r="J78">
        <f t="shared" si="75"/>
        <v>0</v>
      </c>
      <c r="K78">
        <f t="shared" si="63"/>
        <v>129.20000000000073</v>
      </c>
      <c r="L78">
        <f t="shared" ref="L78:N78" si="86">SUM(I65:I78)</f>
        <v>2970.7500000000036</v>
      </c>
      <c r="M78">
        <f t="shared" si="86"/>
        <v>263.44999999999345</v>
      </c>
      <c r="N78">
        <f t="shared" si="86"/>
        <v>773.04999999999927</v>
      </c>
      <c r="O78" s="7">
        <f t="shared" si="65"/>
        <v>8.868130943364239</v>
      </c>
      <c r="P78" s="7">
        <f t="shared" si="66"/>
        <v>26.022048304300206</v>
      </c>
      <c r="Q78" s="7">
        <f t="shared" si="67"/>
        <v>17.153917360935967</v>
      </c>
      <c r="R78" s="7">
        <f t="shared" si="68"/>
        <v>34.890179247664449</v>
      </c>
      <c r="S78" s="7">
        <f t="shared" si="69"/>
        <v>49.165460684998493</v>
      </c>
      <c r="T78" s="7">
        <f t="shared" si="26"/>
        <v>48.911474649765225</v>
      </c>
      <c r="U78" s="6" t="str">
        <f t="shared" si="70"/>
        <v>Strong</v>
      </c>
    </row>
    <row r="79" spans="1:21" x14ac:dyDescent="0.25">
      <c r="A79" s="1">
        <v>44931</v>
      </c>
      <c r="B79">
        <v>18101.95</v>
      </c>
      <c r="C79">
        <v>18120.3</v>
      </c>
      <c r="D79">
        <v>17892.599999999999</v>
      </c>
      <c r="E79">
        <v>17992.150000000001</v>
      </c>
      <c r="F79">
        <f t="shared" si="62"/>
        <v>227.70000000000073</v>
      </c>
      <c r="G79">
        <f t="shared" si="73"/>
        <v>77.349999999998545</v>
      </c>
      <c r="H79">
        <f t="shared" si="74"/>
        <v>150.35000000000218</v>
      </c>
      <c r="I79">
        <f t="shared" si="71"/>
        <v>227.70000000000073</v>
      </c>
      <c r="J79">
        <f t="shared" si="75"/>
        <v>0</v>
      </c>
      <c r="K79">
        <f t="shared" si="63"/>
        <v>128</v>
      </c>
      <c r="L79">
        <f t="shared" ref="L79:N79" si="87">SUM(I66:I79)</f>
        <v>3012.6500000000051</v>
      </c>
      <c r="M79">
        <f t="shared" si="87"/>
        <v>263.44999999999345</v>
      </c>
      <c r="N79">
        <f t="shared" si="87"/>
        <v>768.5</v>
      </c>
      <c r="O79" s="7">
        <f t="shared" si="65"/>
        <v>8.7447927904002469</v>
      </c>
      <c r="P79" s="7">
        <f t="shared" si="66"/>
        <v>25.509103281164379</v>
      </c>
      <c r="Q79" s="7">
        <f t="shared" si="67"/>
        <v>16.764310490764132</v>
      </c>
      <c r="R79" s="7">
        <f t="shared" si="68"/>
        <v>34.253896071564625</v>
      </c>
      <c r="S79" s="7">
        <f t="shared" si="69"/>
        <v>48.941324676584109</v>
      </c>
      <c r="T79" s="7">
        <f t="shared" si="26"/>
        <v>50.315797240965594</v>
      </c>
      <c r="U79" s="6" t="str">
        <f t="shared" si="70"/>
        <v>Strong</v>
      </c>
    </row>
    <row r="80" spans="1:21" x14ac:dyDescent="0.25">
      <c r="A80" s="1">
        <v>44932</v>
      </c>
      <c r="B80">
        <v>18008.05</v>
      </c>
      <c r="C80">
        <v>18047.400000000001</v>
      </c>
      <c r="D80">
        <v>17795.55</v>
      </c>
      <c r="E80">
        <v>17859.45</v>
      </c>
      <c r="F80">
        <f t="shared" si="62"/>
        <v>251.85000000000218</v>
      </c>
      <c r="G80">
        <f t="shared" si="73"/>
        <v>55.25</v>
      </c>
      <c r="H80">
        <f t="shared" si="74"/>
        <v>196.60000000000218</v>
      </c>
      <c r="I80">
        <f t="shared" si="71"/>
        <v>251.85000000000218</v>
      </c>
      <c r="J80">
        <f t="shared" si="75"/>
        <v>0</v>
      </c>
      <c r="K80">
        <f t="shared" si="63"/>
        <v>97.049999999999272</v>
      </c>
      <c r="L80">
        <f t="shared" ref="L80:N80" si="88">SUM(I67:I80)</f>
        <v>3077.4000000000051</v>
      </c>
      <c r="M80">
        <f t="shared" si="88"/>
        <v>263.44999999999345</v>
      </c>
      <c r="N80">
        <f t="shared" si="88"/>
        <v>854.94999999999709</v>
      </c>
      <c r="O80" s="7">
        <f t="shared" si="65"/>
        <v>8.5607980762979476</v>
      </c>
      <c r="P80" s="7">
        <f t="shared" si="66"/>
        <v>27.78156885682705</v>
      </c>
      <c r="Q80" s="7">
        <f t="shared" si="67"/>
        <v>19.220770780529101</v>
      </c>
      <c r="R80" s="7">
        <f t="shared" si="68"/>
        <v>36.342366933125</v>
      </c>
      <c r="S80" s="7">
        <f t="shared" si="69"/>
        <v>52.888054363377016</v>
      </c>
      <c r="T80" s="7">
        <f t="shared" si="26"/>
        <v>51.472005311651863</v>
      </c>
      <c r="U80" s="6" t="str">
        <f t="shared" si="70"/>
        <v>Strong</v>
      </c>
    </row>
    <row r="81" spans="1:21" x14ac:dyDescent="0.25">
      <c r="A81" s="1">
        <v>44935</v>
      </c>
      <c r="B81">
        <v>17952.55</v>
      </c>
      <c r="C81">
        <v>18141.400000000001</v>
      </c>
      <c r="D81">
        <v>17936.150000000001</v>
      </c>
      <c r="E81">
        <v>18101.2</v>
      </c>
      <c r="F81">
        <f t="shared" si="62"/>
        <v>205.25</v>
      </c>
      <c r="G81">
        <f t="shared" si="73"/>
        <v>281.95000000000073</v>
      </c>
      <c r="H81">
        <f t="shared" si="74"/>
        <v>76.700000000000728</v>
      </c>
      <c r="I81">
        <f t="shared" si="71"/>
        <v>281.95000000000073</v>
      </c>
      <c r="J81">
        <f t="shared" si="75"/>
        <v>94</v>
      </c>
      <c r="K81">
        <f t="shared" si="63"/>
        <v>0</v>
      </c>
      <c r="L81">
        <f t="shared" ref="L81:N81" si="89">SUM(I68:I81)</f>
        <v>3141.5500000000065</v>
      </c>
      <c r="M81">
        <f t="shared" si="89"/>
        <v>357.44999999999345</v>
      </c>
      <c r="N81">
        <f t="shared" si="89"/>
        <v>813.04999999999927</v>
      </c>
      <c r="O81" s="7">
        <f t="shared" si="65"/>
        <v>11.378141363339521</v>
      </c>
      <c r="P81" s="7">
        <f t="shared" si="66"/>
        <v>25.880536677754534</v>
      </c>
      <c r="Q81" s="7">
        <f t="shared" si="67"/>
        <v>14.502395314415013</v>
      </c>
      <c r="R81" s="7">
        <f t="shared" si="68"/>
        <v>37.258678041094058</v>
      </c>
      <c r="S81" s="7">
        <f t="shared" si="69"/>
        <v>38.92353695002209</v>
      </c>
      <c r="T81" s="7">
        <f t="shared" si="26"/>
        <v>50.255735411370253</v>
      </c>
      <c r="U81" s="6" t="str">
        <f t="shared" si="70"/>
        <v>Strong</v>
      </c>
    </row>
    <row r="82" spans="1:21" x14ac:dyDescent="0.25">
      <c r="A82" s="1">
        <v>44936</v>
      </c>
      <c r="B82">
        <v>18121.3</v>
      </c>
      <c r="C82">
        <v>18127.599999999999</v>
      </c>
      <c r="D82">
        <v>17856</v>
      </c>
      <c r="E82">
        <v>17914.150000000001</v>
      </c>
      <c r="F82">
        <f t="shared" si="62"/>
        <v>271.59999999999854</v>
      </c>
      <c r="G82">
        <f t="shared" si="73"/>
        <v>26.399999999997817</v>
      </c>
      <c r="H82">
        <f t="shared" si="74"/>
        <v>245.20000000000073</v>
      </c>
      <c r="I82">
        <f t="shared" si="71"/>
        <v>271.59999999999854</v>
      </c>
      <c r="J82">
        <f t="shared" si="75"/>
        <v>0</v>
      </c>
      <c r="K82">
        <f t="shared" si="63"/>
        <v>80.150000000001455</v>
      </c>
      <c r="L82">
        <f t="shared" ref="L82:N82" si="90">SUM(I69:I82)</f>
        <v>3102.5500000000065</v>
      </c>
      <c r="M82">
        <f t="shared" si="90"/>
        <v>288.99999999999636</v>
      </c>
      <c r="N82">
        <f t="shared" si="90"/>
        <v>893.20000000000073</v>
      </c>
      <c r="O82" s="7">
        <f t="shared" si="65"/>
        <v>9.314918373595777</v>
      </c>
      <c r="P82" s="7">
        <f t="shared" si="66"/>
        <v>28.789221769189822</v>
      </c>
      <c r="Q82" s="7">
        <f t="shared" si="67"/>
        <v>19.474303395594045</v>
      </c>
      <c r="R82" s="7">
        <f t="shared" si="68"/>
        <v>38.104140142785596</v>
      </c>
      <c r="S82" s="7">
        <f t="shared" si="69"/>
        <v>51.108103535781247</v>
      </c>
      <c r="T82" s="7">
        <f t="shared" si="26"/>
        <v>49.878801767565712</v>
      </c>
      <c r="U82" s="6" t="str">
        <f t="shared" si="70"/>
        <v>Strong</v>
      </c>
    </row>
    <row r="83" spans="1:21" x14ac:dyDescent="0.25">
      <c r="A83" s="1">
        <v>44937</v>
      </c>
      <c r="B83">
        <v>17924.25</v>
      </c>
      <c r="C83">
        <v>17976.349999999999</v>
      </c>
      <c r="D83">
        <v>17824.349999999999</v>
      </c>
      <c r="E83">
        <v>17895.7</v>
      </c>
      <c r="F83">
        <f t="shared" si="62"/>
        <v>152</v>
      </c>
      <c r="G83">
        <f t="shared" si="73"/>
        <v>62.19999999999709</v>
      </c>
      <c r="H83">
        <f t="shared" si="74"/>
        <v>89.80000000000291</v>
      </c>
      <c r="I83">
        <f t="shared" si="71"/>
        <v>152</v>
      </c>
      <c r="J83">
        <f t="shared" si="75"/>
        <v>0</v>
      </c>
      <c r="K83">
        <f t="shared" si="63"/>
        <v>31.650000000001455</v>
      </c>
      <c r="L83">
        <f t="shared" ref="L83:N83" si="91">SUM(I70:I83)</f>
        <v>3004.4000000000051</v>
      </c>
      <c r="M83">
        <f t="shared" si="91"/>
        <v>288.99999999999636</v>
      </c>
      <c r="N83">
        <f t="shared" si="91"/>
        <v>830.70000000000073</v>
      </c>
      <c r="O83" s="7">
        <f t="shared" si="65"/>
        <v>9.6192251364663779</v>
      </c>
      <c r="P83" s="7">
        <f t="shared" si="66"/>
        <v>27.649447477033661</v>
      </c>
      <c r="Q83" s="7">
        <f t="shared" si="67"/>
        <v>18.030222340567285</v>
      </c>
      <c r="R83" s="7">
        <f t="shared" si="68"/>
        <v>37.268672613500037</v>
      </c>
      <c r="S83" s="7">
        <f t="shared" si="69"/>
        <v>48.379030097348029</v>
      </c>
      <c r="T83" s="7">
        <f t="shared" si="26"/>
        <v>49.437583901079471</v>
      </c>
      <c r="U83" s="6" t="str">
        <f t="shared" si="70"/>
        <v>Strong</v>
      </c>
    </row>
    <row r="84" spans="1:21" x14ac:dyDescent="0.25">
      <c r="A84" s="1">
        <v>44938</v>
      </c>
      <c r="B84">
        <v>17920.849999999999</v>
      </c>
      <c r="C84">
        <v>17945.8</v>
      </c>
      <c r="D84">
        <v>17761.650000000001</v>
      </c>
      <c r="E84">
        <v>17858.2</v>
      </c>
      <c r="F84">
        <f t="shared" si="62"/>
        <v>184.14999999999782</v>
      </c>
      <c r="G84">
        <f t="shared" si="73"/>
        <v>50.099999999998545</v>
      </c>
      <c r="H84">
        <f t="shared" si="74"/>
        <v>134.04999999999927</v>
      </c>
      <c r="I84">
        <f t="shared" si="71"/>
        <v>184.14999999999782</v>
      </c>
      <c r="J84">
        <f t="shared" si="75"/>
        <v>0</v>
      </c>
      <c r="K84">
        <f t="shared" si="63"/>
        <v>62.69999999999709</v>
      </c>
      <c r="L84">
        <f t="shared" ref="L84:N84" si="92">SUM(I71:I84)</f>
        <v>2840.7000000000044</v>
      </c>
      <c r="M84">
        <f t="shared" si="92"/>
        <v>288.99999999999636</v>
      </c>
      <c r="N84">
        <f t="shared" si="92"/>
        <v>604.29999999999927</v>
      </c>
      <c r="O84" s="7">
        <f t="shared" si="65"/>
        <v>10.173548773189562</v>
      </c>
      <c r="P84" s="7">
        <f t="shared" si="66"/>
        <v>21.272925687330531</v>
      </c>
      <c r="Q84" s="7">
        <f t="shared" si="67"/>
        <v>11.099376914140969</v>
      </c>
      <c r="R84" s="7">
        <f t="shared" si="68"/>
        <v>31.446474460520093</v>
      </c>
      <c r="S84" s="7">
        <f t="shared" si="69"/>
        <v>35.296093137804149</v>
      </c>
      <c r="T84" s="7">
        <f t="shared" si="26"/>
        <v>47.464406497277771</v>
      </c>
      <c r="U84" s="6" t="str">
        <f t="shared" si="70"/>
        <v>Strong</v>
      </c>
    </row>
    <row r="85" spans="1:21" x14ac:dyDescent="0.25">
      <c r="A85" s="1">
        <v>44939</v>
      </c>
      <c r="B85">
        <v>17867.5</v>
      </c>
      <c r="C85">
        <v>17999.349999999999</v>
      </c>
      <c r="D85">
        <v>17774.25</v>
      </c>
      <c r="E85">
        <v>17956.599999999999</v>
      </c>
      <c r="F85">
        <f t="shared" si="62"/>
        <v>225.09999999999854</v>
      </c>
      <c r="G85">
        <f t="shared" si="73"/>
        <v>141.14999999999782</v>
      </c>
      <c r="H85">
        <f t="shared" si="74"/>
        <v>83.950000000000728</v>
      </c>
      <c r="I85">
        <f t="shared" si="71"/>
        <v>225.09999999999854</v>
      </c>
      <c r="J85">
        <f t="shared" si="75"/>
        <v>53.549999999999272</v>
      </c>
      <c r="K85">
        <f t="shared" si="63"/>
        <v>0</v>
      </c>
      <c r="L85">
        <f t="shared" ref="L85:N85" si="93">SUM(I72:I85)</f>
        <v>2755.9500000000044</v>
      </c>
      <c r="M85">
        <f t="shared" si="93"/>
        <v>308.89999999999782</v>
      </c>
      <c r="N85">
        <f t="shared" si="93"/>
        <v>604.29999999999927</v>
      </c>
      <c r="O85" s="7">
        <f t="shared" si="65"/>
        <v>11.208476206026862</v>
      </c>
      <c r="P85" s="7">
        <f t="shared" si="66"/>
        <v>21.927103176762945</v>
      </c>
      <c r="Q85" s="7">
        <f t="shared" si="67"/>
        <v>10.718626970736082</v>
      </c>
      <c r="R85" s="7">
        <f t="shared" si="68"/>
        <v>33.135579382789807</v>
      </c>
      <c r="S85" s="7">
        <f t="shared" si="69"/>
        <v>32.347787998248187</v>
      </c>
      <c r="T85" s="7">
        <f t="shared" si="26"/>
        <v>45.601632168781897</v>
      </c>
      <c r="U85" s="6" t="str">
        <f t="shared" si="70"/>
        <v>Strong</v>
      </c>
    </row>
    <row r="86" spans="1:21" x14ac:dyDescent="0.25">
      <c r="A86" s="1">
        <v>44942</v>
      </c>
      <c r="B86">
        <v>18033.150000000001</v>
      </c>
      <c r="C86">
        <v>18049.650000000001</v>
      </c>
      <c r="D86">
        <v>17853.650000000001</v>
      </c>
      <c r="E86">
        <v>17894.849999999999</v>
      </c>
      <c r="F86">
        <f t="shared" si="62"/>
        <v>196</v>
      </c>
      <c r="G86">
        <f t="shared" si="73"/>
        <v>93.05000000000291</v>
      </c>
      <c r="H86">
        <f t="shared" si="74"/>
        <v>102.94999999999709</v>
      </c>
      <c r="I86">
        <f t="shared" si="71"/>
        <v>196</v>
      </c>
      <c r="J86">
        <f t="shared" si="75"/>
        <v>50.30000000000291</v>
      </c>
      <c r="K86">
        <f t="shared" si="63"/>
        <v>0</v>
      </c>
      <c r="L86">
        <f t="shared" ref="L86:N86" si="94">SUM(I73:I86)</f>
        <v>2770.1500000000051</v>
      </c>
      <c r="M86">
        <f t="shared" si="94"/>
        <v>294.04999999999927</v>
      </c>
      <c r="N86">
        <f t="shared" si="94"/>
        <v>604.29999999999927</v>
      </c>
      <c r="O86" s="7">
        <f t="shared" si="65"/>
        <v>10.614948648990081</v>
      </c>
      <c r="P86" s="7">
        <f t="shared" si="66"/>
        <v>21.814703174918261</v>
      </c>
      <c r="Q86" s="7">
        <f t="shared" si="67"/>
        <v>11.19975452592818</v>
      </c>
      <c r="R86" s="7">
        <f t="shared" si="68"/>
        <v>32.429651823908344</v>
      </c>
      <c r="S86" s="7">
        <f t="shared" si="69"/>
        <v>34.53553737407475</v>
      </c>
      <c r="T86" s="7">
        <f t="shared" si="26"/>
        <v>44.551797291877406</v>
      </c>
      <c r="U86" s="6" t="str">
        <f t="shared" si="70"/>
        <v>Strong</v>
      </c>
    </row>
    <row r="87" spans="1:21" x14ac:dyDescent="0.25">
      <c r="A87" s="1">
        <v>44943</v>
      </c>
      <c r="B87">
        <v>17922.8</v>
      </c>
      <c r="C87">
        <v>18072.05</v>
      </c>
      <c r="D87">
        <v>17886.95</v>
      </c>
      <c r="E87">
        <v>18053.3</v>
      </c>
      <c r="F87">
        <f t="shared" si="62"/>
        <v>185.09999999999854</v>
      </c>
      <c r="G87">
        <f t="shared" si="73"/>
        <v>177.20000000000073</v>
      </c>
      <c r="H87">
        <f t="shared" si="74"/>
        <v>7.8999999999978172</v>
      </c>
      <c r="I87">
        <f t="shared" si="71"/>
        <v>185.09999999999854</v>
      </c>
      <c r="J87">
        <f t="shared" si="75"/>
        <v>22.399999999997817</v>
      </c>
      <c r="K87">
        <f t="shared" si="63"/>
        <v>0</v>
      </c>
      <c r="L87">
        <f t="shared" ref="L87:N87" si="95">SUM(I74:I87)</f>
        <v>2850.5000000000036</v>
      </c>
      <c r="M87">
        <f t="shared" si="95"/>
        <v>292.59999999999854</v>
      </c>
      <c r="N87">
        <f t="shared" si="95"/>
        <v>604.29999999999927</v>
      </c>
      <c r="O87" s="7">
        <f t="shared" si="65"/>
        <v>10.264865813015197</v>
      </c>
      <c r="P87" s="7">
        <f t="shared" si="66"/>
        <v>21.199789510612121</v>
      </c>
      <c r="Q87" s="7">
        <f t="shared" si="67"/>
        <v>10.934923697596924</v>
      </c>
      <c r="R87" s="7">
        <f t="shared" si="68"/>
        <v>31.464655323627319</v>
      </c>
      <c r="S87" s="7">
        <f t="shared" si="69"/>
        <v>34.753038242836595</v>
      </c>
      <c r="T87" s="7">
        <f t="shared" si="26"/>
        <v>43.70301297488875</v>
      </c>
      <c r="U87" s="6" t="str">
        <f t="shared" si="70"/>
        <v>Strong</v>
      </c>
    </row>
    <row r="88" spans="1:21" x14ac:dyDescent="0.25">
      <c r="A88" s="1">
        <v>44944</v>
      </c>
      <c r="B88">
        <v>18074.3</v>
      </c>
      <c r="C88">
        <v>18183.75</v>
      </c>
      <c r="D88">
        <v>18032.45</v>
      </c>
      <c r="E88">
        <v>18165.349999999999</v>
      </c>
      <c r="F88">
        <f t="shared" si="62"/>
        <v>151.29999999999927</v>
      </c>
      <c r="G88">
        <f t="shared" si="73"/>
        <v>130.45000000000073</v>
      </c>
      <c r="H88">
        <f t="shared" si="74"/>
        <v>20.849999999998545</v>
      </c>
      <c r="I88">
        <f t="shared" si="71"/>
        <v>151.29999999999927</v>
      </c>
      <c r="J88">
        <f t="shared" si="75"/>
        <v>111.70000000000073</v>
      </c>
      <c r="K88">
        <f t="shared" si="63"/>
        <v>0</v>
      </c>
      <c r="L88">
        <f t="shared" ref="L88:N88" si="96">SUM(I75:I88)</f>
        <v>2764.9000000000015</v>
      </c>
      <c r="M88">
        <f t="shared" si="96"/>
        <v>404.29999999999927</v>
      </c>
      <c r="N88">
        <f t="shared" si="96"/>
        <v>528.75</v>
      </c>
      <c r="O88" s="7">
        <f t="shared" si="65"/>
        <v>14.622590328764119</v>
      </c>
      <c r="P88" s="7">
        <f t="shared" si="66"/>
        <v>19.123657275127481</v>
      </c>
      <c r="Q88" s="7">
        <f t="shared" si="67"/>
        <v>4.5010669463633626</v>
      </c>
      <c r="R88" s="7">
        <f t="shared" si="68"/>
        <v>33.746247603891604</v>
      </c>
      <c r="S88" s="7">
        <f t="shared" si="69"/>
        <v>13.337977600343043</v>
      </c>
      <c r="T88" s="7">
        <f t="shared" si="26"/>
        <v>41.472819566645676</v>
      </c>
      <c r="U88" s="6" t="str">
        <f t="shared" si="70"/>
        <v>Strong</v>
      </c>
    </row>
    <row r="89" spans="1:21" x14ac:dyDescent="0.25">
      <c r="A89" s="1">
        <v>44945</v>
      </c>
      <c r="B89">
        <v>18119.8</v>
      </c>
      <c r="C89">
        <v>18155.2</v>
      </c>
      <c r="D89">
        <v>18063.75</v>
      </c>
      <c r="E89">
        <v>18107.849999999999</v>
      </c>
      <c r="F89">
        <f t="shared" si="62"/>
        <v>91.450000000000728</v>
      </c>
      <c r="G89">
        <f t="shared" si="73"/>
        <v>10.149999999997817</v>
      </c>
      <c r="H89">
        <f t="shared" si="74"/>
        <v>101.59999999999854</v>
      </c>
      <c r="I89">
        <f t="shared" si="71"/>
        <v>101.59999999999854</v>
      </c>
      <c r="J89">
        <f t="shared" si="75"/>
        <v>0</v>
      </c>
      <c r="K89">
        <f t="shared" si="63"/>
        <v>0</v>
      </c>
      <c r="L89">
        <f t="shared" ref="L89:N89" si="97">SUM(I76:I89)</f>
        <v>2681.5499999999993</v>
      </c>
      <c r="M89">
        <f t="shared" si="97"/>
        <v>368.75</v>
      </c>
      <c r="N89">
        <f t="shared" si="97"/>
        <v>528.75</v>
      </c>
      <c r="O89" s="7">
        <f t="shared" si="65"/>
        <v>13.751375137513755</v>
      </c>
      <c r="P89" s="7">
        <f t="shared" si="66"/>
        <v>19.718073502265486</v>
      </c>
      <c r="Q89" s="7">
        <f t="shared" si="67"/>
        <v>5.966698364751732</v>
      </c>
      <c r="R89" s="7">
        <f t="shared" si="68"/>
        <v>33.469448639779245</v>
      </c>
      <c r="S89" s="7">
        <f t="shared" si="69"/>
        <v>17.827298050139277</v>
      </c>
      <c r="T89" s="7">
        <f t="shared" si="26"/>
        <v>40.045447867317819</v>
      </c>
      <c r="U89" s="6" t="str">
        <f t="shared" si="70"/>
        <v>Strong</v>
      </c>
    </row>
    <row r="90" spans="1:21" x14ac:dyDescent="0.25">
      <c r="A90" s="1">
        <v>44946</v>
      </c>
      <c r="B90">
        <v>18115.599999999999</v>
      </c>
      <c r="C90">
        <v>18145.45</v>
      </c>
      <c r="D90">
        <v>18016.2</v>
      </c>
      <c r="E90">
        <v>18027.650000000001</v>
      </c>
      <c r="F90">
        <f t="shared" si="62"/>
        <v>129.25</v>
      </c>
      <c r="G90">
        <f t="shared" si="73"/>
        <v>37.600000000002183</v>
      </c>
      <c r="H90">
        <f t="shared" si="74"/>
        <v>91.649999999997817</v>
      </c>
      <c r="I90">
        <f t="shared" si="71"/>
        <v>129.25</v>
      </c>
      <c r="J90">
        <f t="shared" si="75"/>
        <v>0</v>
      </c>
      <c r="K90">
        <f t="shared" si="63"/>
        <v>47.549999999999272</v>
      </c>
      <c r="L90">
        <f t="shared" ref="L90:N90" si="98">SUM(I77:I90)</f>
        <v>2682.1499999999978</v>
      </c>
      <c r="M90">
        <f t="shared" si="98"/>
        <v>368.75</v>
      </c>
      <c r="N90">
        <f t="shared" si="98"/>
        <v>576.29999999999927</v>
      </c>
      <c r="O90" s="7">
        <f t="shared" si="65"/>
        <v>13.748298939283796</v>
      </c>
      <c r="P90" s="7">
        <f t="shared" si="66"/>
        <v>21.486494043957265</v>
      </c>
      <c r="Q90" s="7">
        <f t="shared" si="67"/>
        <v>7.7381951046734692</v>
      </c>
      <c r="R90" s="7">
        <f t="shared" si="68"/>
        <v>35.234792983241064</v>
      </c>
      <c r="S90" s="7">
        <f t="shared" si="69"/>
        <v>21.961800962911955</v>
      </c>
      <c r="T90" s="7">
        <f t="shared" si="26"/>
        <v>38.124788524005353</v>
      </c>
      <c r="U90" s="6" t="str">
        <f t="shared" si="70"/>
        <v>Strong</v>
      </c>
    </row>
    <row r="91" spans="1:21" x14ac:dyDescent="0.25">
      <c r="A91" s="1">
        <v>44949</v>
      </c>
      <c r="B91">
        <v>18118.45</v>
      </c>
      <c r="C91">
        <v>18162.599999999999</v>
      </c>
      <c r="D91">
        <v>18063.45</v>
      </c>
      <c r="E91">
        <v>18118.55</v>
      </c>
      <c r="F91">
        <f t="shared" si="62"/>
        <v>99.149999999997817</v>
      </c>
      <c r="G91">
        <f t="shared" si="73"/>
        <v>134.94999999999709</v>
      </c>
      <c r="H91">
        <f t="shared" si="74"/>
        <v>35.799999999999272</v>
      </c>
      <c r="I91">
        <f t="shared" si="71"/>
        <v>134.94999999999709</v>
      </c>
      <c r="J91">
        <f t="shared" si="75"/>
        <v>17.149999999997817</v>
      </c>
      <c r="K91">
        <f t="shared" si="63"/>
        <v>0</v>
      </c>
      <c r="L91">
        <f t="shared" ref="L91:N91" si="99">SUM(I78:I91)</f>
        <v>2714.9499999999935</v>
      </c>
      <c r="M91">
        <f t="shared" si="99"/>
        <v>349.09999999999854</v>
      </c>
      <c r="N91">
        <f t="shared" si="99"/>
        <v>576.29999999999927</v>
      </c>
      <c r="O91" s="7">
        <f t="shared" si="65"/>
        <v>12.858432015322544</v>
      </c>
      <c r="P91" s="7">
        <f t="shared" si="66"/>
        <v>21.226910256174172</v>
      </c>
      <c r="Q91" s="7">
        <f t="shared" si="67"/>
        <v>8.3684782408516281</v>
      </c>
      <c r="R91" s="7">
        <f t="shared" si="68"/>
        <v>34.085342271496714</v>
      </c>
      <c r="S91" s="7">
        <f t="shared" si="69"/>
        <v>24.551545277717882</v>
      </c>
      <c r="T91" s="7">
        <f t="shared" si="26"/>
        <v>36.001184925156203</v>
      </c>
      <c r="U91" s="6" t="str">
        <f t="shared" si="70"/>
        <v>Strong</v>
      </c>
    </row>
    <row r="92" spans="1:21" x14ac:dyDescent="0.25">
      <c r="A92" s="1">
        <v>44950</v>
      </c>
      <c r="B92">
        <v>18183.95</v>
      </c>
      <c r="C92">
        <v>18201.25</v>
      </c>
      <c r="D92">
        <v>18078.650000000001</v>
      </c>
      <c r="E92">
        <v>18118.3</v>
      </c>
      <c r="F92">
        <f t="shared" si="62"/>
        <v>122.59999999999854</v>
      </c>
      <c r="G92">
        <f t="shared" si="73"/>
        <v>82.700000000000728</v>
      </c>
      <c r="H92">
        <f t="shared" si="74"/>
        <v>39.899999999997817</v>
      </c>
      <c r="I92">
        <f t="shared" si="71"/>
        <v>122.59999999999854</v>
      </c>
      <c r="J92">
        <f t="shared" si="75"/>
        <v>38.650000000001455</v>
      </c>
      <c r="K92">
        <f t="shared" si="63"/>
        <v>0</v>
      </c>
      <c r="L92">
        <f t="shared" ref="L92:N92" si="100">SUM(I79:I92)</f>
        <v>2615.1499999999905</v>
      </c>
      <c r="M92">
        <f t="shared" si="100"/>
        <v>387.75</v>
      </c>
      <c r="N92">
        <f t="shared" si="100"/>
        <v>447.09999999999854</v>
      </c>
      <c r="O92" s="7">
        <f t="shared" si="65"/>
        <v>14.827065369099341</v>
      </c>
      <c r="P92" s="7">
        <f t="shared" si="66"/>
        <v>17.096533659637121</v>
      </c>
      <c r="Q92" s="7">
        <f t="shared" si="67"/>
        <v>2.2694682905377803</v>
      </c>
      <c r="R92" s="7">
        <f t="shared" si="68"/>
        <v>31.923599028736461</v>
      </c>
      <c r="S92" s="7">
        <f t="shared" si="69"/>
        <v>7.1090615080551771</v>
      </c>
      <c r="T92" s="7">
        <f t="shared" si="26"/>
        <v>32.997156412517391</v>
      </c>
      <c r="U92" s="6" t="str">
        <f t="shared" si="70"/>
        <v>Strong</v>
      </c>
    </row>
    <row r="93" spans="1:21" x14ac:dyDescent="0.25">
      <c r="A93" s="1">
        <v>44951</v>
      </c>
      <c r="B93">
        <v>18093.349999999999</v>
      </c>
      <c r="C93">
        <v>18100.599999999999</v>
      </c>
      <c r="D93">
        <v>17846.150000000001</v>
      </c>
      <c r="E93">
        <v>17891.95</v>
      </c>
      <c r="F93">
        <f t="shared" si="62"/>
        <v>254.44999999999709</v>
      </c>
      <c r="G93">
        <f t="shared" si="73"/>
        <v>17.700000000000728</v>
      </c>
      <c r="H93">
        <f t="shared" si="74"/>
        <v>272.14999999999782</v>
      </c>
      <c r="I93">
        <f t="shared" si="71"/>
        <v>272.14999999999782</v>
      </c>
      <c r="J93">
        <f t="shared" si="75"/>
        <v>0</v>
      </c>
      <c r="K93">
        <f t="shared" si="63"/>
        <v>232.5</v>
      </c>
      <c r="L93">
        <f t="shared" ref="L93:N93" si="101">SUM(I80:I93)</f>
        <v>2659.5999999999876</v>
      </c>
      <c r="M93">
        <f t="shared" si="101"/>
        <v>387.75</v>
      </c>
      <c r="N93">
        <f t="shared" si="101"/>
        <v>551.59999999999854</v>
      </c>
      <c r="O93" s="7">
        <f t="shared" si="65"/>
        <v>14.579260039103692</v>
      </c>
      <c r="P93" s="7">
        <f t="shared" si="66"/>
        <v>20.739960896375436</v>
      </c>
      <c r="Q93" s="7">
        <f t="shared" si="67"/>
        <v>6.1607008572717437</v>
      </c>
      <c r="R93" s="7">
        <f t="shared" si="68"/>
        <v>35.31922093547913</v>
      </c>
      <c r="S93" s="7">
        <f t="shared" si="69"/>
        <v>17.44291265236587</v>
      </c>
      <c r="T93" s="7">
        <f t="shared" si="26"/>
        <v>30.747269839358946</v>
      </c>
      <c r="U93" s="6" t="str">
        <f t="shared" si="70"/>
        <v>Strong</v>
      </c>
    </row>
    <row r="94" spans="1:21" x14ac:dyDescent="0.25">
      <c r="A94" s="1">
        <v>44953</v>
      </c>
      <c r="B94">
        <v>17877.2</v>
      </c>
      <c r="C94">
        <v>17884.75</v>
      </c>
      <c r="D94">
        <v>17493.55</v>
      </c>
      <c r="E94">
        <v>17604.349999999999</v>
      </c>
      <c r="F94">
        <f t="shared" si="62"/>
        <v>391.20000000000073</v>
      </c>
      <c r="G94">
        <f t="shared" si="73"/>
        <v>7.2000000000007276</v>
      </c>
      <c r="H94">
        <f t="shared" si="74"/>
        <v>398.40000000000146</v>
      </c>
      <c r="I94">
        <f t="shared" si="71"/>
        <v>398.40000000000146</v>
      </c>
      <c r="J94">
        <f t="shared" si="75"/>
        <v>0</v>
      </c>
      <c r="K94">
        <f t="shared" si="63"/>
        <v>352.60000000000218</v>
      </c>
      <c r="L94">
        <f t="shared" ref="L94:N94" si="102">SUM(I81:I94)</f>
        <v>2806.1499999999869</v>
      </c>
      <c r="M94">
        <f t="shared" si="102"/>
        <v>387.75</v>
      </c>
      <c r="N94">
        <f t="shared" si="102"/>
        <v>807.15000000000146</v>
      </c>
      <c r="O94" s="7">
        <f t="shared" si="65"/>
        <v>13.817864333695699</v>
      </c>
      <c r="P94" s="7">
        <f t="shared" si="66"/>
        <v>28.763608502753069</v>
      </c>
      <c r="Q94" s="7">
        <f t="shared" si="67"/>
        <v>14.94574416905737</v>
      </c>
      <c r="R94" s="7">
        <f t="shared" si="68"/>
        <v>42.581472836448768</v>
      </c>
      <c r="S94" s="7">
        <f t="shared" si="69"/>
        <v>35.099171478784911</v>
      </c>
      <c r="T94" s="7">
        <f t="shared" ref="T94:T157" si="103">AVERAGE(S81:S94)</f>
        <v>29.476635347602365</v>
      </c>
      <c r="U94" s="6" t="str">
        <f t="shared" si="70"/>
        <v>Weak</v>
      </c>
    </row>
    <row r="95" spans="1:21" x14ac:dyDescent="0.25">
      <c r="A95" s="1">
        <v>44956</v>
      </c>
      <c r="B95">
        <v>17541.95</v>
      </c>
      <c r="C95">
        <v>17709.150000000001</v>
      </c>
      <c r="D95">
        <v>17405.55</v>
      </c>
      <c r="E95">
        <v>17648.95</v>
      </c>
      <c r="F95">
        <f t="shared" si="62"/>
        <v>303.60000000000218</v>
      </c>
      <c r="G95">
        <f t="shared" si="73"/>
        <v>104.80000000000291</v>
      </c>
      <c r="H95">
        <f t="shared" si="74"/>
        <v>198.79999999999927</v>
      </c>
      <c r="I95">
        <f t="shared" si="71"/>
        <v>303.60000000000218</v>
      </c>
      <c r="J95">
        <f t="shared" si="75"/>
        <v>0</v>
      </c>
      <c r="K95">
        <f t="shared" si="63"/>
        <v>88</v>
      </c>
      <c r="L95">
        <f t="shared" ref="L95:N95" si="104">SUM(I82:I95)</f>
        <v>2827.7999999999884</v>
      </c>
      <c r="M95">
        <f t="shared" si="104"/>
        <v>293.75</v>
      </c>
      <c r="N95">
        <f t="shared" si="104"/>
        <v>895.15000000000146</v>
      </c>
      <c r="O95" s="7">
        <f t="shared" si="65"/>
        <v>10.387934083032789</v>
      </c>
      <c r="P95" s="7">
        <f t="shared" si="66"/>
        <v>31.655350449112568</v>
      </c>
      <c r="Q95" s="7">
        <f t="shared" si="67"/>
        <v>21.267416366079779</v>
      </c>
      <c r="R95" s="7">
        <f t="shared" si="68"/>
        <v>42.043284532145357</v>
      </c>
      <c r="S95" s="7">
        <f t="shared" si="69"/>
        <v>50.584573975944217</v>
      </c>
      <c r="T95" s="7">
        <f t="shared" si="103"/>
        <v>30.309566563739661</v>
      </c>
      <c r="U95" s="6" t="str">
        <f t="shared" si="70"/>
        <v>Strong</v>
      </c>
    </row>
    <row r="96" spans="1:21" x14ac:dyDescent="0.25">
      <c r="A96" s="1">
        <v>44957</v>
      </c>
      <c r="B96">
        <v>17731.45</v>
      </c>
      <c r="C96">
        <v>17735.7</v>
      </c>
      <c r="D96">
        <v>17537.55</v>
      </c>
      <c r="E96">
        <v>17662.150000000001</v>
      </c>
      <c r="F96">
        <f t="shared" si="62"/>
        <v>198.15000000000146</v>
      </c>
      <c r="G96">
        <f t="shared" si="73"/>
        <v>86.75</v>
      </c>
      <c r="H96">
        <f t="shared" si="74"/>
        <v>111.40000000000146</v>
      </c>
      <c r="I96">
        <f t="shared" si="71"/>
        <v>198.15000000000146</v>
      </c>
      <c r="J96">
        <f t="shared" si="75"/>
        <v>26.549999999999272</v>
      </c>
      <c r="K96">
        <f t="shared" si="63"/>
        <v>0</v>
      </c>
      <c r="L96">
        <f t="shared" ref="L96:N96" si="105">SUM(I83:I96)</f>
        <v>2754.3499999999913</v>
      </c>
      <c r="M96">
        <f t="shared" si="105"/>
        <v>320.29999999999927</v>
      </c>
      <c r="N96">
        <f t="shared" si="105"/>
        <v>815</v>
      </c>
      <c r="O96" s="7">
        <f t="shared" si="65"/>
        <v>11.628877956686706</v>
      </c>
      <c r="P96" s="7">
        <f t="shared" si="66"/>
        <v>29.589558334997463</v>
      </c>
      <c r="Q96" s="7">
        <f t="shared" si="67"/>
        <v>17.960680378310755</v>
      </c>
      <c r="R96" s="7">
        <f t="shared" si="68"/>
        <v>41.218436291684171</v>
      </c>
      <c r="S96" s="7">
        <f t="shared" si="69"/>
        <v>43.574385624945037</v>
      </c>
      <c r="T96" s="7">
        <f t="shared" si="103"/>
        <v>29.771443855822788</v>
      </c>
      <c r="U96" s="6" t="str">
        <f t="shared" si="70"/>
        <v>Weak</v>
      </c>
    </row>
    <row r="97" spans="1:21" x14ac:dyDescent="0.25">
      <c r="A97" s="1">
        <v>44958</v>
      </c>
      <c r="B97">
        <v>17811.599999999999</v>
      </c>
      <c r="C97">
        <v>17972.2</v>
      </c>
      <c r="D97">
        <v>17353.400000000001</v>
      </c>
      <c r="E97">
        <v>17616.3</v>
      </c>
      <c r="F97">
        <f t="shared" si="62"/>
        <v>618.79999999999927</v>
      </c>
      <c r="G97">
        <f t="shared" si="73"/>
        <v>310.04999999999927</v>
      </c>
      <c r="H97">
        <f t="shared" si="74"/>
        <v>308.75</v>
      </c>
      <c r="I97">
        <f t="shared" si="71"/>
        <v>618.79999999999927</v>
      </c>
      <c r="J97">
        <f t="shared" si="75"/>
        <v>236.5</v>
      </c>
      <c r="K97">
        <f t="shared" si="63"/>
        <v>0</v>
      </c>
      <c r="L97">
        <f t="shared" ref="L97:N97" si="106">SUM(I84:I97)</f>
        <v>3221.1499999999905</v>
      </c>
      <c r="M97">
        <f t="shared" si="106"/>
        <v>556.79999999999927</v>
      </c>
      <c r="N97">
        <f t="shared" si="106"/>
        <v>783.34999999999854</v>
      </c>
      <c r="O97" s="7">
        <f t="shared" si="65"/>
        <v>17.28575198298747</v>
      </c>
      <c r="P97" s="7">
        <f t="shared" si="66"/>
        <v>24.318954410691859</v>
      </c>
      <c r="Q97" s="7">
        <f t="shared" si="67"/>
        <v>7.0332024277043885</v>
      </c>
      <c r="R97" s="7">
        <f t="shared" si="68"/>
        <v>41.604706393679329</v>
      </c>
      <c r="S97" s="7">
        <f t="shared" si="69"/>
        <v>16.904824086855921</v>
      </c>
      <c r="T97" s="7">
        <f t="shared" si="103"/>
        <v>27.523286283644783</v>
      </c>
      <c r="U97" s="6" t="str">
        <f t="shared" si="70"/>
        <v>Weak</v>
      </c>
    </row>
    <row r="98" spans="1:21" x14ac:dyDescent="0.25">
      <c r="A98" s="1">
        <v>44959</v>
      </c>
      <c r="B98">
        <v>17517.099999999999</v>
      </c>
      <c r="C98">
        <v>17653.900000000001</v>
      </c>
      <c r="D98">
        <v>17445.95</v>
      </c>
      <c r="E98">
        <v>17610.400000000001</v>
      </c>
      <c r="F98">
        <f t="shared" si="62"/>
        <v>207.95000000000073</v>
      </c>
      <c r="G98">
        <f t="shared" si="73"/>
        <v>37.600000000002183</v>
      </c>
      <c r="H98">
        <f t="shared" si="74"/>
        <v>170.34999999999854</v>
      </c>
      <c r="I98">
        <f t="shared" si="71"/>
        <v>207.95000000000073</v>
      </c>
      <c r="J98">
        <f t="shared" si="75"/>
        <v>0</v>
      </c>
      <c r="K98">
        <f t="shared" si="63"/>
        <v>0</v>
      </c>
      <c r="L98">
        <f t="shared" ref="L98:N98" si="107">SUM(I85:I98)</f>
        <v>3244.9499999999935</v>
      </c>
      <c r="M98">
        <f t="shared" si="107"/>
        <v>556.79999999999927</v>
      </c>
      <c r="N98">
        <f t="shared" si="107"/>
        <v>720.65000000000146</v>
      </c>
      <c r="O98" s="7">
        <f t="shared" si="65"/>
        <v>17.158970091989104</v>
      </c>
      <c r="P98" s="7">
        <f t="shared" si="66"/>
        <v>22.208354520100553</v>
      </c>
      <c r="Q98" s="7">
        <f t="shared" si="67"/>
        <v>5.0493844281114484</v>
      </c>
      <c r="R98" s="7">
        <f t="shared" si="68"/>
        <v>39.367324612089661</v>
      </c>
      <c r="S98" s="7">
        <f t="shared" si="69"/>
        <v>12.826333711691419</v>
      </c>
      <c r="T98" s="7">
        <f t="shared" si="103"/>
        <v>25.918303467493871</v>
      </c>
      <c r="U98" s="6" t="str">
        <f t="shared" si="70"/>
        <v>Weak</v>
      </c>
    </row>
    <row r="99" spans="1:21" x14ac:dyDescent="0.25">
      <c r="A99" s="1">
        <v>44960</v>
      </c>
      <c r="B99">
        <v>17721.75</v>
      </c>
      <c r="C99">
        <v>17870.3</v>
      </c>
      <c r="D99">
        <v>17584.2</v>
      </c>
      <c r="E99">
        <v>17854.05</v>
      </c>
      <c r="F99">
        <f t="shared" si="62"/>
        <v>286.09999999999854</v>
      </c>
      <c r="G99">
        <f t="shared" si="73"/>
        <v>259.89999999999782</v>
      </c>
      <c r="H99">
        <f t="shared" si="74"/>
        <v>26.200000000000728</v>
      </c>
      <c r="I99">
        <f t="shared" si="71"/>
        <v>286.09999999999854</v>
      </c>
      <c r="J99">
        <f t="shared" si="75"/>
        <v>216.39999999999782</v>
      </c>
      <c r="K99">
        <f t="shared" si="63"/>
        <v>0</v>
      </c>
      <c r="L99">
        <f t="shared" ref="L99:N99" si="108">SUM(I86:I99)</f>
        <v>3305.9499999999935</v>
      </c>
      <c r="M99">
        <f t="shared" si="108"/>
        <v>719.64999999999782</v>
      </c>
      <c r="N99">
        <f t="shared" si="108"/>
        <v>720.65000000000146</v>
      </c>
      <c r="O99" s="7">
        <f t="shared" si="65"/>
        <v>21.768326804700592</v>
      </c>
      <c r="P99" s="7">
        <f t="shared" si="66"/>
        <v>21.798575296057194</v>
      </c>
      <c r="Q99" s="7">
        <f t="shared" si="67"/>
        <v>3.0248491356601903E-2</v>
      </c>
      <c r="R99" s="7">
        <f t="shared" si="68"/>
        <v>43.566902100757787</v>
      </c>
      <c r="S99" s="7">
        <f t="shared" si="69"/>
        <v>6.9429979865554339E-2</v>
      </c>
      <c r="T99" s="7">
        <f t="shared" si="103"/>
        <v>23.612706466180828</v>
      </c>
      <c r="U99" s="6" t="str">
        <f t="shared" si="70"/>
        <v>Weak</v>
      </c>
    </row>
    <row r="100" spans="1:21" x14ac:dyDescent="0.25">
      <c r="A100" s="1">
        <v>44963</v>
      </c>
      <c r="B100">
        <v>17818.55</v>
      </c>
      <c r="C100">
        <v>17823.7</v>
      </c>
      <c r="D100">
        <v>17698.349999999999</v>
      </c>
      <c r="E100">
        <v>17764.599999999999</v>
      </c>
      <c r="F100">
        <f t="shared" si="62"/>
        <v>125.35000000000218</v>
      </c>
      <c r="G100">
        <f t="shared" si="73"/>
        <v>30.349999999998545</v>
      </c>
      <c r="H100">
        <f t="shared" si="74"/>
        <v>155.70000000000073</v>
      </c>
      <c r="I100">
        <f t="shared" si="71"/>
        <v>155.70000000000073</v>
      </c>
      <c r="J100">
        <f t="shared" si="75"/>
        <v>0</v>
      </c>
      <c r="K100">
        <f t="shared" si="63"/>
        <v>0</v>
      </c>
      <c r="L100">
        <f t="shared" ref="L100:N100" si="109">SUM(I87:I100)</f>
        <v>3265.6499999999942</v>
      </c>
      <c r="M100">
        <f t="shared" si="109"/>
        <v>669.34999999999491</v>
      </c>
      <c r="N100">
        <f t="shared" si="109"/>
        <v>720.65000000000146</v>
      </c>
      <c r="O100" s="7">
        <f t="shared" si="65"/>
        <v>20.496685192840509</v>
      </c>
      <c r="P100" s="7">
        <f t="shared" si="66"/>
        <v>22.067582257743563</v>
      </c>
      <c r="Q100" s="7">
        <f t="shared" si="67"/>
        <v>1.570897064903054</v>
      </c>
      <c r="R100" s="7">
        <f t="shared" si="68"/>
        <v>42.564267450584069</v>
      </c>
      <c r="S100" s="7">
        <f t="shared" si="69"/>
        <v>3.690647482014866</v>
      </c>
      <c r="T100" s="7">
        <f t="shared" si="103"/>
        <v>21.409500045319408</v>
      </c>
      <c r="U100" s="6" t="str">
        <f t="shared" si="70"/>
        <v>Weak</v>
      </c>
    </row>
    <row r="101" spans="1:21" x14ac:dyDescent="0.25">
      <c r="A101" s="1">
        <v>44964</v>
      </c>
      <c r="B101">
        <v>17790.099999999999</v>
      </c>
      <c r="C101">
        <v>17811.150000000001</v>
      </c>
      <c r="D101">
        <v>17652.55</v>
      </c>
      <c r="E101">
        <v>17721.5</v>
      </c>
      <c r="F101">
        <f t="shared" si="62"/>
        <v>158.60000000000218</v>
      </c>
      <c r="G101">
        <f t="shared" si="73"/>
        <v>46.55000000000291</v>
      </c>
      <c r="H101">
        <f t="shared" si="74"/>
        <v>112.04999999999927</v>
      </c>
      <c r="I101">
        <f t="shared" si="71"/>
        <v>158.60000000000218</v>
      </c>
      <c r="J101">
        <f t="shared" si="75"/>
        <v>0</v>
      </c>
      <c r="K101">
        <f t="shared" si="63"/>
        <v>45.799999999999272</v>
      </c>
      <c r="L101">
        <f t="shared" ref="L101:N101" si="110">SUM(I88:I101)</f>
        <v>3239.1499999999978</v>
      </c>
      <c r="M101">
        <f t="shared" si="110"/>
        <v>646.94999999999709</v>
      </c>
      <c r="N101">
        <f t="shared" si="110"/>
        <v>766.45000000000073</v>
      </c>
      <c r="O101" s="7">
        <f t="shared" si="65"/>
        <v>19.972832378864748</v>
      </c>
      <c r="P101" s="7">
        <f t="shared" si="66"/>
        <v>23.662071839834564</v>
      </c>
      <c r="Q101" s="7">
        <f t="shared" si="67"/>
        <v>3.6892394609698158</v>
      </c>
      <c r="R101" s="7">
        <f t="shared" si="68"/>
        <v>43.634904218699312</v>
      </c>
      <c r="S101" s="7">
        <f t="shared" si="69"/>
        <v>8.4547898684027096</v>
      </c>
      <c r="T101" s="7">
        <f t="shared" si="103"/>
        <v>19.531053732859846</v>
      </c>
      <c r="U101" s="6" t="str">
        <f t="shared" si="70"/>
        <v>Weak</v>
      </c>
    </row>
    <row r="102" spans="1:21" x14ac:dyDescent="0.25">
      <c r="A102" s="1">
        <v>44965</v>
      </c>
      <c r="B102">
        <v>17750.3</v>
      </c>
      <c r="C102">
        <v>17898.7</v>
      </c>
      <c r="D102">
        <v>17744.150000000001</v>
      </c>
      <c r="E102">
        <v>17871.7</v>
      </c>
      <c r="F102">
        <f t="shared" si="62"/>
        <v>154.54999999999927</v>
      </c>
      <c r="G102">
        <f t="shared" si="73"/>
        <v>177.20000000000073</v>
      </c>
      <c r="H102">
        <f t="shared" si="74"/>
        <v>22.650000000001455</v>
      </c>
      <c r="I102">
        <f t="shared" si="71"/>
        <v>177.20000000000073</v>
      </c>
      <c r="J102">
        <f t="shared" si="75"/>
        <v>87.549999999999272</v>
      </c>
      <c r="K102">
        <f t="shared" si="63"/>
        <v>0</v>
      </c>
      <c r="L102">
        <f t="shared" ref="L102:N102" si="111">SUM(I89:I102)</f>
        <v>3265.0499999999993</v>
      </c>
      <c r="M102">
        <f t="shared" si="111"/>
        <v>622.79999999999563</v>
      </c>
      <c r="N102">
        <f t="shared" si="111"/>
        <v>766.45000000000073</v>
      </c>
      <c r="O102" s="7">
        <f t="shared" si="65"/>
        <v>19.074746175403003</v>
      </c>
      <c r="P102" s="7">
        <f t="shared" si="66"/>
        <v>23.474372521094651</v>
      </c>
      <c r="Q102" s="7">
        <f t="shared" si="67"/>
        <v>4.3996263456916473</v>
      </c>
      <c r="R102" s="7">
        <f t="shared" si="68"/>
        <v>42.549118696497658</v>
      </c>
      <c r="S102" s="7">
        <f t="shared" si="69"/>
        <v>10.340111570991937</v>
      </c>
      <c r="T102" s="7">
        <f t="shared" si="103"/>
        <v>19.31692044504905</v>
      </c>
      <c r="U102" s="6" t="str">
        <f t="shared" si="70"/>
        <v>Weak</v>
      </c>
    </row>
    <row r="103" spans="1:21" x14ac:dyDescent="0.25">
      <c r="A103" s="1">
        <v>44966</v>
      </c>
      <c r="B103">
        <v>17885.5</v>
      </c>
      <c r="C103">
        <v>17916.900000000001</v>
      </c>
      <c r="D103">
        <v>17779.8</v>
      </c>
      <c r="E103">
        <v>17893.45</v>
      </c>
      <c r="F103">
        <f t="shared" si="62"/>
        <v>137.10000000000218</v>
      </c>
      <c r="G103">
        <f t="shared" si="73"/>
        <v>45.200000000000728</v>
      </c>
      <c r="H103">
        <f t="shared" si="74"/>
        <v>91.900000000001455</v>
      </c>
      <c r="I103">
        <f t="shared" si="71"/>
        <v>137.10000000000218</v>
      </c>
      <c r="J103">
        <f t="shared" si="75"/>
        <v>18.200000000000728</v>
      </c>
      <c r="K103">
        <f t="shared" si="63"/>
        <v>0</v>
      </c>
      <c r="L103">
        <f t="shared" ref="L103:N103" si="112">SUM(I90:I103)</f>
        <v>3300.5500000000029</v>
      </c>
      <c r="M103">
        <f t="shared" si="112"/>
        <v>640.99999999999636</v>
      </c>
      <c r="N103">
        <f t="shared" si="112"/>
        <v>766.45000000000073</v>
      </c>
      <c r="O103" s="7">
        <f t="shared" si="65"/>
        <v>19.421005589977298</v>
      </c>
      <c r="P103" s="7">
        <f t="shared" si="66"/>
        <v>23.221887261214043</v>
      </c>
      <c r="Q103" s="7">
        <f t="shared" si="67"/>
        <v>3.8008816712367448</v>
      </c>
      <c r="R103" s="7">
        <f t="shared" si="68"/>
        <v>42.642892851191341</v>
      </c>
      <c r="S103" s="7">
        <f t="shared" si="69"/>
        <v>8.913282887491901</v>
      </c>
      <c r="T103" s="7">
        <f t="shared" si="103"/>
        <v>18.680205076288527</v>
      </c>
      <c r="U103" s="6" t="str">
        <f t="shared" si="70"/>
        <v>Weak</v>
      </c>
    </row>
    <row r="104" spans="1:21" x14ac:dyDescent="0.25">
      <c r="A104" s="1">
        <v>44967</v>
      </c>
      <c r="B104">
        <v>17847.55</v>
      </c>
      <c r="C104">
        <v>17876.95</v>
      </c>
      <c r="D104">
        <v>17801</v>
      </c>
      <c r="E104">
        <v>17856.5</v>
      </c>
      <c r="F104">
        <f t="shared" si="62"/>
        <v>75.950000000000728</v>
      </c>
      <c r="G104">
        <f t="shared" si="73"/>
        <v>16.5</v>
      </c>
      <c r="H104">
        <f t="shared" si="74"/>
        <v>92.450000000000728</v>
      </c>
      <c r="I104">
        <f t="shared" si="71"/>
        <v>92.450000000000728</v>
      </c>
      <c r="J104">
        <f t="shared" si="75"/>
        <v>0</v>
      </c>
      <c r="K104">
        <f t="shared" si="63"/>
        <v>0</v>
      </c>
      <c r="L104">
        <f t="shared" ref="L104:N104" si="113">SUM(I91:I104)</f>
        <v>3263.7500000000036</v>
      </c>
      <c r="M104">
        <f t="shared" si="113"/>
        <v>640.99999999999636</v>
      </c>
      <c r="N104">
        <f t="shared" si="113"/>
        <v>718.90000000000146</v>
      </c>
      <c r="O104" s="7">
        <f t="shared" si="65"/>
        <v>19.639984680199024</v>
      </c>
      <c r="P104" s="7">
        <f t="shared" si="66"/>
        <v>22.026809651474551</v>
      </c>
      <c r="Q104" s="7">
        <f t="shared" si="67"/>
        <v>2.3868249712755265</v>
      </c>
      <c r="R104" s="7">
        <f t="shared" si="68"/>
        <v>41.666794331673572</v>
      </c>
      <c r="S104" s="7">
        <f t="shared" si="69"/>
        <v>5.7283623795871179</v>
      </c>
      <c r="T104" s="7">
        <f t="shared" si="103"/>
        <v>17.520673748908177</v>
      </c>
      <c r="U104" s="6" t="str">
        <f t="shared" si="70"/>
        <v>Weak</v>
      </c>
    </row>
    <row r="105" spans="1:21" x14ac:dyDescent="0.25">
      <c r="A105" s="1">
        <v>44970</v>
      </c>
      <c r="B105">
        <v>17859.099999999999</v>
      </c>
      <c r="C105">
        <v>17880.7</v>
      </c>
      <c r="D105">
        <v>17719.75</v>
      </c>
      <c r="E105">
        <v>17770.900000000001</v>
      </c>
      <c r="F105">
        <f t="shared" si="62"/>
        <v>160.95000000000073</v>
      </c>
      <c r="G105">
        <f t="shared" si="73"/>
        <v>24.200000000000728</v>
      </c>
      <c r="H105">
        <f t="shared" si="74"/>
        <v>136.75</v>
      </c>
      <c r="I105">
        <f t="shared" si="71"/>
        <v>160.95000000000073</v>
      </c>
      <c r="J105">
        <f t="shared" si="75"/>
        <v>0</v>
      </c>
      <c r="K105">
        <f t="shared" si="63"/>
        <v>81.25</v>
      </c>
      <c r="L105">
        <f t="shared" ref="L105:N105" si="114">SUM(I92:I105)</f>
        <v>3289.7500000000073</v>
      </c>
      <c r="M105">
        <f t="shared" si="114"/>
        <v>623.84999999999854</v>
      </c>
      <c r="N105">
        <f t="shared" si="114"/>
        <v>800.15000000000146</v>
      </c>
      <c r="O105" s="7">
        <f t="shared" si="65"/>
        <v>18.963447070445998</v>
      </c>
      <c r="P105" s="7">
        <f t="shared" si="66"/>
        <v>24.322516908579669</v>
      </c>
      <c r="Q105" s="7">
        <f t="shared" si="67"/>
        <v>5.3590698381336708</v>
      </c>
      <c r="R105" s="7">
        <f t="shared" si="68"/>
        <v>43.285963979025667</v>
      </c>
      <c r="S105" s="7">
        <f t="shared" si="69"/>
        <v>12.380617977528289</v>
      </c>
      <c r="T105" s="7">
        <f t="shared" si="103"/>
        <v>16.651321798894635</v>
      </c>
      <c r="U105" s="6" t="str">
        <f t="shared" si="70"/>
        <v>Weak</v>
      </c>
    </row>
    <row r="106" spans="1:21" x14ac:dyDescent="0.25">
      <c r="A106" s="1">
        <v>44971</v>
      </c>
      <c r="B106">
        <v>17840.349999999999</v>
      </c>
      <c r="C106">
        <v>17954.55</v>
      </c>
      <c r="D106">
        <v>17800.05</v>
      </c>
      <c r="E106">
        <v>17929.849999999999</v>
      </c>
      <c r="F106">
        <f t="shared" si="62"/>
        <v>154.5</v>
      </c>
      <c r="G106">
        <f t="shared" si="73"/>
        <v>183.64999999999782</v>
      </c>
      <c r="H106">
        <f t="shared" si="74"/>
        <v>29.149999999997817</v>
      </c>
      <c r="I106">
        <f t="shared" si="71"/>
        <v>183.64999999999782</v>
      </c>
      <c r="J106">
        <f t="shared" si="75"/>
        <v>73.849999999998545</v>
      </c>
      <c r="K106">
        <f t="shared" si="63"/>
        <v>0</v>
      </c>
      <c r="L106">
        <f t="shared" ref="L106:N106" si="115">SUM(I93:I106)</f>
        <v>3350.8000000000065</v>
      </c>
      <c r="M106">
        <f t="shared" si="115"/>
        <v>659.04999999999563</v>
      </c>
      <c r="N106">
        <f t="shared" si="115"/>
        <v>800.15000000000146</v>
      </c>
      <c r="O106" s="7">
        <f t="shared" si="65"/>
        <v>19.668437388086257</v>
      </c>
      <c r="P106" s="7">
        <f t="shared" si="66"/>
        <v>23.879372090247102</v>
      </c>
      <c r="Q106" s="7">
        <f t="shared" si="67"/>
        <v>4.210934702160845</v>
      </c>
      <c r="R106" s="7">
        <f t="shared" si="68"/>
        <v>43.547809478333363</v>
      </c>
      <c r="S106" s="7">
        <f t="shared" si="69"/>
        <v>9.6696820175442806</v>
      </c>
      <c r="T106" s="7">
        <f t="shared" si="103"/>
        <v>16.834223263858146</v>
      </c>
      <c r="U106" s="6" t="str">
        <f t="shared" si="70"/>
        <v>Weak</v>
      </c>
    </row>
    <row r="107" spans="1:21" x14ac:dyDescent="0.25">
      <c r="A107" s="1">
        <v>44972</v>
      </c>
      <c r="B107">
        <v>17896.599999999999</v>
      </c>
      <c r="C107">
        <v>18034.099999999999</v>
      </c>
      <c r="D107">
        <v>17853.8</v>
      </c>
      <c r="E107">
        <v>18015.849999999999</v>
      </c>
      <c r="F107">
        <f t="shared" si="62"/>
        <v>180.29999999999927</v>
      </c>
      <c r="G107">
        <f t="shared" si="73"/>
        <v>104.25</v>
      </c>
      <c r="H107">
        <f t="shared" si="74"/>
        <v>76.049999999999272</v>
      </c>
      <c r="I107">
        <f t="shared" si="71"/>
        <v>180.29999999999927</v>
      </c>
      <c r="J107">
        <f t="shared" si="75"/>
        <v>79.549999999999272</v>
      </c>
      <c r="K107">
        <f t="shared" si="63"/>
        <v>0</v>
      </c>
      <c r="L107">
        <f t="shared" ref="L107:N107" si="116">SUM(I94:I107)</f>
        <v>3258.950000000008</v>
      </c>
      <c r="M107">
        <f t="shared" si="116"/>
        <v>738.59999999999491</v>
      </c>
      <c r="N107">
        <f t="shared" si="116"/>
        <v>567.65000000000146</v>
      </c>
      <c r="O107" s="7">
        <f t="shared" si="65"/>
        <v>22.663741389097503</v>
      </c>
      <c r="P107" s="7">
        <f t="shared" si="66"/>
        <v>17.418186839319414</v>
      </c>
      <c r="Q107" s="7">
        <f t="shared" si="67"/>
        <v>5.2455545497780882</v>
      </c>
      <c r="R107" s="7">
        <f t="shared" si="68"/>
        <v>40.081928228416913</v>
      </c>
      <c r="S107" s="7">
        <f t="shared" si="69"/>
        <v>13.087081339712453</v>
      </c>
      <c r="T107" s="7">
        <f t="shared" si="103"/>
        <v>16.523092455811472</v>
      </c>
      <c r="U107" s="6" t="str">
        <f t="shared" si="70"/>
        <v>Weak</v>
      </c>
    </row>
    <row r="108" spans="1:21" x14ac:dyDescent="0.25">
      <c r="A108" s="1">
        <v>44973</v>
      </c>
      <c r="B108">
        <v>18094.75</v>
      </c>
      <c r="C108">
        <v>18134.75</v>
      </c>
      <c r="D108">
        <v>18000.650000000001</v>
      </c>
      <c r="E108">
        <v>18035.849999999999</v>
      </c>
      <c r="F108">
        <f t="shared" si="62"/>
        <v>134.09999999999854</v>
      </c>
      <c r="G108">
        <f t="shared" si="73"/>
        <v>118.90000000000146</v>
      </c>
      <c r="H108">
        <f t="shared" si="74"/>
        <v>15.19999999999709</v>
      </c>
      <c r="I108">
        <f t="shared" si="71"/>
        <v>134.09999999999854</v>
      </c>
      <c r="J108">
        <f t="shared" si="75"/>
        <v>100.65000000000146</v>
      </c>
      <c r="K108">
        <f t="shared" si="63"/>
        <v>0</v>
      </c>
      <c r="L108">
        <f t="shared" ref="L108:N108" si="117">SUM(I95:I108)</f>
        <v>2994.6500000000051</v>
      </c>
      <c r="M108">
        <f t="shared" si="117"/>
        <v>839.24999999999636</v>
      </c>
      <c r="N108">
        <f t="shared" si="117"/>
        <v>215.04999999999927</v>
      </c>
      <c r="O108" s="7">
        <f t="shared" si="65"/>
        <v>28.024977877214198</v>
      </c>
      <c r="P108" s="7">
        <f t="shared" si="66"/>
        <v>7.1811396991300791</v>
      </c>
      <c r="Q108" s="7">
        <f t="shared" si="67"/>
        <v>20.84383817808412</v>
      </c>
      <c r="R108" s="7">
        <f t="shared" si="68"/>
        <v>35.206117576344276</v>
      </c>
      <c r="S108" s="7">
        <f t="shared" si="69"/>
        <v>59.205159821682606</v>
      </c>
      <c r="T108" s="7">
        <f t="shared" si="103"/>
        <v>18.24494876601845</v>
      </c>
      <c r="U108" s="6" t="str">
        <f t="shared" si="70"/>
        <v>Weak</v>
      </c>
    </row>
    <row r="109" spans="1:21" x14ac:dyDescent="0.25">
      <c r="A109" s="1">
        <v>44974</v>
      </c>
      <c r="B109">
        <v>17974.849999999999</v>
      </c>
      <c r="C109">
        <v>18034.25</v>
      </c>
      <c r="D109">
        <v>17884.599999999999</v>
      </c>
      <c r="E109">
        <v>17944.2</v>
      </c>
      <c r="F109">
        <f t="shared" si="62"/>
        <v>149.65000000000146</v>
      </c>
      <c r="G109">
        <f t="shared" si="73"/>
        <v>1.5999999999985448</v>
      </c>
      <c r="H109">
        <f t="shared" si="74"/>
        <v>151.25</v>
      </c>
      <c r="I109">
        <f t="shared" si="71"/>
        <v>151.25</v>
      </c>
      <c r="J109">
        <f t="shared" si="75"/>
        <v>0</v>
      </c>
      <c r="K109">
        <f t="shared" si="63"/>
        <v>116.05000000000291</v>
      </c>
      <c r="L109">
        <f t="shared" ref="L109:N109" si="118">SUM(I96:I109)</f>
        <v>2842.3000000000029</v>
      </c>
      <c r="M109">
        <f t="shared" si="118"/>
        <v>839.24999999999636</v>
      </c>
      <c r="N109">
        <f t="shared" si="118"/>
        <v>243.10000000000218</v>
      </c>
      <c r="O109" s="7">
        <f t="shared" si="65"/>
        <v>29.527143510537083</v>
      </c>
      <c r="P109" s="7">
        <f t="shared" si="66"/>
        <v>8.552932484255777</v>
      </c>
      <c r="Q109" s="7">
        <f t="shared" si="67"/>
        <v>20.974211026281306</v>
      </c>
      <c r="R109" s="7">
        <f t="shared" si="68"/>
        <v>38.080075994792864</v>
      </c>
      <c r="S109" s="7">
        <f t="shared" si="69"/>
        <v>55.079225758765183</v>
      </c>
      <c r="T109" s="7">
        <f t="shared" si="103"/>
        <v>18.565995321934235</v>
      </c>
      <c r="U109" s="6" t="str">
        <f t="shared" si="70"/>
        <v>Weak</v>
      </c>
    </row>
    <row r="110" spans="1:21" x14ac:dyDescent="0.25">
      <c r="A110" s="1">
        <v>44977</v>
      </c>
      <c r="B110">
        <v>17965.55</v>
      </c>
      <c r="C110">
        <v>18004.349999999999</v>
      </c>
      <c r="D110">
        <v>17818.400000000001</v>
      </c>
      <c r="E110">
        <v>17844.599999999999</v>
      </c>
      <c r="F110">
        <f t="shared" si="62"/>
        <v>185.94999999999709</v>
      </c>
      <c r="G110">
        <f t="shared" si="73"/>
        <v>60.149999999997817</v>
      </c>
      <c r="H110">
        <f t="shared" si="74"/>
        <v>125.79999999999927</v>
      </c>
      <c r="I110">
        <f t="shared" si="71"/>
        <v>185.94999999999709</v>
      </c>
      <c r="J110">
        <f t="shared" si="75"/>
        <v>0</v>
      </c>
      <c r="K110">
        <f t="shared" si="63"/>
        <v>66.19999999999709</v>
      </c>
      <c r="L110">
        <f t="shared" ref="L110:N110" si="119">SUM(I97:I110)</f>
        <v>2830.0999999999985</v>
      </c>
      <c r="M110">
        <f t="shared" si="119"/>
        <v>812.69999999999709</v>
      </c>
      <c r="N110">
        <f t="shared" si="119"/>
        <v>309.29999999999927</v>
      </c>
      <c r="O110" s="7">
        <f t="shared" si="65"/>
        <v>28.71629977739294</v>
      </c>
      <c r="P110" s="7">
        <f t="shared" si="66"/>
        <v>10.928942440196439</v>
      </c>
      <c r="Q110" s="7">
        <f t="shared" si="67"/>
        <v>17.787357337196504</v>
      </c>
      <c r="R110" s="7">
        <f t="shared" si="68"/>
        <v>39.645242217589377</v>
      </c>
      <c r="S110" s="7">
        <f t="shared" si="69"/>
        <v>44.866310160427773</v>
      </c>
      <c r="T110" s="7">
        <f t="shared" si="103"/>
        <v>18.658275645897284</v>
      </c>
      <c r="U110" s="6" t="str">
        <f t="shared" si="70"/>
        <v>Weak</v>
      </c>
    </row>
    <row r="111" spans="1:21" x14ac:dyDescent="0.25">
      <c r="A111" s="1">
        <v>44978</v>
      </c>
      <c r="B111">
        <v>17905.8</v>
      </c>
      <c r="C111">
        <v>17924.900000000001</v>
      </c>
      <c r="D111">
        <v>17800.3</v>
      </c>
      <c r="E111">
        <v>17826.7</v>
      </c>
      <c r="F111">
        <f t="shared" si="62"/>
        <v>124.60000000000218</v>
      </c>
      <c r="G111">
        <f t="shared" si="73"/>
        <v>80.30000000000291</v>
      </c>
      <c r="H111">
        <f t="shared" si="74"/>
        <v>44.299999999999272</v>
      </c>
      <c r="I111">
        <f t="shared" si="71"/>
        <v>124.60000000000218</v>
      </c>
      <c r="J111">
        <f t="shared" si="75"/>
        <v>0</v>
      </c>
      <c r="K111">
        <f t="shared" si="63"/>
        <v>18.100000000002183</v>
      </c>
      <c r="L111">
        <f t="shared" ref="L111:N111" si="120">SUM(I98:I111)</f>
        <v>2335.9000000000015</v>
      </c>
      <c r="M111">
        <f t="shared" si="120"/>
        <v>576.19999999999709</v>
      </c>
      <c r="N111">
        <f t="shared" si="120"/>
        <v>327.40000000000146</v>
      </c>
      <c r="O111" s="7">
        <f t="shared" si="65"/>
        <v>24.667151847253596</v>
      </c>
      <c r="P111" s="7">
        <f t="shared" si="66"/>
        <v>14.016010959373315</v>
      </c>
      <c r="Q111" s="7">
        <f t="shared" si="67"/>
        <v>10.651140887880281</v>
      </c>
      <c r="R111" s="7">
        <f t="shared" si="68"/>
        <v>38.68316280662691</v>
      </c>
      <c r="S111" s="7">
        <f t="shared" si="69"/>
        <v>27.534307215581677</v>
      </c>
      <c r="T111" s="7">
        <f t="shared" si="103"/>
        <v>19.417524440806268</v>
      </c>
      <c r="U111" s="6" t="str">
        <f t="shared" si="70"/>
        <v>Weak</v>
      </c>
    </row>
    <row r="112" spans="1:21" x14ac:dyDescent="0.25">
      <c r="A112" s="1">
        <v>44979</v>
      </c>
      <c r="B112">
        <v>17755.349999999999</v>
      </c>
      <c r="C112">
        <v>17772.5</v>
      </c>
      <c r="D112">
        <v>17529.45</v>
      </c>
      <c r="E112">
        <v>17554.3</v>
      </c>
      <c r="F112">
        <f t="shared" si="62"/>
        <v>243.04999999999927</v>
      </c>
      <c r="G112">
        <f t="shared" si="73"/>
        <v>54.200000000000728</v>
      </c>
      <c r="H112">
        <f t="shared" si="74"/>
        <v>297.25</v>
      </c>
      <c r="I112">
        <f t="shared" si="71"/>
        <v>297.25</v>
      </c>
      <c r="J112">
        <f t="shared" si="75"/>
        <v>0</v>
      </c>
      <c r="K112">
        <f t="shared" si="63"/>
        <v>270.84999999999854</v>
      </c>
      <c r="L112">
        <f t="shared" ref="L112:N112" si="121">SUM(I99:I112)</f>
        <v>2425.2000000000007</v>
      </c>
      <c r="M112">
        <f t="shared" si="121"/>
        <v>576.19999999999709</v>
      </c>
      <c r="N112">
        <f t="shared" si="121"/>
        <v>598.25</v>
      </c>
      <c r="O112" s="7">
        <f t="shared" si="65"/>
        <v>23.758865248226822</v>
      </c>
      <c r="P112" s="7">
        <f t="shared" si="66"/>
        <v>24.668068612897898</v>
      </c>
      <c r="Q112" s="7">
        <f t="shared" si="67"/>
        <v>0.90920336467107532</v>
      </c>
      <c r="R112" s="7">
        <f t="shared" si="68"/>
        <v>48.426933861124724</v>
      </c>
      <c r="S112" s="7">
        <f t="shared" si="69"/>
        <v>1.8774745625614524</v>
      </c>
      <c r="T112" s="7">
        <f t="shared" si="103"/>
        <v>18.635463073011273</v>
      </c>
      <c r="U112" s="6" t="str">
        <f t="shared" si="70"/>
        <v>Weak</v>
      </c>
    </row>
    <row r="113" spans="1:21" x14ac:dyDescent="0.25">
      <c r="A113" s="1">
        <v>44980</v>
      </c>
      <c r="B113">
        <v>17574.650000000001</v>
      </c>
      <c r="C113">
        <v>17620.05</v>
      </c>
      <c r="D113">
        <v>17455.400000000001</v>
      </c>
      <c r="E113">
        <v>17511.25</v>
      </c>
      <c r="F113">
        <f t="shared" si="62"/>
        <v>164.64999999999782</v>
      </c>
      <c r="G113">
        <f t="shared" si="73"/>
        <v>65.75</v>
      </c>
      <c r="H113">
        <f t="shared" si="74"/>
        <v>98.899999999997817</v>
      </c>
      <c r="I113">
        <f t="shared" si="71"/>
        <v>164.64999999999782</v>
      </c>
      <c r="J113">
        <f t="shared" si="75"/>
        <v>0</v>
      </c>
      <c r="K113">
        <f t="shared" si="63"/>
        <v>74.049999999999272</v>
      </c>
      <c r="L113">
        <f t="shared" ref="L113:N113" si="122">SUM(I100:I113)</f>
        <v>2303.75</v>
      </c>
      <c r="M113">
        <f t="shared" si="122"/>
        <v>359.79999999999927</v>
      </c>
      <c r="N113">
        <f t="shared" si="122"/>
        <v>672.29999999999927</v>
      </c>
      <c r="O113" s="7">
        <f t="shared" si="65"/>
        <v>15.618014107433501</v>
      </c>
      <c r="P113" s="7">
        <f t="shared" si="66"/>
        <v>29.182854042322269</v>
      </c>
      <c r="Q113" s="7">
        <f t="shared" si="67"/>
        <v>13.564839934888768</v>
      </c>
      <c r="R113" s="7">
        <f t="shared" si="68"/>
        <v>44.800868149755772</v>
      </c>
      <c r="S113" s="7">
        <f t="shared" si="69"/>
        <v>30.27807383005527</v>
      </c>
      <c r="T113" s="7">
        <f t="shared" si="103"/>
        <v>20.793223348024828</v>
      </c>
      <c r="U113" s="6" t="str">
        <f t="shared" si="70"/>
        <v>Weak</v>
      </c>
    </row>
    <row r="114" spans="1:21" x14ac:dyDescent="0.25">
      <c r="A114" s="1">
        <v>44981</v>
      </c>
      <c r="B114">
        <v>17591.349999999999</v>
      </c>
      <c r="C114">
        <v>17599.75</v>
      </c>
      <c r="D114">
        <v>17421.8</v>
      </c>
      <c r="E114">
        <v>17465.8</v>
      </c>
      <c r="F114">
        <f t="shared" si="62"/>
        <v>177.95000000000073</v>
      </c>
      <c r="G114">
        <f t="shared" si="73"/>
        <v>88.5</v>
      </c>
      <c r="H114">
        <f t="shared" si="74"/>
        <v>89.450000000000728</v>
      </c>
      <c r="I114">
        <f t="shared" si="71"/>
        <v>177.95000000000073</v>
      </c>
      <c r="J114">
        <f t="shared" si="75"/>
        <v>0</v>
      </c>
      <c r="K114">
        <f t="shared" si="63"/>
        <v>33.600000000002183</v>
      </c>
      <c r="L114">
        <f t="shared" ref="L114:N114" si="123">SUM(I101:I114)</f>
        <v>2326</v>
      </c>
      <c r="M114">
        <f t="shared" si="123"/>
        <v>359.79999999999927</v>
      </c>
      <c r="N114">
        <f t="shared" si="123"/>
        <v>705.90000000000146</v>
      </c>
      <c r="O114" s="7">
        <f t="shared" si="65"/>
        <v>15.468615649183114</v>
      </c>
      <c r="P114" s="7">
        <f t="shared" si="66"/>
        <v>30.348237317282951</v>
      </c>
      <c r="Q114" s="7">
        <f t="shared" si="67"/>
        <v>14.879621668099837</v>
      </c>
      <c r="R114" s="7">
        <f t="shared" si="68"/>
        <v>45.816852966466065</v>
      </c>
      <c r="S114" s="7">
        <f t="shared" si="69"/>
        <v>32.476306652904377</v>
      </c>
      <c r="T114" s="7">
        <f t="shared" si="103"/>
        <v>22.84934186023122</v>
      </c>
      <c r="U114" s="6" t="str">
        <f t="shared" si="70"/>
        <v>Weak</v>
      </c>
    </row>
    <row r="115" spans="1:21" x14ac:dyDescent="0.25">
      <c r="A115" s="1">
        <v>44984</v>
      </c>
      <c r="B115">
        <v>17428.599999999999</v>
      </c>
      <c r="C115">
        <v>17451.599999999999</v>
      </c>
      <c r="D115">
        <v>17299</v>
      </c>
      <c r="E115">
        <v>17392.7</v>
      </c>
      <c r="F115">
        <f t="shared" si="62"/>
        <v>152.59999999999854</v>
      </c>
      <c r="G115">
        <f t="shared" si="73"/>
        <v>14.200000000000728</v>
      </c>
      <c r="H115">
        <f t="shared" si="74"/>
        <v>166.79999999999927</v>
      </c>
      <c r="I115">
        <f t="shared" si="71"/>
        <v>166.79999999999927</v>
      </c>
      <c r="J115">
        <f t="shared" si="75"/>
        <v>0</v>
      </c>
      <c r="K115">
        <f t="shared" si="63"/>
        <v>122.79999999999927</v>
      </c>
      <c r="L115">
        <f t="shared" ref="L115:N115" si="124">SUM(I102:I115)</f>
        <v>2334.1999999999971</v>
      </c>
      <c r="M115">
        <f t="shared" si="124"/>
        <v>359.79999999999927</v>
      </c>
      <c r="N115">
        <f t="shared" si="124"/>
        <v>782.90000000000146</v>
      </c>
      <c r="O115" s="7">
        <f t="shared" si="65"/>
        <v>15.414274697969313</v>
      </c>
      <c r="P115" s="7">
        <f t="shared" si="66"/>
        <v>33.540399280267437</v>
      </c>
      <c r="Q115" s="7">
        <f t="shared" si="67"/>
        <v>18.126124582298125</v>
      </c>
      <c r="R115" s="7">
        <f t="shared" si="68"/>
        <v>48.954673978236748</v>
      </c>
      <c r="S115" s="7">
        <f t="shared" si="69"/>
        <v>37.026341121904437</v>
      </c>
      <c r="T115" s="7">
        <f t="shared" si="103"/>
        <v>24.890166949767053</v>
      </c>
      <c r="U115" s="6" t="str">
        <f t="shared" si="70"/>
        <v>Weak</v>
      </c>
    </row>
    <row r="116" spans="1:21" x14ac:dyDescent="0.25">
      <c r="A116" s="1">
        <v>44985</v>
      </c>
      <c r="B116">
        <v>17383.25</v>
      </c>
      <c r="C116">
        <v>17440.45</v>
      </c>
      <c r="D116">
        <v>17255.2</v>
      </c>
      <c r="E116">
        <v>17303.95</v>
      </c>
      <c r="F116">
        <f t="shared" si="62"/>
        <v>185.25</v>
      </c>
      <c r="G116">
        <f t="shared" si="73"/>
        <v>47.75</v>
      </c>
      <c r="H116">
        <f t="shared" si="74"/>
        <v>137.5</v>
      </c>
      <c r="I116">
        <f t="shared" si="71"/>
        <v>185.25</v>
      </c>
      <c r="J116">
        <f t="shared" si="75"/>
        <v>0</v>
      </c>
      <c r="K116">
        <f t="shared" si="63"/>
        <v>43.799999999999272</v>
      </c>
      <c r="L116">
        <f t="shared" ref="L116:N116" si="125">SUM(I103:I116)</f>
        <v>2342.2499999999964</v>
      </c>
      <c r="M116">
        <f t="shared" si="125"/>
        <v>272.25</v>
      </c>
      <c r="N116">
        <f t="shared" si="125"/>
        <v>826.70000000000073</v>
      </c>
      <c r="O116" s="7">
        <f t="shared" si="65"/>
        <v>11.623439000960632</v>
      </c>
      <c r="P116" s="7">
        <f t="shared" si="66"/>
        <v>35.295122211548815</v>
      </c>
      <c r="Q116" s="7">
        <f t="shared" si="67"/>
        <v>23.671683210588185</v>
      </c>
      <c r="R116" s="7">
        <f t="shared" si="68"/>
        <v>46.918561212509445</v>
      </c>
      <c r="S116" s="7">
        <f t="shared" si="69"/>
        <v>50.452704854634014</v>
      </c>
      <c r="T116" s="7">
        <f t="shared" si="103"/>
        <v>27.755352184312919</v>
      </c>
      <c r="U116" s="6" t="str">
        <f t="shared" si="70"/>
        <v>Weak</v>
      </c>
    </row>
    <row r="117" spans="1:21" x14ac:dyDescent="0.25">
      <c r="A117" s="1">
        <v>44986</v>
      </c>
      <c r="B117">
        <v>17360.099999999999</v>
      </c>
      <c r="C117">
        <v>17467.75</v>
      </c>
      <c r="D117">
        <v>17345.25</v>
      </c>
      <c r="E117">
        <v>17450.900000000001</v>
      </c>
      <c r="F117">
        <f t="shared" si="62"/>
        <v>122.5</v>
      </c>
      <c r="G117">
        <f t="shared" si="73"/>
        <v>163.79999999999927</v>
      </c>
      <c r="H117">
        <f t="shared" si="74"/>
        <v>41.299999999999272</v>
      </c>
      <c r="I117">
        <f t="shared" si="71"/>
        <v>163.79999999999927</v>
      </c>
      <c r="J117">
        <f t="shared" si="75"/>
        <v>27.299999999999272</v>
      </c>
      <c r="K117">
        <f t="shared" si="63"/>
        <v>0</v>
      </c>
      <c r="L117">
        <f t="shared" ref="L117:N117" si="126">SUM(I104:I117)</f>
        <v>2368.9499999999935</v>
      </c>
      <c r="M117">
        <f t="shared" si="126"/>
        <v>281.34999999999854</v>
      </c>
      <c r="N117">
        <f t="shared" si="126"/>
        <v>826.70000000000073</v>
      </c>
      <c r="O117" s="7">
        <f t="shared" si="65"/>
        <v>11.876569788302806</v>
      </c>
      <c r="P117" s="7">
        <f t="shared" si="66"/>
        <v>34.897317376897064</v>
      </c>
      <c r="Q117" s="7">
        <f t="shared" si="67"/>
        <v>23.020747588594258</v>
      </c>
      <c r="R117" s="7">
        <f t="shared" si="68"/>
        <v>46.773887165199866</v>
      </c>
      <c r="S117" s="7">
        <f t="shared" si="69"/>
        <v>49.21709309146722</v>
      </c>
      <c r="T117" s="7">
        <f t="shared" si="103"/>
        <v>30.634195770311152</v>
      </c>
      <c r="U117" s="6" t="str">
        <f t="shared" si="70"/>
        <v>Strong</v>
      </c>
    </row>
    <row r="118" spans="1:21" x14ac:dyDescent="0.25">
      <c r="A118" s="1">
        <v>44987</v>
      </c>
      <c r="B118">
        <v>17421.5</v>
      </c>
      <c r="C118">
        <v>17445.8</v>
      </c>
      <c r="D118">
        <v>17306</v>
      </c>
      <c r="E118">
        <v>17321.900000000001</v>
      </c>
      <c r="F118">
        <f t="shared" si="62"/>
        <v>139.79999999999927</v>
      </c>
      <c r="G118">
        <f t="shared" si="73"/>
        <v>5.1000000000021828</v>
      </c>
      <c r="H118">
        <f t="shared" si="74"/>
        <v>144.90000000000146</v>
      </c>
      <c r="I118">
        <f t="shared" si="71"/>
        <v>144.90000000000146</v>
      </c>
      <c r="J118">
        <f t="shared" si="75"/>
        <v>0</v>
      </c>
      <c r="K118">
        <f t="shared" si="63"/>
        <v>39.25</v>
      </c>
      <c r="L118">
        <f t="shared" ref="L118:N118" si="127">SUM(I105:I118)</f>
        <v>2421.3999999999942</v>
      </c>
      <c r="M118">
        <f t="shared" si="127"/>
        <v>281.34999999999854</v>
      </c>
      <c r="N118">
        <f t="shared" si="127"/>
        <v>865.95000000000073</v>
      </c>
      <c r="O118" s="7">
        <f t="shared" si="65"/>
        <v>11.619311142314331</v>
      </c>
      <c r="P118" s="7">
        <f t="shared" si="66"/>
        <v>35.76236887750899</v>
      </c>
      <c r="Q118" s="7">
        <f t="shared" si="67"/>
        <v>24.14305773519466</v>
      </c>
      <c r="R118" s="7">
        <f t="shared" si="68"/>
        <v>47.381680019823321</v>
      </c>
      <c r="S118" s="7">
        <f t="shared" si="69"/>
        <v>50.954414712804194</v>
      </c>
      <c r="T118" s="7">
        <f t="shared" si="103"/>
        <v>33.864628079826659</v>
      </c>
      <c r="U118" s="6" t="str">
        <f t="shared" si="70"/>
        <v>Strong</v>
      </c>
    </row>
    <row r="119" spans="1:21" x14ac:dyDescent="0.25">
      <c r="A119" s="1">
        <v>44988</v>
      </c>
      <c r="B119">
        <v>17451.25</v>
      </c>
      <c r="C119">
        <v>17644.75</v>
      </c>
      <c r="D119">
        <v>17427.7</v>
      </c>
      <c r="E119">
        <v>17594.349999999999</v>
      </c>
      <c r="F119">
        <f t="shared" si="62"/>
        <v>217.04999999999927</v>
      </c>
      <c r="G119">
        <f t="shared" si="73"/>
        <v>322.84999999999854</v>
      </c>
      <c r="H119">
        <f t="shared" si="74"/>
        <v>105.79999999999927</v>
      </c>
      <c r="I119">
        <f t="shared" si="71"/>
        <v>322.84999999999854</v>
      </c>
      <c r="J119">
        <f t="shared" si="75"/>
        <v>198.95000000000073</v>
      </c>
      <c r="K119">
        <f t="shared" si="63"/>
        <v>0</v>
      </c>
      <c r="L119">
        <f t="shared" ref="L119:N119" si="128">SUM(I106:I119)</f>
        <v>2583.299999999992</v>
      </c>
      <c r="M119">
        <f t="shared" si="128"/>
        <v>480.29999999999927</v>
      </c>
      <c r="N119">
        <f t="shared" si="128"/>
        <v>784.70000000000073</v>
      </c>
      <c r="O119" s="7">
        <f t="shared" si="65"/>
        <v>18.592497967715744</v>
      </c>
      <c r="P119" s="7">
        <f t="shared" si="66"/>
        <v>30.375875817752608</v>
      </c>
      <c r="Q119" s="7">
        <f t="shared" si="67"/>
        <v>11.783377850036864</v>
      </c>
      <c r="R119" s="7">
        <f t="shared" si="68"/>
        <v>48.968373785468351</v>
      </c>
      <c r="S119" s="7">
        <f t="shared" si="69"/>
        <v>24.063241106719474</v>
      </c>
      <c r="T119" s="7">
        <f t="shared" si="103"/>
        <v>34.699101160483174</v>
      </c>
      <c r="U119" s="6" t="str">
        <f t="shared" si="70"/>
        <v>Strong</v>
      </c>
    </row>
    <row r="120" spans="1:21" x14ac:dyDescent="0.25">
      <c r="A120" s="1">
        <v>44991</v>
      </c>
      <c r="B120">
        <v>17680.349999999999</v>
      </c>
      <c r="C120">
        <v>17799.95</v>
      </c>
      <c r="D120">
        <v>17671.95</v>
      </c>
      <c r="E120">
        <v>17711.45</v>
      </c>
      <c r="F120">
        <f t="shared" si="62"/>
        <v>128</v>
      </c>
      <c r="G120">
        <f t="shared" si="73"/>
        <v>205.60000000000218</v>
      </c>
      <c r="H120">
        <f t="shared" si="74"/>
        <v>77.600000000002183</v>
      </c>
      <c r="I120">
        <f t="shared" si="71"/>
        <v>205.60000000000218</v>
      </c>
      <c r="J120">
        <f t="shared" si="75"/>
        <v>155.20000000000073</v>
      </c>
      <c r="K120">
        <f t="shared" si="63"/>
        <v>0</v>
      </c>
      <c r="L120">
        <f t="shared" ref="L120:N120" si="129">SUM(I107:I120)</f>
        <v>2605.2499999999964</v>
      </c>
      <c r="M120">
        <f t="shared" si="129"/>
        <v>561.65000000000146</v>
      </c>
      <c r="N120">
        <f t="shared" si="129"/>
        <v>784.70000000000073</v>
      </c>
      <c r="O120" s="7">
        <f t="shared" si="65"/>
        <v>21.558391709049122</v>
      </c>
      <c r="P120" s="7">
        <f t="shared" si="66"/>
        <v>30.119950100758153</v>
      </c>
      <c r="Q120" s="7">
        <f t="shared" si="67"/>
        <v>8.5615583917090312</v>
      </c>
      <c r="R120" s="7">
        <f t="shared" si="68"/>
        <v>51.678341809807279</v>
      </c>
      <c r="S120" s="7">
        <f t="shared" si="69"/>
        <v>16.567014520741179</v>
      </c>
      <c r="T120" s="7">
        <f t="shared" si="103"/>
        <v>35.19176776785438</v>
      </c>
      <c r="U120" s="6" t="str">
        <f t="shared" si="70"/>
        <v>Strong</v>
      </c>
    </row>
    <row r="121" spans="1:21" x14ac:dyDescent="0.25">
      <c r="A121" s="1">
        <v>44993</v>
      </c>
      <c r="B121">
        <v>17665.75</v>
      </c>
      <c r="C121">
        <v>17766.5</v>
      </c>
      <c r="D121">
        <v>17602.25</v>
      </c>
      <c r="E121">
        <v>17754.400000000001</v>
      </c>
      <c r="F121">
        <f t="shared" si="62"/>
        <v>164.25</v>
      </c>
      <c r="G121">
        <f t="shared" si="73"/>
        <v>55.049999999999272</v>
      </c>
      <c r="H121">
        <f t="shared" si="74"/>
        <v>109.20000000000073</v>
      </c>
      <c r="I121">
        <f t="shared" si="71"/>
        <v>164.25</v>
      </c>
      <c r="J121">
        <f t="shared" si="75"/>
        <v>0</v>
      </c>
      <c r="K121">
        <f t="shared" si="63"/>
        <v>69.700000000000728</v>
      </c>
      <c r="L121">
        <f t="shared" ref="L121:N121" si="130">SUM(I108:I121)</f>
        <v>2589.1999999999971</v>
      </c>
      <c r="M121">
        <f t="shared" si="130"/>
        <v>482.10000000000218</v>
      </c>
      <c r="N121">
        <f t="shared" si="130"/>
        <v>854.40000000000146</v>
      </c>
      <c r="O121" s="7">
        <f t="shared" si="65"/>
        <v>18.619650857407798</v>
      </c>
      <c r="P121" s="7">
        <f t="shared" si="66"/>
        <v>32.998609609145774</v>
      </c>
      <c r="Q121" s="7">
        <f t="shared" si="67"/>
        <v>14.378958751737976</v>
      </c>
      <c r="R121" s="7">
        <f t="shared" si="68"/>
        <v>51.618260466553572</v>
      </c>
      <c r="S121" s="7">
        <f t="shared" si="69"/>
        <v>27.856341189674396</v>
      </c>
      <c r="T121" s="7">
        <f t="shared" si="103"/>
        <v>36.246714899994515</v>
      </c>
      <c r="U121" s="6" t="str">
        <f t="shared" si="70"/>
        <v>Strong</v>
      </c>
    </row>
    <row r="122" spans="1:21" x14ac:dyDescent="0.25">
      <c r="A122" s="1">
        <v>44994</v>
      </c>
      <c r="B122">
        <v>17772.05</v>
      </c>
      <c r="C122">
        <v>17772.349999999999</v>
      </c>
      <c r="D122">
        <v>17573.599999999999</v>
      </c>
      <c r="E122">
        <v>17589.599999999999</v>
      </c>
      <c r="F122">
        <f t="shared" si="62"/>
        <v>198.75</v>
      </c>
      <c r="G122">
        <f t="shared" si="73"/>
        <v>17.94999999999709</v>
      </c>
      <c r="H122">
        <f t="shared" si="74"/>
        <v>180.80000000000291</v>
      </c>
      <c r="I122">
        <f t="shared" si="71"/>
        <v>198.75</v>
      </c>
      <c r="J122">
        <f t="shared" si="75"/>
        <v>0</v>
      </c>
      <c r="K122">
        <f t="shared" si="63"/>
        <v>28.650000000001455</v>
      </c>
      <c r="L122">
        <f t="shared" ref="L122:N122" si="131">SUM(I109:I122)</f>
        <v>2653.8499999999985</v>
      </c>
      <c r="M122">
        <f t="shared" si="131"/>
        <v>381.45000000000073</v>
      </c>
      <c r="N122">
        <f t="shared" si="131"/>
        <v>883.05000000000291</v>
      </c>
      <c r="O122" s="7">
        <f t="shared" si="65"/>
        <v>14.373457429771877</v>
      </c>
      <c r="P122" s="7">
        <f t="shared" si="66"/>
        <v>33.274299602464474</v>
      </c>
      <c r="Q122" s="7">
        <f t="shared" si="67"/>
        <v>18.900842172692599</v>
      </c>
      <c r="R122" s="7">
        <f t="shared" si="68"/>
        <v>47.647757032236349</v>
      </c>
      <c r="S122" s="7">
        <f t="shared" si="69"/>
        <v>39.667852906287131</v>
      </c>
      <c r="T122" s="7">
        <f t="shared" si="103"/>
        <v>34.851192977466276</v>
      </c>
      <c r="U122" s="6" t="str">
        <f t="shared" si="70"/>
        <v>Strong</v>
      </c>
    </row>
    <row r="123" spans="1:21" x14ac:dyDescent="0.25">
      <c r="A123" s="1">
        <v>44995</v>
      </c>
      <c r="B123">
        <v>17443.8</v>
      </c>
      <c r="C123">
        <v>17451.5</v>
      </c>
      <c r="D123">
        <v>17324.349999999999</v>
      </c>
      <c r="E123">
        <v>17412.900000000001</v>
      </c>
      <c r="F123">
        <f t="shared" si="62"/>
        <v>127.15000000000146</v>
      </c>
      <c r="G123">
        <f t="shared" si="73"/>
        <v>138.09999999999854</v>
      </c>
      <c r="H123">
        <f t="shared" si="74"/>
        <v>265.25</v>
      </c>
      <c r="I123">
        <f t="shared" si="71"/>
        <v>265.25</v>
      </c>
      <c r="J123">
        <f t="shared" si="75"/>
        <v>0</v>
      </c>
      <c r="K123">
        <f t="shared" si="63"/>
        <v>249.25</v>
      </c>
      <c r="L123">
        <f t="shared" ref="L123:N123" si="132">SUM(I110:I123)</f>
        <v>2767.8499999999985</v>
      </c>
      <c r="M123">
        <f t="shared" si="132"/>
        <v>381.45000000000073</v>
      </c>
      <c r="N123">
        <f t="shared" si="132"/>
        <v>1016.25</v>
      </c>
      <c r="O123" s="7">
        <f t="shared" si="65"/>
        <v>13.781454919883698</v>
      </c>
      <c r="P123" s="7">
        <f t="shared" si="66"/>
        <v>36.716223783803329</v>
      </c>
      <c r="Q123" s="7">
        <f t="shared" si="67"/>
        <v>22.934768863919629</v>
      </c>
      <c r="R123" s="7">
        <f t="shared" si="68"/>
        <v>50.497678703687029</v>
      </c>
      <c r="S123" s="7">
        <f t="shared" si="69"/>
        <v>45.417471560420609</v>
      </c>
      <c r="T123" s="7">
        <f t="shared" si="103"/>
        <v>34.161067677584512</v>
      </c>
      <c r="U123" s="6" t="str">
        <f t="shared" si="70"/>
        <v>Strong</v>
      </c>
    </row>
    <row r="124" spans="1:21" x14ac:dyDescent="0.25">
      <c r="A124" s="1">
        <v>44998</v>
      </c>
      <c r="B124">
        <v>17421.900000000001</v>
      </c>
      <c r="C124">
        <v>17529.900000000001</v>
      </c>
      <c r="D124">
        <v>17113.45</v>
      </c>
      <c r="E124">
        <v>17154.3</v>
      </c>
      <c r="F124">
        <f t="shared" si="62"/>
        <v>416.45000000000073</v>
      </c>
      <c r="G124">
        <f t="shared" si="73"/>
        <v>117</v>
      </c>
      <c r="H124">
        <f t="shared" si="74"/>
        <v>299.45000000000073</v>
      </c>
      <c r="I124">
        <f t="shared" si="71"/>
        <v>416.45000000000073</v>
      </c>
      <c r="J124">
        <f t="shared" si="75"/>
        <v>0</v>
      </c>
      <c r="K124">
        <f t="shared" si="63"/>
        <v>210.89999999999782</v>
      </c>
      <c r="L124">
        <f t="shared" ref="L124:N124" si="133">SUM(I111:I124)</f>
        <v>2998.3500000000022</v>
      </c>
      <c r="M124">
        <f t="shared" si="133"/>
        <v>381.45000000000073</v>
      </c>
      <c r="N124">
        <f t="shared" si="133"/>
        <v>1160.9500000000007</v>
      </c>
      <c r="O124" s="7">
        <f t="shared" si="65"/>
        <v>12.721997098404136</v>
      </c>
      <c r="P124" s="7">
        <f t="shared" si="66"/>
        <v>38.71962912935448</v>
      </c>
      <c r="Q124" s="7">
        <f t="shared" si="67"/>
        <v>25.997632030950342</v>
      </c>
      <c r="R124" s="7">
        <f t="shared" si="68"/>
        <v>51.441626227758618</v>
      </c>
      <c r="S124" s="7">
        <f t="shared" si="69"/>
        <v>50.538122406638962</v>
      </c>
      <c r="T124" s="7">
        <f t="shared" si="103"/>
        <v>34.566197123742448</v>
      </c>
      <c r="U124" s="6" t="str">
        <f t="shared" si="70"/>
        <v>Strong</v>
      </c>
    </row>
    <row r="125" spans="1:21" x14ac:dyDescent="0.25">
      <c r="A125" s="1">
        <v>44999</v>
      </c>
      <c r="B125">
        <v>17160.55</v>
      </c>
      <c r="C125">
        <v>17224.650000000001</v>
      </c>
      <c r="D125">
        <v>16987.099999999999</v>
      </c>
      <c r="E125">
        <v>17043.3</v>
      </c>
      <c r="F125">
        <f t="shared" si="62"/>
        <v>237.55000000000291</v>
      </c>
      <c r="G125">
        <f t="shared" si="73"/>
        <v>70.350000000002183</v>
      </c>
      <c r="H125">
        <f t="shared" si="74"/>
        <v>167.20000000000073</v>
      </c>
      <c r="I125">
        <f t="shared" si="71"/>
        <v>237.55000000000291</v>
      </c>
      <c r="J125">
        <f t="shared" si="75"/>
        <v>0</v>
      </c>
      <c r="K125">
        <f t="shared" si="63"/>
        <v>126.35000000000218</v>
      </c>
      <c r="L125">
        <f t="shared" ref="L125:N125" si="134">SUM(I112:I125)</f>
        <v>3111.3000000000029</v>
      </c>
      <c r="M125">
        <f t="shared" si="134"/>
        <v>381.45000000000073</v>
      </c>
      <c r="N125">
        <f t="shared" si="134"/>
        <v>1269.2000000000007</v>
      </c>
      <c r="O125" s="7">
        <f t="shared" si="65"/>
        <v>12.260148490984488</v>
      </c>
      <c r="P125" s="7">
        <f t="shared" si="66"/>
        <v>40.793237553434238</v>
      </c>
      <c r="Q125" s="7">
        <f t="shared" si="67"/>
        <v>28.533089062449751</v>
      </c>
      <c r="R125" s="7">
        <f t="shared" si="68"/>
        <v>53.05338604441873</v>
      </c>
      <c r="S125" s="7">
        <f t="shared" si="69"/>
        <v>53.781843516190541</v>
      </c>
      <c r="T125" s="7">
        <f t="shared" si="103"/>
        <v>36.441021145214513</v>
      </c>
      <c r="U125" s="6" t="str">
        <f t="shared" si="70"/>
        <v>Strong</v>
      </c>
    </row>
    <row r="126" spans="1:21" x14ac:dyDescent="0.25">
      <c r="A126" s="1">
        <v>45000</v>
      </c>
      <c r="B126">
        <v>17166.45</v>
      </c>
      <c r="C126">
        <v>17211.349999999999</v>
      </c>
      <c r="D126">
        <v>16938.900000000001</v>
      </c>
      <c r="E126">
        <v>16972.150000000001</v>
      </c>
      <c r="F126">
        <f t="shared" si="62"/>
        <v>272.44999999999709</v>
      </c>
      <c r="G126">
        <f t="shared" si="73"/>
        <v>168.04999999999927</v>
      </c>
      <c r="H126">
        <f t="shared" si="74"/>
        <v>104.39999999999782</v>
      </c>
      <c r="I126">
        <f t="shared" si="71"/>
        <v>272.44999999999709</v>
      </c>
      <c r="J126">
        <f t="shared" si="75"/>
        <v>0</v>
      </c>
      <c r="K126">
        <f t="shared" si="63"/>
        <v>48.19999999999709</v>
      </c>
      <c r="L126">
        <f t="shared" ref="L126:N126" si="135">SUM(I113:I126)</f>
        <v>3086.5</v>
      </c>
      <c r="M126">
        <f t="shared" si="135"/>
        <v>381.45000000000073</v>
      </c>
      <c r="N126">
        <f t="shared" si="135"/>
        <v>1046.5499999999993</v>
      </c>
      <c r="O126" s="7">
        <f t="shared" si="65"/>
        <v>12.358658674874476</v>
      </c>
      <c r="P126" s="7">
        <f t="shared" si="66"/>
        <v>33.907338409201337</v>
      </c>
      <c r="Q126" s="7">
        <f t="shared" si="67"/>
        <v>21.548679734326861</v>
      </c>
      <c r="R126" s="7">
        <f t="shared" si="68"/>
        <v>46.265997084075813</v>
      </c>
      <c r="S126" s="7">
        <f t="shared" si="69"/>
        <v>46.575630252100744</v>
      </c>
      <c r="T126" s="7">
        <f t="shared" si="103"/>
        <v>39.633746551610173</v>
      </c>
      <c r="U126" s="6" t="str">
        <f t="shared" si="70"/>
        <v>Strong</v>
      </c>
    </row>
    <row r="127" spans="1:21" x14ac:dyDescent="0.25">
      <c r="A127" s="1">
        <v>45001</v>
      </c>
      <c r="B127">
        <v>16994.650000000001</v>
      </c>
      <c r="C127">
        <v>17062.45</v>
      </c>
      <c r="D127">
        <v>16850.150000000001</v>
      </c>
      <c r="E127">
        <v>16985.599999999999</v>
      </c>
      <c r="F127">
        <f t="shared" si="62"/>
        <v>212.29999999999927</v>
      </c>
      <c r="G127">
        <f t="shared" si="73"/>
        <v>90.299999999999272</v>
      </c>
      <c r="H127">
        <f t="shared" si="74"/>
        <v>122</v>
      </c>
      <c r="I127">
        <f t="shared" si="71"/>
        <v>212.29999999999927</v>
      </c>
      <c r="J127">
        <f t="shared" si="75"/>
        <v>0</v>
      </c>
      <c r="K127">
        <f t="shared" si="63"/>
        <v>88.75</v>
      </c>
      <c r="L127">
        <f t="shared" ref="L127:N127" si="136">SUM(I114:I127)</f>
        <v>3134.1500000000015</v>
      </c>
      <c r="M127">
        <f t="shared" si="136"/>
        <v>381.45000000000073</v>
      </c>
      <c r="N127">
        <f t="shared" si="136"/>
        <v>1061.25</v>
      </c>
      <c r="O127" s="7">
        <f t="shared" si="65"/>
        <v>12.170764002999237</v>
      </c>
      <c r="P127" s="7">
        <f t="shared" si="66"/>
        <v>33.860855415343863</v>
      </c>
      <c r="Q127" s="7">
        <f t="shared" si="67"/>
        <v>21.690091412344628</v>
      </c>
      <c r="R127" s="7">
        <f t="shared" si="68"/>
        <v>46.031619418343098</v>
      </c>
      <c r="S127" s="7">
        <f t="shared" si="69"/>
        <v>47.119983364524785</v>
      </c>
      <c r="T127" s="7">
        <f t="shared" si="103"/>
        <v>40.836740089786566</v>
      </c>
      <c r="U127" s="6" t="str">
        <f t="shared" si="70"/>
        <v>Strong</v>
      </c>
    </row>
    <row r="128" spans="1:21" x14ac:dyDescent="0.25">
      <c r="A128" s="1">
        <v>45002</v>
      </c>
      <c r="B128">
        <v>17111.8</v>
      </c>
      <c r="C128">
        <v>17145.8</v>
      </c>
      <c r="D128">
        <v>16958.150000000001</v>
      </c>
      <c r="E128">
        <v>17100.05</v>
      </c>
      <c r="F128">
        <f t="shared" si="62"/>
        <v>187.64999999999782</v>
      </c>
      <c r="G128">
        <f t="shared" si="73"/>
        <v>160.20000000000073</v>
      </c>
      <c r="H128">
        <f t="shared" si="74"/>
        <v>27.44999999999709</v>
      </c>
      <c r="I128">
        <f t="shared" si="71"/>
        <v>187.64999999999782</v>
      </c>
      <c r="J128">
        <f t="shared" si="75"/>
        <v>83.349999999998545</v>
      </c>
      <c r="K128">
        <f t="shared" si="63"/>
        <v>0</v>
      </c>
      <c r="L128">
        <f t="shared" ref="L128:N128" si="137">SUM(I115:I128)</f>
        <v>3143.8499999999985</v>
      </c>
      <c r="M128">
        <f t="shared" si="137"/>
        <v>464.79999999999927</v>
      </c>
      <c r="N128">
        <f t="shared" si="137"/>
        <v>1027.6499999999978</v>
      </c>
      <c r="O128" s="7">
        <f t="shared" si="65"/>
        <v>14.7844203762902</v>
      </c>
      <c r="P128" s="7">
        <f t="shared" si="66"/>
        <v>32.687628226537477</v>
      </c>
      <c r="Q128" s="7">
        <f t="shared" si="67"/>
        <v>17.903207850247277</v>
      </c>
      <c r="R128" s="7">
        <f t="shared" si="68"/>
        <v>47.472048602827677</v>
      </c>
      <c r="S128" s="7">
        <f t="shared" si="69"/>
        <v>37.71315621963884</v>
      </c>
      <c r="T128" s="7">
        <f t="shared" si="103"/>
        <v>41.210800773124745</v>
      </c>
      <c r="U128" s="6" t="str">
        <f t="shared" si="70"/>
        <v>Strong</v>
      </c>
    </row>
    <row r="129" spans="1:21" x14ac:dyDescent="0.25">
      <c r="A129" s="1">
        <v>45005</v>
      </c>
      <c r="B129">
        <v>17066.599999999999</v>
      </c>
      <c r="C129">
        <v>17066.599999999999</v>
      </c>
      <c r="D129">
        <v>16828.349999999999</v>
      </c>
      <c r="E129">
        <v>16988.400000000001</v>
      </c>
      <c r="F129">
        <f t="shared" si="62"/>
        <v>238.25</v>
      </c>
      <c r="G129">
        <f t="shared" si="73"/>
        <v>33.450000000000728</v>
      </c>
      <c r="H129">
        <f t="shared" si="74"/>
        <v>271.70000000000073</v>
      </c>
      <c r="I129">
        <f t="shared" si="71"/>
        <v>271.70000000000073</v>
      </c>
      <c r="J129">
        <f t="shared" si="75"/>
        <v>0</v>
      </c>
      <c r="K129">
        <f t="shared" si="63"/>
        <v>129.80000000000291</v>
      </c>
      <c r="L129">
        <f t="shared" ref="L129:N129" si="138">SUM(I116:I129)</f>
        <v>3248.75</v>
      </c>
      <c r="M129">
        <f t="shared" si="138"/>
        <v>464.79999999999927</v>
      </c>
      <c r="N129">
        <f t="shared" si="138"/>
        <v>1034.6500000000015</v>
      </c>
      <c r="O129" s="7">
        <f t="shared" si="65"/>
        <v>14.307041169680623</v>
      </c>
      <c r="P129" s="7">
        <f t="shared" si="66"/>
        <v>31.847633705271306</v>
      </c>
      <c r="Q129" s="7">
        <f t="shared" si="67"/>
        <v>17.540592535590683</v>
      </c>
      <c r="R129" s="7">
        <f t="shared" si="68"/>
        <v>46.15467487495193</v>
      </c>
      <c r="S129" s="7">
        <f t="shared" si="69"/>
        <v>38.003934776084698</v>
      </c>
      <c r="T129" s="7">
        <f t="shared" si="103"/>
        <v>41.280628891280493</v>
      </c>
      <c r="U129" s="6" t="str">
        <f t="shared" si="70"/>
        <v>Strong</v>
      </c>
    </row>
    <row r="130" spans="1:21" x14ac:dyDescent="0.25">
      <c r="A130" s="1">
        <v>45006</v>
      </c>
      <c r="B130">
        <v>17060.400000000001</v>
      </c>
      <c r="C130">
        <v>17127.7</v>
      </c>
      <c r="D130">
        <v>17016</v>
      </c>
      <c r="E130">
        <v>17107.5</v>
      </c>
      <c r="F130">
        <f t="shared" ref="F130:F193" si="139">C130-D130</f>
        <v>111.70000000000073</v>
      </c>
      <c r="G130">
        <f t="shared" si="73"/>
        <v>139.29999999999927</v>
      </c>
      <c r="H130">
        <f t="shared" si="74"/>
        <v>27.599999999998545</v>
      </c>
      <c r="I130">
        <f t="shared" si="71"/>
        <v>139.29999999999927</v>
      </c>
      <c r="J130">
        <f t="shared" si="75"/>
        <v>61.100000000002183</v>
      </c>
      <c r="K130">
        <f t="shared" ref="K130:K193" si="140">IF(D129-D130&gt;C130-C129,MAX(D129-D130,0),0)</f>
        <v>0</v>
      </c>
      <c r="L130">
        <f t="shared" ref="L130:N130" si="141">SUM(I117:I130)</f>
        <v>3202.7999999999993</v>
      </c>
      <c r="M130">
        <f t="shared" si="141"/>
        <v>525.90000000000146</v>
      </c>
      <c r="N130">
        <f t="shared" si="141"/>
        <v>990.85000000000218</v>
      </c>
      <c r="O130" s="7">
        <f t="shared" ref="O130:O193" si="142">(100*(M130/L130))</f>
        <v>16.420007493443286</v>
      </c>
      <c r="P130" s="7">
        <f t="shared" ref="P130:P193" si="143">(100*(N130/L130))</f>
        <v>30.936992631447559</v>
      </c>
      <c r="Q130" s="7">
        <f t="shared" ref="Q130:Q193" si="144">ABS(O130-P130)</f>
        <v>14.516985138004273</v>
      </c>
      <c r="R130" s="7">
        <f t="shared" ref="R130:R193" si="145">O130+P130</f>
        <v>47.357000124890845</v>
      </c>
      <c r="S130" s="7">
        <f t="shared" ref="S130:S193" si="146">(100*(Q130/R130))</f>
        <v>30.654359650568626</v>
      </c>
      <c r="T130" s="7">
        <f t="shared" si="103"/>
        <v>39.866461376704379</v>
      </c>
      <c r="U130" s="6" t="str">
        <f t="shared" ref="U130:U193" si="147">IF(T130="","",IF(T130&gt;=30,"Strong","Weak"))</f>
        <v>Strong</v>
      </c>
    </row>
    <row r="131" spans="1:21" x14ac:dyDescent="0.25">
      <c r="A131" s="1">
        <v>45007</v>
      </c>
      <c r="B131">
        <v>17177.45</v>
      </c>
      <c r="C131">
        <v>17207.25</v>
      </c>
      <c r="D131">
        <v>17107.849999999999</v>
      </c>
      <c r="E131">
        <v>17151.900000000001</v>
      </c>
      <c r="F131">
        <f t="shared" si="139"/>
        <v>99.400000000001455</v>
      </c>
      <c r="G131">
        <f t="shared" si="73"/>
        <v>99.75</v>
      </c>
      <c r="H131">
        <f t="shared" si="74"/>
        <v>0.34999999999854481</v>
      </c>
      <c r="I131">
        <f t="shared" ref="I131:I194" si="148">MAX(F131:H131)</f>
        <v>99.75</v>
      </c>
      <c r="J131">
        <f t="shared" si="75"/>
        <v>79.549999999999272</v>
      </c>
      <c r="K131">
        <f t="shared" si="140"/>
        <v>0</v>
      </c>
      <c r="L131">
        <f t="shared" ref="L131:N131" si="149">SUM(I118:I131)</f>
        <v>3138.75</v>
      </c>
      <c r="M131">
        <f t="shared" si="149"/>
        <v>578.15000000000146</v>
      </c>
      <c r="N131">
        <f t="shared" si="149"/>
        <v>990.85000000000218</v>
      </c>
      <c r="O131" s="7">
        <f t="shared" si="142"/>
        <v>18.419753086419799</v>
      </c>
      <c r="P131" s="7">
        <f t="shared" si="143"/>
        <v>31.568299482278046</v>
      </c>
      <c r="Q131" s="7">
        <f t="shared" si="144"/>
        <v>13.148546395858247</v>
      </c>
      <c r="R131" s="7">
        <f t="shared" si="145"/>
        <v>49.988052568697846</v>
      </c>
      <c r="S131" s="7">
        <f t="shared" si="146"/>
        <v>26.303377947737399</v>
      </c>
      <c r="T131" s="7">
        <f t="shared" si="103"/>
        <v>38.229767437866542</v>
      </c>
      <c r="U131" s="6" t="str">
        <f t="shared" si="147"/>
        <v>Strong</v>
      </c>
    </row>
    <row r="132" spans="1:21" x14ac:dyDescent="0.25">
      <c r="A132" s="1">
        <v>45008</v>
      </c>
      <c r="B132">
        <v>17097.400000000001</v>
      </c>
      <c r="C132">
        <v>17205.400000000001</v>
      </c>
      <c r="D132">
        <v>17045.3</v>
      </c>
      <c r="E132">
        <v>17076.900000000001</v>
      </c>
      <c r="F132">
        <f t="shared" si="139"/>
        <v>160.10000000000218</v>
      </c>
      <c r="G132">
        <f t="shared" ref="G132:G195" si="150">ABS(C132-E131)</f>
        <v>53.5</v>
      </c>
      <c r="H132">
        <f t="shared" ref="H132:H195" si="151">ABS(D132-E131)</f>
        <v>106.60000000000218</v>
      </c>
      <c r="I132">
        <f t="shared" si="148"/>
        <v>160.10000000000218</v>
      </c>
      <c r="J132">
        <f t="shared" ref="J132:J195" si="152">IF(C132-C131&gt;D131-D132,MAX(C132-C131,0),0)</f>
        <v>0</v>
      </c>
      <c r="K132">
        <f t="shared" si="140"/>
        <v>62.549999999999272</v>
      </c>
      <c r="L132">
        <f t="shared" ref="L132:N132" si="153">SUM(I119:I132)</f>
        <v>3153.9500000000007</v>
      </c>
      <c r="M132">
        <f t="shared" si="153"/>
        <v>578.15000000000146</v>
      </c>
      <c r="N132">
        <f t="shared" si="153"/>
        <v>1014.1500000000015</v>
      </c>
      <c r="O132" s="7">
        <f t="shared" si="142"/>
        <v>18.330981784746154</v>
      </c>
      <c r="P132" s="7">
        <f t="shared" si="143"/>
        <v>32.154916850298868</v>
      </c>
      <c r="Q132" s="7">
        <f t="shared" si="144"/>
        <v>13.823935065552714</v>
      </c>
      <c r="R132" s="7">
        <f t="shared" si="145"/>
        <v>50.485898635045018</v>
      </c>
      <c r="S132" s="7">
        <f t="shared" si="146"/>
        <v>27.381774791182519</v>
      </c>
      <c r="T132" s="7">
        <f t="shared" si="103"/>
        <v>36.546007443464987</v>
      </c>
      <c r="U132" s="6" t="str">
        <f t="shared" si="147"/>
        <v>Strong</v>
      </c>
    </row>
    <row r="133" spans="1:21" x14ac:dyDescent="0.25">
      <c r="A133" s="1">
        <v>45009</v>
      </c>
      <c r="B133">
        <v>17076.2</v>
      </c>
      <c r="C133">
        <v>17109.45</v>
      </c>
      <c r="D133">
        <v>16917.349999999999</v>
      </c>
      <c r="E133">
        <v>16945.05</v>
      </c>
      <c r="F133">
        <f t="shared" si="139"/>
        <v>192.10000000000218</v>
      </c>
      <c r="G133">
        <f t="shared" si="150"/>
        <v>32.549999999999272</v>
      </c>
      <c r="H133">
        <f t="shared" si="151"/>
        <v>159.55000000000291</v>
      </c>
      <c r="I133">
        <f t="shared" si="148"/>
        <v>192.10000000000218</v>
      </c>
      <c r="J133">
        <f t="shared" si="152"/>
        <v>0</v>
      </c>
      <c r="K133">
        <f t="shared" si="140"/>
        <v>127.95000000000073</v>
      </c>
      <c r="L133">
        <f t="shared" ref="L133:N133" si="154">SUM(I120:I133)</f>
        <v>3023.2000000000044</v>
      </c>
      <c r="M133">
        <f t="shared" si="154"/>
        <v>379.20000000000073</v>
      </c>
      <c r="N133">
        <f t="shared" si="154"/>
        <v>1142.1000000000022</v>
      </c>
      <c r="O133" s="7">
        <f t="shared" si="142"/>
        <v>12.543000793860815</v>
      </c>
      <c r="P133" s="7">
        <f t="shared" si="143"/>
        <v>37.777851283408324</v>
      </c>
      <c r="Q133" s="7">
        <f t="shared" si="144"/>
        <v>25.234850489547512</v>
      </c>
      <c r="R133" s="7">
        <f t="shared" si="145"/>
        <v>50.320852077269137</v>
      </c>
      <c r="S133" s="7">
        <f t="shared" si="146"/>
        <v>50.147899822520216</v>
      </c>
      <c r="T133" s="7">
        <f t="shared" si="103"/>
        <v>38.409197351736466</v>
      </c>
      <c r="U133" s="6" t="str">
        <f t="shared" si="147"/>
        <v>Strong</v>
      </c>
    </row>
    <row r="134" spans="1:21" x14ac:dyDescent="0.25">
      <c r="A134" s="1">
        <v>45012</v>
      </c>
      <c r="B134">
        <v>16984.3</v>
      </c>
      <c r="C134">
        <v>17091</v>
      </c>
      <c r="D134">
        <v>16918.55</v>
      </c>
      <c r="E134">
        <v>16985.7</v>
      </c>
      <c r="F134">
        <f t="shared" si="139"/>
        <v>172.45000000000073</v>
      </c>
      <c r="G134">
        <f t="shared" si="150"/>
        <v>145.95000000000073</v>
      </c>
      <c r="H134">
        <f t="shared" si="151"/>
        <v>26.5</v>
      </c>
      <c r="I134">
        <f t="shared" si="148"/>
        <v>172.45000000000073</v>
      </c>
      <c r="J134">
        <f t="shared" si="152"/>
        <v>0</v>
      </c>
      <c r="K134">
        <f t="shared" si="140"/>
        <v>0</v>
      </c>
      <c r="L134">
        <f t="shared" ref="L134:N134" si="155">SUM(I121:I134)</f>
        <v>2990.0500000000029</v>
      </c>
      <c r="M134">
        <f t="shared" si="155"/>
        <v>224</v>
      </c>
      <c r="N134">
        <f t="shared" si="155"/>
        <v>1142.1000000000022</v>
      </c>
      <c r="O134" s="7">
        <f t="shared" si="142"/>
        <v>7.4915135198407974</v>
      </c>
      <c r="P134" s="7">
        <f t="shared" si="143"/>
        <v>38.19668567415264</v>
      </c>
      <c r="Q134" s="7">
        <f t="shared" si="144"/>
        <v>30.705172154311843</v>
      </c>
      <c r="R134" s="7">
        <f t="shared" si="145"/>
        <v>45.688199193993441</v>
      </c>
      <c r="S134" s="7">
        <f t="shared" si="146"/>
        <v>67.205914647536829</v>
      </c>
      <c r="T134" s="7">
        <f t="shared" si="103"/>
        <v>42.026261646507585</v>
      </c>
      <c r="U134" s="6" t="str">
        <f t="shared" si="147"/>
        <v>Strong</v>
      </c>
    </row>
    <row r="135" spans="1:21" x14ac:dyDescent="0.25">
      <c r="A135" s="1">
        <v>45013</v>
      </c>
      <c r="B135">
        <v>17031.75</v>
      </c>
      <c r="C135">
        <v>17061.75</v>
      </c>
      <c r="D135">
        <v>16913.75</v>
      </c>
      <c r="E135">
        <v>16951.7</v>
      </c>
      <c r="F135">
        <f t="shared" si="139"/>
        <v>148</v>
      </c>
      <c r="G135">
        <f t="shared" si="150"/>
        <v>76.049999999999272</v>
      </c>
      <c r="H135">
        <f t="shared" si="151"/>
        <v>71.950000000000728</v>
      </c>
      <c r="I135">
        <f t="shared" si="148"/>
        <v>148</v>
      </c>
      <c r="J135">
        <f t="shared" si="152"/>
        <v>0</v>
      </c>
      <c r="K135">
        <f t="shared" si="140"/>
        <v>4.7999999999992724</v>
      </c>
      <c r="L135">
        <f t="shared" ref="L135:N135" si="156">SUM(I122:I135)</f>
        <v>2973.8000000000029</v>
      </c>
      <c r="M135">
        <f t="shared" si="156"/>
        <v>224</v>
      </c>
      <c r="N135">
        <f t="shared" si="156"/>
        <v>1077.2000000000007</v>
      </c>
      <c r="O135" s="7">
        <f t="shared" si="142"/>
        <v>7.5324500638913108</v>
      </c>
      <c r="P135" s="7">
        <f t="shared" si="143"/>
        <v>36.223014325105915</v>
      </c>
      <c r="Q135" s="7">
        <f t="shared" si="144"/>
        <v>28.690564261214604</v>
      </c>
      <c r="R135" s="7">
        <f t="shared" si="145"/>
        <v>43.755464388997225</v>
      </c>
      <c r="S135" s="7">
        <f t="shared" si="146"/>
        <v>65.570242852751321</v>
      </c>
      <c r="T135" s="7">
        <f t="shared" si="103"/>
        <v>44.720111765298796</v>
      </c>
      <c r="U135" s="6" t="str">
        <f t="shared" si="147"/>
        <v>Strong</v>
      </c>
    </row>
    <row r="136" spans="1:21" x14ac:dyDescent="0.25">
      <c r="A136" s="1">
        <v>45014</v>
      </c>
      <c r="B136">
        <v>16977.3</v>
      </c>
      <c r="C136">
        <v>17126.150000000001</v>
      </c>
      <c r="D136">
        <v>16940.599999999999</v>
      </c>
      <c r="E136">
        <v>17080.7</v>
      </c>
      <c r="F136">
        <f t="shared" si="139"/>
        <v>185.55000000000291</v>
      </c>
      <c r="G136">
        <f t="shared" si="150"/>
        <v>174.45000000000073</v>
      </c>
      <c r="H136">
        <f t="shared" si="151"/>
        <v>11.100000000002183</v>
      </c>
      <c r="I136">
        <f t="shared" si="148"/>
        <v>185.55000000000291</v>
      </c>
      <c r="J136">
        <f t="shared" si="152"/>
        <v>64.400000000001455</v>
      </c>
      <c r="K136">
        <f t="shared" si="140"/>
        <v>0</v>
      </c>
      <c r="L136">
        <f t="shared" ref="L136:N136" si="157">SUM(I123:I136)</f>
        <v>2960.6000000000058</v>
      </c>
      <c r="M136">
        <f t="shared" si="157"/>
        <v>288.40000000000146</v>
      </c>
      <c r="N136">
        <f t="shared" si="157"/>
        <v>1048.5499999999993</v>
      </c>
      <c r="O136" s="7">
        <f t="shared" si="142"/>
        <v>9.7412686617577826</v>
      </c>
      <c r="P136" s="7">
        <f t="shared" si="143"/>
        <v>35.416807403904521</v>
      </c>
      <c r="Q136" s="7">
        <f t="shared" si="144"/>
        <v>25.675538742146738</v>
      </c>
      <c r="R136" s="7">
        <f t="shared" si="145"/>
        <v>45.1580760656623</v>
      </c>
      <c r="S136" s="7">
        <f t="shared" si="146"/>
        <v>56.857025318822508</v>
      </c>
      <c r="T136" s="7">
        <f t="shared" si="103"/>
        <v>45.947909794765614</v>
      </c>
      <c r="U136" s="6" t="str">
        <f t="shared" si="147"/>
        <v>Strong</v>
      </c>
    </row>
    <row r="137" spans="1:21" x14ac:dyDescent="0.25">
      <c r="A137" s="1">
        <v>45016</v>
      </c>
      <c r="B137">
        <v>17210.349999999999</v>
      </c>
      <c r="C137">
        <v>17381.599999999999</v>
      </c>
      <c r="D137">
        <v>17204.650000000001</v>
      </c>
      <c r="E137">
        <v>17359.75</v>
      </c>
      <c r="F137">
        <f t="shared" si="139"/>
        <v>176.94999999999709</v>
      </c>
      <c r="G137">
        <f t="shared" si="150"/>
        <v>300.89999999999782</v>
      </c>
      <c r="H137">
        <f t="shared" si="151"/>
        <v>123.95000000000073</v>
      </c>
      <c r="I137">
        <f t="shared" si="148"/>
        <v>300.89999999999782</v>
      </c>
      <c r="J137">
        <f t="shared" si="152"/>
        <v>255.44999999999709</v>
      </c>
      <c r="K137">
        <f t="shared" si="140"/>
        <v>0</v>
      </c>
      <c r="L137">
        <f t="shared" ref="L137:N137" si="158">SUM(I124:I137)</f>
        <v>2996.2500000000036</v>
      </c>
      <c r="M137">
        <f t="shared" si="158"/>
        <v>543.84999999999854</v>
      </c>
      <c r="N137">
        <f t="shared" si="158"/>
        <v>799.29999999999927</v>
      </c>
      <c r="O137" s="7">
        <f t="shared" si="142"/>
        <v>18.151022110971979</v>
      </c>
      <c r="P137" s="7">
        <f t="shared" si="143"/>
        <v>26.676679182311165</v>
      </c>
      <c r="Q137" s="7">
        <f t="shared" si="144"/>
        <v>8.5256570713391859</v>
      </c>
      <c r="R137" s="7">
        <f t="shared" si="145"/>
        <v>44.827701293283141</v>
      </c>
      <c r="S137" s="7">
        <f t="shared" si="146"/>
        <v>19.018724639839267</v>
      </c>
      <c r="T137" s="7">
        <f t="shared" si="103"/>
        <v>44.06228501472409</v>
      </c>
      <c r="U137" s="6" t="str">
        <f t="shared" si="147"/>
        <v>Strong</v>
      </c>
    </row>
    <row r="138" spans="1:21" x14ac:dyDescent="0.25">
      <c r="A138" s="1">
        <v>45019</v>
      </c>
      <c r="B138">
        <v>17427.95</v>
      </c>
      <c r="C138">
        <v>17428.05</v>
      </c>
      <c r="D138">
        <v>17312.75</v>
      </c>
      <c r="E138">
        <v>17398.05</v>
      </c>
      <c r="F138">
        <f t="shared" si="139"/>
        <v>115.29999999999927</v>
      </c>
      <c r="G138">
        <f t="shared" si="150"/>
        <v>68.299999999999272</v>
      </c>
      <c r="H138">
        <f t="shared" si="151"/>
        <v>47</v>
      </c>
      <c r="I138">
        <f t="shared" si="148"/>
        <v>115.29999999999927</v>
      </c>
      <c r="J138">
        <f t="shared" si="152"/>
        <v>46.450000000000728</v>
      </c>
      <c r="K138">
        <f t="shared" si="140"/>
        <v>0</v>
      </c>
      <c r="L138">
        <f t="shared" ref="L138:N138" si="159">SUM(I125:I138)</f>
        <v>2695.1000000000022</v>
      </c>
      <c r="M138">
        <f t="shared" si="159"/>
        <v>590.29999999999927</v>
      </c>
      <c r="N138">
        <f t="shared" si="159"/>
        <v>588.40000000000146</v>
      </c>
      <c r="O138" s="7">
        <f t="shared" si="142"/>
        <v>21.902712329783636</v>
      </c>
      <c r="P138" s="7">
        <f t="shared" si="143"/>
        <v>21.832214018032762</v>
      </c>
      <c r="Q138" s="7">
        <f t="shared" si="144"/>
        <v>7.049831175087462E-2</v>
      </c>
      <c r="R138" s="7">
        <f t="shared" si="145"/>
        <v>43.734926347816398</v>
      </c>
      <c r="S138" s="7">
        <f t="shared" si="146"/>
        <v>0.16119453635342515</v>
      </c>
      <c r="T138" s="7">
        <f t="shared" si="103"/>
        <v>40.463933023989412</v>
      </c>
      <c r="U138" s="6" t="str">
        <f t="shared" si="147"/>
        <v>Strong</v>
      </c>
    </row>
    <row r="139" spans="1:21" x14ac:dyDescent="0.25">
      <c r="A139" s="1">
        <v>45021</v>
      </c>
      <c r="B139">
        <v>17422.3</v>
      </c>
      <c r="C139">
        <v>17570.55</v>
      </c>
      <c r="D139">
        <v>17402.7</v>
      </c>
      <c r="E139">
        <v>17557.05</v>
      </c>
      <c r="F139">
        <f t="shared" si="139"/>
        <v>167.84999999999854</v>
      </c>
      <c r="G139">
        <f t="shared" si="150"/>
        <v>172.5</v>
      </c>
      <c r="H139">
        <f t="shared" si="151"/>
        <v>4.6500000000014552</v>
      </c>
      <c r="I139">
        <f t="shared" si="148"/>
        <v>172.5</v>
      </c>
      <c r="J139">
        <f t="shared" si="152"/>
        <v>142.5</v>
      </c>
      <c r="K139">
        <f t="shared" si="140"/>
        <v>0</v>
      </c>
      <c r="L139">
        <f t="shared" ref="L139:N139" si="160">SUM(I126:I139)</f>
        <v>2630.0499999999993</v>
      </c>
      <c r="M139">
        <f t="shared" si="160"/>
        <v>732.79999999999927</v>
      </c>
      <c r="N139">
        <f t="shared" si="160"/>
        <v>462.04999999999927</v>
      </c>
      <c r="O139" s="7">
        <f t="shared" si="142"/>
        <v>27.8625881637231</v>
      </c>
      <c r="P139" s="7">
        <f t="shared" si="143"/>
        <v>17.568107070207766</v>
      </c>
      <c r="Q139" s="7">
        <f t="shared" si="144"/>
        <v>10.294481093515333</v>
      </c>
      <c r="R139" s="7">
        <f t="shared" si="145"/>
        <v>45.430695233930862</v>
      </c>
      <c r="S139" s="7">
        <f t="shared" si="146"/>
        <v>22.659748085533778</v>
      </c>
      <c r="T139" s="7">
        <f t="shared" si="103"/>
        <v>38.24092620751393</v>
      </c>
      <c r="U139" s="6" t="str">
        <f t="shared" si="147"/>
        <v>Strong</v>
      </c>
    </row>
    <row r="140" spans="1:21" x14ac:dyDescent="0.25">
      <c r="A140" s="1">
        <v>45022</v>
      </c>
      <c r="B140">
        <v>17533.849999999999</v>
      </c>
      <c r="C140">
        <v>17638.7</v>
      </c>
      <c r="D140">
        <v>17502.849999999999</v>
      </c>
      <c r="E140">
        <v>17599.150000000001</v>
      </c>
      <c r="F140">
        <f t="shared" si="139"/>
        <v>135.85000000000218</v>
      </c>
      <c r="G140">
        <f t="shared" si="150"/>
        <v>81.650000000001455</v>
      </c>
      <c r="H140">
        <f t="shared" si="151"/>
        <v>54.200000000000728</v>
      </c>
      <c r="I140">
        <f t="shared" si="148"/>
        <v>135.85000000000218</v>
      </c>
      <c r="J140">
        <f t="shared" si="152"/>
        <v>68.150000000001455</v>
      </c>
      <c r="K140">
        <f t="shared" si="140"/>
        <v>0</v>
      </c>
      <c r="L140">
        <f t="shared" ref="L140:N140" si="161">SUM(I127:I140)</f>
        <v>2493.4500000000044</v>
      </c>
      <c r="M140">
        <f t="shared" si="161"/>
        <v>800.95000000000073</v>
      </c>
      <c r="N140">
        <f t="shared" si="161"/>
        <v>413.85000000000218</v>
      </c>
      <c r="O140" s="7">
        <f t="shared" si="142"/>
        <v>32.122160059355487</v>
      </c>
      <c r="P140" s="7">
        <f t="shared" si="143"/>
        <v>16.597485411778919</v>
      </c>
      <c r="Q140" s="7">
        <f t="shared" si="144"/>
        <v>15.524674647576568</v>
      </c>
      <c r="R140" s="7">
        <f t="shared" si="145"/>
        <v>48.719645471134406</v>
      </c>
      <c r="S140" s="7">
        <f t="shared" si="146"/>
        <v>31.865327625946467</v>
      </c>
      <c r="T140" s="7">
        <f t="shared" si="103"/>
        <v>37.190190305645771</v>
      </c>
      <c r="U140" s="6" t="str">
        <f t="shared" si="147"/>
        <v>Strong</v>
      </c>
    </row>
    <row r="141" spans="1:21" x14ac:dyDescent="0.25">
      <c r="A141" s="1">
        <v>45026</v>
      </c>
      <c r="B141">
        <v>17634.900000000001</v>
      </c>
      <c r="C141">
        <v>17694.099999999999</v>
      </c>
      <c r="D141">
        <v>17597.95</v>
      </c>
      <c r="E141">
        <v>17624.05</v>
      </c>
      <c r="F141">
        <f t="shared" si="139"/>
        <v>96.149999999997817</v>
      </c>
      <c r="G141">
        <f t="shared" si="150"/>
        <v>94.94999999999709</v>
      </c>
      <c r="H141">
        <f t="shared" si="151"/>
        <v>1.2000000000007276</v>
      </c>
      <c r="I141">
        <f t="shared" si="148"/>
        <v>96.149999999997817</v>
      </c>
      <c r="J141">
        <f t="shared" si="152"/>
        <v>55.399999999997817</v>
      </c>
      <c r="K141">
        <f t="shared" si="140"/>
        <v>0</v>
      </c>
      <c r="L141">
        <f t="shared" ref="L141:N141" si="162">SUM(I128:I141)</f>
        <v>2377.3000000000029</v>
      </c>
      <c r="M141">
        <f t="shared" si="162"/>
        <v>856.34999999999854</v>
      </c>
      <c r="N141">
        <f t="shared" si="162"/>
        <v>325.10000000000218</v>
      </c>
      <c r="O141" s="7">
        <f t="shared" si="142"/>
        <v>36.021957683085745</v>
      </c>
      <c r="P141" s="7">
        <f t="shared" si="143"/>
        <v>13.675177722626582</v>
      </c>
      <c r="Q141" s="7">
        <f t="shared" si="144"/>
        <v>22.346779960459163</v>
      </c>
      <c r="R141" s="7">
        <f t="shared" si="145"/>
        <v>49.697135405712331</v>
      </c>
      <c r="S141" s="7">
        <f t="shared" si="146"/>
        <v>44.96593169410437</v>
      </c>
      <c r="T141" s="7">
        <f t="shared" si="103"/>
        <v>37.036329472044308</v>
      </c>
      <c r="U141" s="6" t="str">
        <f t="shared" si="147"/>
        <v>Strong</v>
      </c>
    </row>
    <row r="142" spans="1:21" x14ac:dyDescent="0.25">
      <c r="A142" s="1">
        <v>45027</v>
      </c>
      <c r="B142">
        <v>17704.8</v>
      </c>
      <c r="C142">
        <v>17748.75</v>
      </c>
      <c r="D142">
        <v>17655.150000000001</v>
      </c>
      <c r="E142">
        <v>17722.3</v>
      </c>
      <c r="F142">
        <f t="shared" si="139"/>
        <v>93.599999999998545</v>
      </c>
      <c r="G142">
        <f t="shared" si="150"/>
        <v>124.70000000000073</v>
      </c>
      <c r="H142">
        <f t="shared" si="151"/>
        <v>31.100000000002183</v>
      </c>
      <c r="I142">
        <f t="shared" si="148"/>
        <v>124.70000000000073</v>
      </c>
      <c r="J142">
        <f t="shared" si="152"/>
        <v>54.650000000001455</v>
      </c>
      <c r="K142">
        <f t="shared" si="140"/>
        <v>0</v>
      </c>
      <c r="L142">
        <f t="shared" ref="L142:N142" si="163">SUM(I129:I142)</f>
        <v>2314.3500000000058</v>
      </c>
      <c r="M142">
        <f t="shared" si="163"/>
        <v>827.65000000000146</v>
      </c>
      <c r="N142">
        <f t="shared" si="163"/>
        <v>325.10000000000218</v>
      </c>
      <c r="O142" s="7">
        <f t="shared" si="142"/>
        <v>35.761660941517029</v>
      </c>
      <c r="P142" s="7">
        <f t="shared" si="143"/>
        <v>14.047140665845761</v>
      </c>
      <c r="Q142" s="7">
        <f t="shared" si="144"/>
        <v>21.714520275671269</v>
      </c>
      <c r="R142" s="7">
        <f t="shared" si="145"/>
        <v>49.808801607362788</v>
      </c>
      <c r="S142" s="7">
        <f t="shared" si="146"/>
        <v>43.595749295163536</v>
      </c>
      <c r="T142" s="7">
        <f t="shared" si="103"/>
        <v>37.456514691724642</v>
      </c>
      <c r="U142" s="6" t="str">
        <f t="shared" si="147"/>
        <v>Strong</v>
      </c>
    </row>
    <row r="143" spans="1:21" x14ac:dyDescent="0.25">
      <c r="A143" s="1">
        <v>45028</v>
      </c>
      <c r="B143">
        <v>17759.55</v>
      </c>
      <c r="C143">
        <v>17825.75</v>
      </c>
      <c r="D143">
        <v>17717.25</v>
      </c>
      <c r="E143">
        <v>17812.400000000001</v>
      </c>
      <c r="F143">
        <f t="shared" si="139"/>
        <v>108.5</v>
      </c>
      <c r="G143">
        <f t="shared" si="150"/>
        <v>103.45000000000073</v>
      </c>
      <c r="H143">
        <f t="shared" si="151"/>
        <v>5.0499999999992724</v>
      </c>
      <c r="I143">
        <f t="shared" si="148"/>
        <v>108.5</v>
      </c>
      <c r="J143">
        <f t="shared" si="152"/>
        <v>77</v>
      </c>
      <c r="K143">
        <f t="shared" si="140"/>
        <v>0</v>
      </c>
      <c r="L143">
        <f t="shared" ref="L143:N143" si="164">SUM(I130:I143)</f>
        <v>2151.1500000000051</v>
      </c>
      <c r="M143">
        <f t="shared" si="164"/>
        <v>904.65000000000146</v>
      </c>
      <c r="N143">
        <f t="shared" si="164"/>
        <v>195.29999999999927</v>
      </c>
      <c r="O143" s="7">
        <f t="shared" si="142"/>
        <v>42.054250052297576</v>
      </c>
      <c r="P143" s="7">
        <f t="shared" si="143"/>
        <v>9.0788647932500677</v>
      </c>
      <c r="Q143" s="7">
        <f t="shared" si="144"/>
        <v>32.975385259047506</v>
      </c>
      <c r="R143" s="7">
        <f t="shared" si="145"/>
        <v>51.133114845547645</v>
      </c>
      <c r="S143" s="7">
        <f t="shared" si="146"/>
        <v>64.489294967953242</v>
      </c>
      <c r="T143" s="7">
        <f t="shared" si="103"/>
        <v>39.34832613400097</v>
      </c>
      <c r="U143" s="6" t="str">
        <f t="shared" si="147"/>
        <v>Strong</v>
      </c>
    </row>
    <row r="144" spans="1:21" x14ac:dyDescent="0.25">
      <c r="A144" s="1">
        <v>45029</v>
      </c>
      <c r="B144">
        <v>17807.3</v>
      </c>
      <c r="C144">
        <v>17842.150000000001</v>
      </c>
      <c r="D144">
        <v>17729.650000000001</v>
      </c>
      <c r="E144">
        <v>17828</v>
      </c>
      <c r="F144">
        <f t="shared" si="139"/>
        <v>112.5</v>
      </c>
      <c r="G144">
        <f t="shared" si="150"/>
        <v>29.75</v>
      </c>
      <c r="H144">
        <f t="shared" si="151"/>
        <v>82.75</v>
      </c>
      <c r="I144">
        <f t="shared" si="148"/>
        <v>112.5</v>
      </c>
      <c r="J144">
        <f t="shared" si="152"/>
        <v>16.400000000001455</v>
      </c>
      <c r="K144">
        <f t="shared" si="140"/>
        <v>0</v>
      </c>
      <c r="L144">
        <f t="shared" ref="L144:N144" si="165">SUM(I131:I144)</f>
        <v>2124.3500000000058</v>
      </c>
      <c r="M144">
        <f t="shared" si="165"/>
        <v>859.95000000000073</v>
      </c>
      <c r="N144">
        <f t="shared" si="165"/>
        <v>195.29999999999927</v>
      </c>
      <c r="O144" s="7">
        <f t="shared" si="142"/>
        <v>40.480617600677775</v>
      </c>
      <c r="P144" s="7">
        <f t="shared" si="143"/>
        <v>9.1934003342198203</v>
      </c>
      <c r="Q144" s="7">
        <f t="shared" si="144"/>
        <v>31.287217266457954</v>
      </c>
      <c r="R144" s="7">
        <f t="shared" si="145"/>
        <v>49.674017934897591</v>
      </c>
      <c r="S144" s="7">
        <f t="shared" si="146"/>
        <v>62.98507462686581</v>
      </c>
      <c r="T144" s="7">
        <f t="shared" si="103"/>
        <v>41.657662918022197</v>
      </c>
      <c r="U144" s="6" t="str">
        <f t="shared" si="147"/>
        <v>Strong</v>
      </c>
    </row>
    <row r="145" spans="1:21" x14ac:dyDescent="0.25">
      <c r="A145" s="1">
        <v>45033</v>
      </c>
      <c r="B145">
        <v>17863</v>
      </c>
      <c r="C145">
        <v>17863</v>
      </c>
      <c r="D145">
        <v>17574.05</v>
      </c>
      <c r="E145">
        <v>17706.849999999999</v>
      </c>
      <c r="F145">
        <f t="shared" si="139"/>
        <v>288.95000000000073</v>
      </c>
      <c r="G145">
        <f t="shared" si="150"/>
        <v>35</v>
      </c>
      <c r="H145">
        <f t="shared" si="151"/>
        <v>253.95000000000073</v>
      </c>
      <c r="I145">
        <f t="shared" si="148"/>
        <v>288.95000000000073</v>
      </c>
      <c r="J145">
        <f t="shared" si="152"/>
        <v>0</v>
      </c>
      <c r="K145">
        <f t="shared" si="140"/>
        <v>155.60000000000218</v>
      </c>
      <c r="L145">
        <f t="shared" ref="L145:N145" si="166">SUM(I132:I145)</f>
        <v>2313.5500000000065</v>
      </c>
      <c r="M145">
        <f t="shared" si="166"/>
        <v>780.40000000000146</v>
      </c>
      <c r="N145">
        <f t="shared" si="166"/>
        <v>350.90000000000146</v>
      </c>
      <c r="O145" s="7">
        <f t="shared" si="142"/>
        <v>33.73171100689413</v>
      </c>
      <c r="P145" s="7">
        <f t="shared" si="143"/>
        <v>15.167167340234725</v>
      </c>
      <c r="Q145" s="7">
        <f t="shared" si="144"/>
        <v>18.564543666659404</v>
      </c>
      <c r="R145" s="7">
        <f t="shared" si="145"/>
        <v>48.898878347128857</v>
      </c>
      <c r="S145" s="7">
        <f t="shared" si="146"/>
        <v>37.965172810041437</v>
      </c>
      <c r="T145" s="7">
        <f t="shared" si="103"/>
        <v>42.490648265329632</v>
      </c>
      <c r="U145" s="6" t="str">
        <f t="shared" si="147"/>
        <v>Strong</v>
      </c>
    </row>
    <row r="146" spans="1:21" x14ac:dyDescent="0.25">
      <c r="A146" s="1">
        <v>45034</v>
      </c>
      <c r="B146">
        <v>17766.599999999999</v>
      </c>
      <c r="C146">
        <v>17766.599999999999</v>
      </c>
      <c r="D146">
        <v>17610.2</v>
      </c>
      <c r="E146">
        <v>17660.150000000001</v>
      </c>
      <c r="F146">
        <f t="shared" si="139"/>
        <v>156.39999999999782</v>
      </c>
      <c r="G146">
        <f t="shared" si="150"/>
        <v>59.75</v>
      </c>
      <c r="H146">
        <f t="shared" si="151"/>
        <v>96.649999999997817</v>
      </c>
      <c r="I146">
        <f t="shared" si="148"/>
        <v>156.39999999999782</v>
      </c>
      <c r="J146">
        <f t="shared" si="152"/>
        <v>0</v>
      </c>
      <c r="K146">
        <f t="shared" si="140"/>
        <v>0</v>
      </c>
      <c r="L146">
        <f t="shared" ref="L146:N146" si="167">SUM(I133:I146)</f>
        <v>2309.8500000000022</v>
      </c>
      <c r="M146">
        <f t="shared" si="167"/>
        <v>780.40000000000146</v>
      </c>
      <c r="N146">
        <f t="shared" si="167"/>
        <v>288.35000000000218</v>
      </c>
      <c r="O146" s="7">
        <f t="shared" si="142"/>
        <v>33.785743663008446</v>
      </c>
      <c r="P146" s="7">
        <f t="shared" si="143"/>
        <v>12.483494599216483</v>
      </c>
      <c r="Q146" s="7">
        <f t="shared" si="144"/>
        <v>21.302249063791962</v>
      </c>
      <c r="R146" s="7">
        <f t="shared" si="145"/>
        <v>46.269238262224931</v>
      </c>
      <c r="S146" s="7">
        <f t="shared" si="146"/>
        <v>46.039766081871107</v>
      </c>
      <c r="T146" s="7">
        <f t="shared" si="103"/>
        <v>43.823361928950241</v>
      </c>
      <c r="U146" s="6" t="str">
        <f t="shared" si="147"/>
        <v>Strong</v>
      </c>
    </row>
    <row r="147" spans="1:21" x14ac:dyDescent="0.25">
      <c r="A147" s="1">
        <v>45035</v>
      </c>
      <c r="B147">
        <v>17653.349999999999</v>
      </c>
      <c r="C147">
        <v>17666.150000000001</v>
      </c>
      <c r="D147">
        <v>17579.849999999999</v>
      </c>
      <c r="E147">
        <v>17618.75</v>
      </c>
      <c r="F147">
        <f t="shared" si="139"/>
        <v>86.30000000000291</v>
      </c>
      <c r="G147">
        <f t="shared" si="150"/>
        <v>6</v>
      </c>
      <c r="H147">
        <f t="shared" si="151"/>
        <v>80.30000000000291</v>
      </c>
      <c r="I147">
        <f t="shared" si="148"/>
        <v>86.30000000000291</v>
      </c>
      <c r="J147">
        <f t="shared" si="152"/>
        <v>0</v>
      </c>
      <c r="K147">
        <f t="shared" si="140"/>
        <v>30.350000000002183</v>
      </c>
      <c r="L147">
        <f t="shared" ref="L147:N147" si="168">SUM(I134:I147)</f>
        <v>2204.0500000000029</v>
      </c>
      <c r="M147">
        <f t="shared" si="168"/>
        <v>780.40000000000146</v>
      </c>
      <c r="N147">
        <f t="shared" si="168"/>
        <v>190.75000000000364</v>
      </c>
      <c r="O147" s="7">
        <f t="shared" si="142"/>
        <v>35.407545200880222</v>
      </c>
      <c r="P147" s="7">
        <f t="shared" si="143"/>
        <v>8.6545223565710128</v>
      </c>
      <c r="Q147" s="7">
        <f t="shared" si="144"/>
        <v>26.753022844309207</v>
      </c>
      <c r="R147" s="7">
        <f t="shared" si="145"/>
        <v>44.062067557451236</v>
      </c>
      <c r="S147" s="7">
        <f t="shared" si="146"/>
        <v>60.716676105647394</v>
      </c>
      <c r="T147" s="7">
        <f t="shared" si="103"/>
        <v>44.578274520602179</v>
      </c>
      <c r="U147" s="6" t="str">
        <f t="shared" si="147"/>
        <v>Strong</v>
      </c>
    </row>
    <row r="148" spans="1:21" x14ac:dyDescent="0.25">
      <c r="A148" s="1">
        <v>45036</v>
      </c>
      <c r="B148">
        <v>17638.599999999999</v>
      </c>
      <c r="C148">
        <v>17684.45</v>
      </c>
      <c r="D148">
        <v>17584.349999999999</v>
      </c>
      <c r="E148">
        <v>17624.45</v>
      </c>
      <c r="F148">
        <f t="shared" si="139"/>
        <v>100.10000000000218</v>
      </c>
      <c r="G148">
        <f t="shared" si="150"/>
        <v>65.700000000000728</v>
      </c>
      <c r="H148">
        <f t="shared" si="151"/>
        <v>34.400000000001455</v>
      </c>
      <c r="I148">
        <f t="shared" si="148"/>
        <v>100.10000000000218</v>
      </c>
      <c r="J148">
        <f t="shared" si="152"/>
        <v>18.299999999999272</v>
      </c>
      <c r="K148">
        <f t="shared" si="140"/>
        <v>0</v>
      </c>
      <c r="L148">
        <f t="shared" ref="L148:N148" si="169">SUM(I135:I148)</f>
        <v>2131.7000000000044</v>
      </c>
      <c r="M148">
        <f t="shared" si="169"/>
        <v>798.70000000000073</v>
      </c>
      <c r="N148">
        <f t="shared" si="169"/>
        <v>190.75000000000364</v>
      </c>
      <c r="O148" s="7">
        <f t="shared" si="142"/>
        <v>37.467748745132951</v>
      </c>
      <c r="P148" s="7">
        <f t="shared" si="143"/>
        <v>8.9482572594644303</v>
      </c>
      <c r="Q148" s="7">
        <f t="shared" si="144"/>
        <v>28.519491485668521</v>
      </c>
      <c r="R148" s="7">
        <f t="shared" si="145"/>
        <v>46.416006004597378</v>
      </c>
      <c r="S148" s="7">
        <f t="shared" si="146"/>
        <v>61.443226034665166</v>
      </c>
      <c r="T148" s="7">
        <f t="shared" si="103"/>
        <v>44.166653905397062</v>
      </c>
      <c r="U148" s="6" t="str">
        <f t="shared" si="147"/>
        <v>Strong</v>
      </c>
    </row>
    <row r="149" spans="1:21" x14ac:dyDescent="0.25">
      <c r="A149" s="1">
        <v>45037</v>
      </c>
      <c r="B149">
        <v>17639.75</v>
      </c>
      <c r="C149">
        <v>17663.2</v>
      </c>
      <c r="D149">
        <v>17553.95</v>
      </c>
      <c r="E149">
        <v>17624.05</v>
      </c>
      <c r="F149">
        <f t="shared" si="139"/>
        <v>109.25</v>
      </c>
      <c r="G149">
        <f t="shared" si="150"/>
        <v>38.75</v>
      </c>
      <c r="H149">
        <f t="shared" si="151"/>
        <v>70.5</v>
      </c>
      <c r="I149">
        <f t="shared" si="148"/>
        <v>109.25</v>
      </c>
      <c r="J149">
        <f t="shared" si="152"/>
        <v>0</v>
      </c>
      <c r="K149">
        <f t="shared" si="140"/>
        <v>30.399999999997817</v>
      </c>
      <c r="L149">
        <f t="shared" ref="L149:N149" si="170">SUM(I136:I149)</f>
        <v>2092.9500000000044</v>
      </c>
      <c r="M149">
        <f t="shared" si="170"/>
        <v>798.70000000000073</v>
      </c>
      <c r="N149">
        <f t="shared" si="170"/>
        <v>216.35000000000218</v>
      </c>
      <c r="O149" s="7">
        <f t="shared" si="142"/>
        <v>38.161446761747726</v>
      </c>
      <c r="P149" s="7">
        <f t="shared" si="143"/>
        <v>10.33708402016301</v>
      </c>
      <c r="Q149" s="7">
        <f t="shared" si="144"/>
        <v>27.824362741584714</v>
      </c>
      <c r="R149" s="7">
        <f t="shared" si="145"/>
        <v>48.498530781910738</v>
      </c>
      <c r="S149" s="7">
        <f t="shared" si="146"/>
        <v>57.371558051327213</v>
      </c>
      <c r="T149" s="7">
        <f t="shared" si="103"/>
        <v>43.581033562438201</v>
      </c>
      <c r="U149" s="6" t="str">
        <f t="shared" si="147"/>
        <v>Strong</v>
      </c>
    </row>
    <row r="150" spans="1:21" x14ac:dyDescent="0.25">
      <c r="A150" s="1">
        <v>45040</v>
      </c>
      <c r="B150">
        <v>17707.55</v>
      </c>
      <c r="C150">
        <v>17754.5</v>
      </c>
      <c r="D150">
        <v>17612.5</v>
      </c>
      <c r="E150">
        <v>17743.400000000001</v>
      </c>
      <c r="F150">
        <f t="shared" si="139"/>
        <v>142</v>
      </c>
      <c r="G150">
        <f t="shared" si="150"/>
        <v>130.45000000000073</v>
      </c>
      <c r="H150">
        <f t="shared" si="151"/>
        <v>11.549999999999272</v>
      </c>
      <c r="I150">
        <f t="shared" si="148"/>
        <v>142</v>
      </c>
      <c r="J150">
        <f t="shared" si="152"/>
        <v>91.299999999999272</v>
      </c>
      <c r="K150">
        <f t="shared" si="140"/>
        <v>0</v>
      </c>
      <c r="L150">
        <f t="shared" ref="L150:N150" si="171">SUM(I137:I150)</f>
        <v>2049.4000000000015</v>
      </c>
      <c r="M150">
        <f t="shared" si="171"/>
        <v>825.59999999999854</v>
      </c>
      <c r="N150">
        <f t="shared" si="171"/>
        <v>216.35000000000218</v>
      </c>
      <c r="O150" s="7">
        <f t="shared" si="142"/>
        <v>40.284961452132237</v>
      </c>
      <c r="P150" s="7">
        <f t="shared" si="143"/>
        <v>10.556748316580562</v>
      </c>
      <c r="Q150" s="7">
        <f t="shared" si="144"/>
        <v>29.728213135551677</v>
      </c>
      <c r="R150" s="7">
        <f t="shared" si="145"/>
        <v>50.841709768712796</v>
      </c>
      <c r="S150" s="7">
        <f t="shared" si="146"/>
        <v>58.472095589999142</v>
      </c>
      <c r="T150" s="7">
        <f t="shared" si="103"/>
        <v>43.696395724665102</v>
      </c>
      <c r="U150" s="6" t="str">
        <f t="shared" si="147"/>
        <v>Strong</v>
      </c>
    </row>
    <row r="151" spans="1:21" x14ac:dyDescent="0.25">
      <c r="A151" s="1">
        <v>45041</v>
      </c>
      <c r="B151">
        <v>17761.55</v>
      </c>
      <c r="C151">
        <v>17807.45</v>
      </c>
      <c r="D151">
        <v>17716.849999999999</v>
      </c>
      <c r="E151">
        <v>17769.25</v>
      </c>
      <c r="F151">
        <f t="shared" si="139"/>
        <v>90.600000000002183</v>
      </c>
      <c r="G151">
        <f t="shared" si="150"/>
        <v>64.049999999999272</v>
      </c>
      <c r="H151">
        <f t="shared" si="151"/>
        <v>26.55000000000291</v>
      </c>
      <c r="I151">
        <f t="shared" si="148"/>
        <v>90.600000000002183</v>
      </c>
      <c r="J151">
        <f t="shared" si="152"/>
        <v>52.950000000000728</v>
      </c>
      <c r="K151">
        <f t="shared" si="140"/>
        <v>0</v>
      </c>
      <c r="L151">
        <f t="shared" ref="L151:N151" si="172">SUM(I138:I151)</f>
        <v>1839.1000000000058</v>
      </c>
      <c r="M151">
        <f t="shared" si="172"/>
        <v>623.10000000000218</v>
      </c>
      <c r="N151">
        <f t="shared" si="172"/>
        <v>216.35000000000218</v>
      </c>
      <c r="O151" s="7">
        <f t="shared" si="142"/>
        <v>33.880702517535759</v>
      </c>
      <c r="P151" s="7">
        <f t="shared" si="143"/>
        <v>11.763906258496085</v>
      </c>
      <c r="Q151" s="7">
        <f t="shared" si="144"/>
        <v>22.116796259039674</v>
      </c>
      <c r="R151" s="7">
        <f t="shared" si="145"/>
        <v>45.644608776031845</v>
      </c>
      <c r="S151" s="7">
        <f t="shared" si="146"/>
        <v>48.454345106914985</v>
      </c>
      <c r="T151" s="7">
        <f t="shared" si="103"/>
        <v>45.798940043741936</v>
      </c>
      <c r="U151" s="6" t="str">
        <f t="shared" si="147"/>
        <v>Strong</v>
      </c>
    </row>
    <row r="152" spans="1:21" x14ac:dyDescent="0.25">
      <c r="A152" s="1">
        <v>45042</v>
      </c>
      <c r="B152">
        <v>17767.3</v>
      </c>
      <c r="C152">
        <v>17827.75</v>
      </c>
      <c r="D152">
        <v>17711.2</v>
      </c>
      <c r="E152">
        <v>17813.599999999999</v>
      </c>
      <c r="F152">
        <f t="shared" si="139"/>
        <v>116.54999999999927</v>
      </c>
      <c r="G152">
        <f t="shared" si="150"/>
        <v>58.5</v>
      </c>
      <c r="H152">
        <f t="shared" si="151"/>
        <v>58.049999999999272</v>
      </c>
      <c r="I152">
        <f t="shared" si="148"/>
        <v>116.54999999999927</v>
      </c>
      <c r="J152">
        <f t="shared" si="152"/>
        <v>20.299999999999272</v>
      </c>
      <c r="K152">
        <f t="shared" si="140"/>
        <v>0</v>
      </c>
      <c r="L152">
        <f t="shared" ref="L152:N152" si="173">SUM(I139:I152)</f>
        <v>1840.3500000000058</v>
      </c>
      <c r="M152">
        <f t="shared" si="173"/>
        <v>596.95000000000073</v>
      </c>
      <c r="N152">
        <f t="shared" si="173"/>
        <v>216.35000000000218</v>
      </c>
      <c r="O152" s="7">
        <f t="shared" si="142"/>
        <v>32.436764745836328</v>
      </c>
      <c r="P152" s="7">
        <f t="shared" si="143"/>
        <v>11.755915994240308</v>
      </c>
      <c r="Q152" s="7">
        <f t="shared" si="144"/>
        <v>20.68084875159602</v>
      </c>
      <c r="R152" s="7">
        <f t="shared" si="145"/>
        <v>44.192680740076639</v>
      </c>
      <c r="S152" s="7">
        <f t="shared" si="146"/>
        <v>46.796999877043795</v>
      </c>
      <c r="T152" s="7">
        <f t="shared" si="103"/>
        <v>49.130068996648397</v>
      </c>
      <c r="U152" s="6" t="str">
        <f t="shared" si="147"/>
        <v>Strong</v>
      </c>
    </row>
    <row r="153" spans="1:21" x14ac:dyDescent="0.25">
      <c r="A153" s="1">
        <v>45043</v>
      </c>
      <c r="B153">
        <v>17813.099999999999</v>
      </c>
      <c r="C153">
        <v>17931.599999999999</v>
      </c>
      <c r="D153">
        <v>17797.900000000001</v>
      </c>
      <c r="E153">
        <v>17915.05</v>
      </c>
      <c r="F153">
        <f t="shared" si="139"/>
        <v>133.69999999999709</v>
      </c>
      <c r="G153">
        <f t="shared" si="150"/>
        <v>118</v>
      </c>
      <c r="H153">
        <f t="shared" si="151"/>
        <v>15.69999999999709</v>
      </c>
      <c r="I153">
        <f t="shared" si="148"/>
        <v>133.69999999999709</v>
      </c>
      <c r="J153">
        <f t="shared" si="152"/>
        <v>103.84999999999854</v>
      </c>
      <c r="K153">
        <f t="shared" si="140"/>
        <v>0</v>
      </c>
      <c r="L153">
        <f t="shared" ref="L153:N153" si="174">SUM(I140:I153)</f>
        <v>1801.5500000000029</v>
      </c>
      <c r="M153">
        <f t="shared" si="174"/>
        <v>558.29999999999927</v>
      </c>
      <c r="N153">
        <f t="shared" si="174"/>
        <v>216.35000000000218</v>
      </c>
      <c r="O153" s="7">
        <f t="shared" si="142"/>
        <v>30.989980849823674</v>
      </c>
      <c r="P153" s="7">
        <f t="shared" si="143"/>
        <v>12.00910327218239</v>
      </c>
      <c r="Q153" s="7">
        <f t="shared" si="144"/>
        <v>18.980877577641284</v>
      </c>
      <c r="R153" s="7">
        <f t="shared" si="145"/>
        <v>42.999084122006067</v>
      </c>
      <c r="S153" s="7">
        <f t="shared" si="146"/>
        <v>44.14251597495597</v>
      </c>
      <c r="T153" s="7">
        <f t="shared" si="103"/>
        <v>50.664552417321396</v>
      </c>
      <c r="U153" s="6" t="str">
        <f t="shared" si="147"/>
        <v>Strong</v>
      </c>
    </row>
    <row r="154" spans="1:21" x14ac:dyDescent="0.25">
      <c r="A154" s="1">
        <v>45044</v>
      </c>
      <c r="B154">
        <v>17950.400000000001</v>
      </c>
      <c r="C154">
        <v>18089.150000000001</v>
      </c>
      <c r="D154">
        <v>17885.3</v>
      </c>
      <c r="E154">
        <v>18065</v>
      </c>
      <c r="F154">
        <f t="shared" si="139"/>
        <v>203.85000000000218</v>
      </c>
      <c r="G154">
        <f t="shared" si="150"/>
        <v>174.10000000000218</v>
      </c>
      <c r="H154">
        <f t="shared" si="151"/>
        <v>29.75</v>
      </c>
      <c r="I154">
        <f t="shared" si="148"/>
        <v>203.85000000000218</v>
      </c>
      <c r="J154">
        <f t="shared" si="152"/>
        <v>157.55000000000291</v>
      </c>
      <c r="K154">
        <f t="shared" si="140"/>
        <v>0</v>
      </c>
      <c r="L154">
        <f t="shared" ref="L154:N154" si="175">SUM(I141:I154)</f>
        <v>1869.5500000000029</v>
      </c>
      <c r="M154">
        <f t="shared" si="175"/>
        <v>647.70000000000073</v>
      </c>
      <c r="N154">
        <f t="shared" si="175"/>
        <v>216.35000000000218</v>
      </c>
      <c r="O154" s="7">
        <f t="shared" si="142"/>
        <v>34.644700596400192</v>
      </c>
      <c r="P154" s="7">
        <f t="shared" si="143"/>
        <v>11.572303495493667</v>
      </c>
      <c r="Q154" s="7">
        <f t="shared" si="144"/>
        <v>23.072397100906525</v>
      </c>
      <c r="R154" s="7">
        <f t="shared" si="145"/>
        <v>46.217004091893855</v>
      </c>
      <c r="S154" s="7">
        <f t="shared" si="146"/>
        <v>49.921879520860728</v>
      </c>
      <c r="T154" s="7">
        <f t="shared" si="103"/>
        <v>51.954306124100981</v>
      </c>
      <c r="U154" s="6" t="str">
        <f t="shared" si="147"/>
        <v>Strong</v>
      </c>
    </row>
    <row r="155" spans="1:21" x14ac:dyDescent="0.25">
      <c r="A155" s="1">
        <v>45048</v>
      </c>
      <c r="B155">
        <v>18124.8</v>
      </c>
      <c r="C155">
        <v>18180.25</v>
      </c>
      <c r="D155">
        <v>18101.75</v>
      </c>
      <c r="E155">
        <v>18147.650000000001</v>
      </c>
      <c r="F155">
        <f t="shared" si="139"/>
        <v>78.5</v>
      </c>
      <c r="G155">
        <f t="shared" si="150"/>
        <v>115.25</v>
      </c>
      <c r="H155">
        <f t="shared" si="151"/>
        <v>36.75</v>
      </c>
      <c r="I155">
        <f t="shared" si="148"/>
        <v>115.25</v>
      </c>
      <c r="J155">
        <f t="shared" si="152"/>
        <v>91.099999999998545</v>
      </c>
      <c r="K155">
        <f t="shared" si="140"/>
        <v>0</v>
      </c>
      <c r="L155">
        <f t="shared" ref="L155:N155" si="176">SUM(I142:I155)</f>
        <v>1888.6500000000051</v>
      </c>
      <c r="M155">
        <f t="shared" si="176"/>
        <v>683.40000000000146</v>
      </c>
      <c r="N155">
        <f t="shared" si="176"/>
        <v>216.35000000000218</v>
      </c>
      <c r="O155" s="7">
        <f t="shared" si="142"/>
        <v>36.184576284647747</v>
      </c>
      <c r="P155" s="7">
        <f t="shared" si="143"/>
        <v>11.455272284436058</v>
      </c>
      <c r="Q155" s="7">
        <f t="shared" si="144"/>
        <v>24.729304000211691</v>
      </c>
      <c r="R155" s="7">
        <f t="shared" si="145"/>
        <v>47.639848569083803</v>
      </c>
      <c r="S155" s="7">
        <f t="shared" si="146"/>
        <v>51.908863573214504</v>
      </c>
      <c r="T155" s="7">
        <f t="shared" si="103"/>
        <v>52.450229829751713</v>
      </c>
      <c r="U155" s="6" t="str">
        <f t="shared" si="147"/>
        <v>Strong</v>
      </c>
    </row>
    <row r="156" spans="1:21" x14ac:dyDescent="0.25">
      <c r="A156" s="1">
        <v>45049</v>
      </c>
      <c r="B156">
        <v>18113.8</v>
      </c>
      <c r="C156">
        <v>18116.349999999999</v>
      </c>
      <c r="D156">
        <v>18042.400000000001</v>
      </c>
      <c r="E156">
        <v>18089.849999999999</v>
      </c>
      <c r="F156">
        <f t="shared" si="139"/>
        <v>73.94999999999709</v>
      </c>
      <c r="G156">
        <f t="shared" si="150"/>
        <v>31.30000000000291</v>
      </c>
      <c r="H156">
        <f t="shared" si="151"/>
        <v>105.25</v>
      </c>
      <c r="I156">
        <f t="shared" si="148"/>
        <v>105.25</v>
      </c>
      <c r="J156">
        <f t="shared" si="152"/>
        <v>0</v>
      </c>
      <c r="K156">
        <f t="shared" si="140"/>
        <v>59.349999999998545</v>
      </c>
      <c r="L156">
        <f t="shared" ref="L156:N156" si="177">SUM(I143:I156)</f>
        <v>1869.2000000000044</v>
      </c>
      <c r="M156">
        <f t="shared" si="177"/>
        <v>628.75</v>
      </c>
      <c r="N156">
        <f t="shared" si="177"/>
        <v>275.70000000000073</v>
      </c>
      <c r="O156" s="7">
        <f t="shared" si="142"/>
        <v>33.637384977530417</v>
      </c>
      <c r="P156" s="7">
        <f t="shared" si="143"/>
        <v>14.749625508238823</v>
      </c>
      <c r="Q156" s="7">
        <f t="shared" si="144"/>
        <v>18.887759469291595</v>
      </c>
      <c r="R156" s="7">
        <f t="shared" si="145"/>
        <v>48.387010485769238</v>
      </c>
      <c r="S156" s="7">
        <f t="shared" si="146"/>
        <v>39.034772513682242</v>
      </c>
      <c r="T156" s="7">
        <f t="shared" si="103"/>
        <v>52.124445773931612</v>
      </c>
      <c r="U156" s="6" t="str">
        <f t="shared" si="147"/>
        <v>Strong</v>
      </c>
    </row>
    <row r="157" spans="1:21" x14ac:dyDescent="0.25">
      <c r="A157" s="1">
        <v>45050</v>
      </c>
      <c r="B157">
        <v>18081</v>
      </c>
      <c r="C157">
        <v>18267.45</v>
      </c>
      <c r="D157">
        <v>18066.7</v>
      </c>
      <c r="E157">
        <v>18255.8</v>
      </c>
      <c r="F157">
        <f t="shared" si="139"/>
        <v>200.75</v>
      </c>
      <c r="G157">
        <f t="shared" si="150"/>
        <v>177.60000000000218</v>
      </c>
      <c r="H157">
        <f t="shared" si="151"/>
        <v>23.149999999997817</v>
      </c>
      <c r="I157">
        <f t="shared" si="148"/>
        <v>200.75</v>
      </c>
      <c r="J157">
        <f t="shared" si="152"/>
        <v>151.10000000000218</v>
      </c>
      <c r="K157">
        <f t="shared" si="140"/>
        <v>0</v>
      </c>
      <c r="L157">
        <f t="shared" ref="L157:N157" si="178">SUM(I144:I157)</f>
        <v>1961.4500000000044</v>
      </c>
      <c r="M157">
        <f t="shared" si="178"/>
        <v>702.85000000000218</v>
      </c>
      <c r="N157">
        <f t="shared" si="178"/>
        <v>275.70000000000073</v>
      </c>
      <c r="O157" s="7">
        <f t="shared" si="142"/>
        <v>35.833184633816849</v>
      </c>
      <c r="P157" s="7">
        <f t="shared" si="143"/>
        <v>14.055928012439784</v>
      </c>
      <c r="Q157" s="7">
        <f t="shared" si="144"/>
        <v>21.777256621377063</v>
      </c>
      <c r="R157" s="7">
        <f t="shared" si="145"/>
        <v>49.889112646256635</v>
      </c>
      <c r="S157" s="7">
        <f t="shared" si="146"/>
        <v>43.651320831843037</v>
      </c>
      <c r="T157" s="7">
        <f t="shared" si="103"/>
        <v>50.636019049923746</v>
      </c>
      <c r="U157" s="6" t="str">
        <f t="shared" si="147"/>
        <v>Strong</v>
      </c>
    </row>
    <row r="158" spans="1:21" x14ac:dyDescent="0.25">
      <c r="A158" s="1">
        <v>45051</v>
      </c>
      <c r="B158">
        <v>18117.3</v>
      </c>
      <c r="C158">
        <v>18216.95</v>
      </c>
      <c r="D158">
        <v>18055.45</v>
      </c>
      <c r="E158">
        <v>18069</v>
      </c>
      <c r="F158">
        <f t="shared" si="139"/>
        <v>161.5</v>
      </c>
      <c r="G158">
        <f t="shared" si="150"/>
        <v>38.849999999998545</v>
      </c>
      <c r="H158">
        <f t="shared" si="151"/>
        <v>200.34999999999854</v>
      </c>
      <c r="I158">
        <f t="shared" si="148"/>
        <v>200.34999999999854</v>
      </c>
      <c r="J158">
        <f t="shared" si="152"/>
        <v>0</v>
      </c>
      <c r="K158">
        <f t="shared" si="140"/>
        <v>11.25</v>
      </c>
      <c r="L158">
        <f t="shared" ref="L158:N158" si="179">SUM(I145:I158)</f>
        <v>2049.3000000000029</v>
      </c>
      <c r="M158">
        <f t="shared" si="179"/>
        <v>686.45000000000073</v>
      </c>
      <c r="N158">
        <f t="shared" si="179"/>
        <v>286.95000000000073</v>
      </c>
      <c r="O158" s="7">
        <f t="shared" si="142"/>
        <v>33.496803786658845</v>
      </c>
      <c r="P158" s="7">
        <f t="shared" si="143"/>
        <v>14.002342263211846</v>
      </c>
      <c r="Q158" s="7">
        <f t="shared" si="144"/>
        <v>19.494461523447001</v>
      </c>
      <c r="R158" s="7">
        <f t="shared" si="145"/>
        <v>47.499146049870689</v>
      </c>
      <c r="S158" s="7">
        <f t="shared" si="146"/>
        <v>41.041709471953915</v>
      </c>
      <c r="T158" s="7">
        <f t="shared" ref="T158:T221" si="180">AVERAGE(S145:S158)</f>
        <v>49.068635824572901</v>
      </c>
      <c r="U158" s="6" t="str">
        <f t="shared" si="147"/>
        <v>Strong</v>
      </c>
    </row>
    <row r="159" spans="1:21" x14ac:dyDescent="0.25">
      <c r="A159" s="1">
        <v>45054</v>
      </c>
      <c r="B159">
        <v>18120.599999999999</v>
      </c>
      <c r="C159">
        <v>18286.95</v>
      </c>
      <c r="D159">
        <v>18100.3</v>
      </c>
      <c r="E159">
        <v>18264.400000000001</v>
      </c>
      <c r="F159">
        <f t="shared" si="139"/>
        <v>186.65000000000146</v>
      </c>
      <c r="G159">
        <f t="shared" si="150"/>
        <v>217.95000000000073</v>
      </c>
      <c r="H159">
        <f t="shared" si="151"/>
        <v>31.299999999999272</v>
      </c>
      <c r="I159">
        <f t="shared" si="148"/>
        <v>217.95000000000073</v>
      </c>
      <c r="J159">
        <f t="shared" si="152"/>
        <v>70</v>
      </c>
      <c r="K159">
        <f t="shared" si="140"/>
        <v>0</v>
      </c>
      <c r="L159">
        <f t="shared" ref="L159:N159" si="181">SUM(I146:I159)</f>
        <v>1978.3000000000029</v>
      </c>
      <c r="M159">
        <f t="shared" si="181"/>
        <v>756.45000000000073</v>
      </c>
      <c r="N159">
        <f t="shared" si="181"/>
        <v>131.34999999999854</v>
      </c>
      <c r="O159" s="7">
        <f t="shared" si="142"/>
        <v>38.237375524440161</v>
      </c>
      <c r="P159" s="7">
        <f t="shared" si="143"/>
        <v>6.6395389981296233</v>
      </c>
      <c r="Q159" s="7">
        <f t="shared" si="144"/>
        <v>31.597836526310537</v>
      </c>
      <c r="R159" s="7">
        <f t="shared" si="145"/>
        <v>44.876914522569784</v>
      </c>
      <c r="S159" s="7">
        <f t="shared" si="146"/>
        <v>70.410002252759938</v>
      </c>
      <c r="T159" s="7">
        <f t="shared" si="180"/>
        <v>51.38612364190994</v>
      </c>
      <c r="U159" s="6" t="str">
        <f t="shared" si="147"/>
        <v>Strong</v>
      </c>
    </row>
    <row r="160" spans="1:21" x14ac:dyDescent="0.25">
      <c r="A160" s="1">
        <v>45055</v>
      </c>
      <c r="B160">
        <v>18303.400000000001</v>
      </c>
      <c r="C160">
        <v>18344.2</v>
      </c>
      <c r="D160">
        <v>18229.650000000001</v>
      </c>
      <c r="E160">
        <v>18265.95</v>
      </c>
      <c r="F160">
        <f t="shared" si="139"/>
        <v>114.54999999999927</v>
      </c>
      <c r="G160">
        <f t="shared" si="150"/>
        <v>79.799999999999272</v>
      </c>
      <c r="H160">
        <f t="shared" si="151"/>
        <v>34.75</v>
      </c>
      <c r="I160">
        <f t="shared" si="148"/>
        <v>114.54999999999927</v>
      </c>
      <c r="J160">
        <f t="shared" si="152"/>
        <v>57.25</v>
      </c>
      <c r="K160">
        <f t="shared" si="140"/>
        <v>0</v>
      </c>
      <c r="L160">
        <f t="shared" ref="L160:N160" si="182">SUM(I147:I160)</f>
        <v>1936.4500000000044</v>
      </c>
      <c r="M160">
        <f t="shared" si="182"/>
        <v>813.70000000000073</v>
      </c>
      <c r="N160">
        <f t="shared" si="182"/>
        <v>131.34999999999854</v>
      </c>
      <c r="O160" s="7">
        <f t="shared" si="142"/>
        <v>42.020191587699088</v>
      </c>
      <c r="P160" s="7">
        <f t="shared" si="143"/>
        <v>6.7830308037903508</v>
      </c>
      <c r="Q160" s="7">
        <f t="shared" si="144"/>
        <v>35.237160783908735</v>
      </c>
      <c r="R160" s="7">
        <f t="shared" si="145"/>
        <v>48.803222391489442</v>
      </c>
      <c r="S160" s="7">
        <f t="shared" si="146"/>
        <v>72.202528966721616</v>
      </c>
      <c r="T160" s="7">
        <f t="shared" si="180"/>
        <v>53.254892419399255</v>
      </c>
      <c r="U160" s="6" t="str">
        <f t="shared" si="147"/>
        <v>Strong</v>
      </c>
    </row>
    <row r="161" spans="1:21" x14ac:dyDescent="0.25">
      <c r="A161" s="1">
        <v>45056</v>
      </c>
      <c r="B161">
        <v>18313.599999999999</v>
      </c>
      <c r="C161">
        <v>18326.75</v>
      </c>
      <c r="D161">
        <v>18211.95</v>
      </c>
      <c r="E161">
        <v>18315.099999999999</v>
      </c>
      <c r="F161">
        <f t="shared" si="139"/>
        <v>114.79999999999927</v>
      </c>
      <c r="G161">
        <f t="shared" si="150"/>
        <v>60.799999999999272</v>
      </c>
      <c r="H161">
        <f t="shared" si="151"/>
        <v>54</v>
      </c>
      <c r="I161">
        <f t="shared" si="148"/>
        <v>114.79999999999927</v>
      </c>
      <c r="J161">
        <f t="shared" si="152"/>
        <v>0</v>
      </c>
      <c r="K161">
        <f t="shared" si="140"/>
        <v>17.700000000000728</v>
      </c>
      <c r="L161">
        <f t="shared" ref="L161:N161" si="183">SUM(I148:I161)</f>
        <v>1964.9500000000007</v>
      </c>
      <c r="M161">
        <f t="shared" si="183"/>
        <v>813.70000000000073</v>
      </c>
      <c r="N161">
        <f t="shared" si="183"/>
        <v>118.69999999999709</v>
      </c>
      <c r="O161" s="7">
        <f t="shared" si="142"/>
        <v>41.410722919158275</v>
      </c>
      <c r="P161" s="7">
        <f t="shared" si="143"/>
        <v>6.0408661798008625</v>
      </c>
      <c r="Q161" s="7">
        <f t="shared" si="144"/>
        <v>35.369856739357409</v>
      </c>
      <c r="R161" s="7">
        <f t="shared" si="145"/>
        <v>47.45158909895914</v>
      </c>
      <c r="S161" s="7">
        <f t="shared" si="146"/>
        <v>74.538824538825097</v>
      </c>
      <c r="T161" s="7">
        <f t="shared" si="180"/>
        <v>54.242188736054814</v>
      </c>
      <c r="U161" s="6" t="str">
        <f t="shared" si="147"/>
        <v>Strong</v>
      </c>
    </row>
    <row r="162" spans="1:21" x14ac:dyDescent="0.25">
      <c r="A162" s="1">
        <v>45057</v>
      </c>
      <c r="B162">
        <v>18357.8</v>
      </c>
      <c r="C162">
        <v>18389.7</v>
      </c>
      <c r="D162">
        <v>18270.400000000001</v>
      </c>
      <c r="E162">
        <v>18297</v>
      </c>
      <c r="F162">
        <f t="shared" si="139"/>
        <v>119.29999999999927</v>
      </c>
      <c r="G162">
        <f t="shared" si="150"/>
        <v>74.600000000002183</v>
      </c>
      <c r="H162">
        <f t="shared" si="151"/>
        <v>44.69999999999709</v>
      </c>
      <c r="I162">
        <f t="shared" si="148"/>
        <v>119.29999999999927</v>
      </c>
      <c r="J162">
        <f t="shared" si="152"/>
        <v>62.950000000000728</v>
      </c>
      <c r="K162">
        <f t="shared" si="140"/>
        <v>0</v>
      </c>
      <c r="L162">
        <f t="shared" ref="L162:N162" si="184">SUM(I149:I162)</f>
        <v>1984.1499999999978</v>
      </c>
      <c r="M162">
        <f t="shared" si="184"/>
        <v>858.35000000000218</v>
      </c>
      <c r="N162">
        <f t="shared" si="184"/>
        <v>118.69999999999709</v>
      </c>
      <c r="O162" s="7">
        <f t="shared" si="142"/>
        <v>43.260338180077269</v>
      </c>
      <c r="P162" s="7">
        <f t="shared" si="143"/>
        <v>5.9824106040368532</v>
      </c>
      <c r="Q162" s="7">
        <f t="shared" si="144"/>
        <v>37.277927576040419</v>
      </c>
      <c r="R162" s="7">
        <f t="shared" si="145"/>
        <v>49.24274878411412</v>
      </c>
      <c r="S162" s="7">
        <f t="shared" si="146"/>
        <v>75.702369377207489</v>
      </c>
      <c r="T162" s="7">
        <f t="shared" si="180"/>
        <v>55.260698974807831</v>
      </c>
      <c r="U162" s="6" t="str">
        <f t="shared" si="147"/>
        <v>Strong</v>
      </c>
    </row>
    <row r="163" spans="1:21" x14ac:dyDescent="0.25">
      <c r="A163" s="1">
        <v>45058</v>
      </c>
      <c r="B163">
        <v>18273.75</v>
      </c>
      <c r="C163">
        <v>18342.75</v>
      </c>
      <c r="D163">
        <v>18194.55</v>
      </c>
      <c r="E163">
        <v>18314.8</v>
      </c>
      <c r="F163">
        <f t="shared" si="139"/>
        <v>148.20000000000073</v>
      </c>
      <c r="G163">
        <f t="shared" si="150"/>
        <v>45.75</v>
      </c>
      <c r="H163">
        <f t="shared" si="151"/>
        <v>102.45000000000073</v>
      </c>
      <c r="I163">
        <f t="shared" si="148"/>
        <v>148.20000000000073</v>
      </c>
      <c r="J163">
        <f t="shared" si="152"/>
        <v>0</v>
      </c>
      <c r="K163">
        <f t="shared" si="140"/>
        <v>75.850000000002183</v>
      </c>
      <c r="L163">
        <f t="shared" ref="L163:N163" si="185">SUM(I150:I163)</f>
        <v>2023.0999999999985</v>
      </c>
      <c r="M163">
        <f t="shared" si="185"/>
        <v>858.35000000000218</v>
      </c>
      <c r="N163">
        <f t="shared" si="185"/>
        <v>164.15000000000146</v>
      </c>
      <c r="O163" s="7">
        <f t="shared" si="142"/>
        <v>42.427462804606932</v>
      </c>
      <c r="P163" s="7">
        <f t="shared" si="143"/>
        <v>8.1137857743068356</v>
      </c>
      <c r="Q163" s="7">
        <f t="shared" si="144"/>
        <v>34.313677030300099</v>
      </c>
      <c r="R163" s="7">
        <f t="shared" si="145"/>
        <v>50.541248578913766</v>
      </c>
      <c r="S163" s="7">
        <f t="shared" si="146"/>
        <v>67.892420537897152</v>
      </c>
      <c r="T163" s="7">
        <f t="shared" si="180"/>
        <v>56.012189152419971</v>
      </c>
      <c r="U163" s="6" t="str">
        <f t="shared" si="147"/>
        <v>Strong</v>
      </c>
    </row>
    <row r="164" spans="1:21" x14ac:dyDescent="0.25">
      <c r="A164" s="1">
        <v>45061</v>
      </c>
      <c r="B164">
        <v>18339.3</v>
      </c>
      <c r="C164">
        <v>18458.900000000001</v>
      </c>
      <c r="D164">
        <v>18287.900000000001</v>
      </c>
      <c r="E164">
        <v>18398.849999999999</v>
      </c>
      <c r="F164">
        <f t="shared" si="139"/>
        <v>171</v>
      </c>
      <c r="G164">
        <f t="shared" si="150"/>
        <v>144.10000000000218</v>
      </c>
      <c r="H164">
        <f t="shared" si="151"/>
        <v>26.899999999997817</v>
      </c>
      <c r="I164">
        <f t="shared" si="148"/>
        <v>171</v>
      </c>
      <c r="J164">
        <f t="shared" si="152"/>
        <v>116.15000000000146</v>
      </c>
      <c r="K164">
        <f t="shared" si="140"/>
        <v>0</v>
      </c>
      <c r="L164">
        <f t="shared" ref="L164:N164" si="186">SUM(I151:I164)</f>
        <v>2052.0999999999985</v>
      </c>
      <c r="M164">
        <f t="shared" si="186"/>
        <v>883.20000000000437</v>
      </c>
      <c r="N164">
        <f t="shared" si="186"/>
        <v>164.15000000000146</v>
      </c>
      <c r="O164" s="7">
        <f t="shared" si="142"/>
        <v>43.038838263242774</v>
      </c>
      <c r="P164" s="7">
        <f t="shared" si="143"/>
        <v>7.999122849763733</v>
      </c>
      <c r="Q164" s="7">
        <f t="shared" si="144"/>
        <v>35.039715413479044</v>
      </c>
      <c r="R164" s="7">
        <f t="shared" si="145"/>
        <v>51.037961113006503</v>
      </c>
      <c r="S164" s="7">
        <f t="shared" si="146"/>
        <v>68.654222561703264</v>
      </c>
      <c r="T164" s="7">
        <f t="shared" si="180"/>
        <v>56.739483936113118</v>
      </c>
      <c r="U164" s="6" t="str">
        <f t="shared" si="147"/>
        <v>Strong</v>
      </c>
    </row>
    <row r="165" spans="1:21" x14ac:dyDescent="0.25">
      <c r="A165" s="1">
        <v>45062</v>
      </c>
      <c r="B165">
        <v>18432.349999999999</v>
      </c>
      <c r="C165">
        <v>18432.349999999999</v>
      </c>
      <c r="D165">
        <v>18264.349999999999</v>
      </c>
      <c r="E165">
        <v>18286.5</v>
      </c>
      <c r="F165">
        <f t="shared" si="139"/>
        <v>168</v>
      </c>
      <c r="G165">
        <f t="shared" si="150"/>
        <v>33.5</v>
      </c>
      <c r="H165">
        <f t="shared" si="151"/>
        <v>134.5</v>
      </c>
      <c r="I165">
        <f t="shared" si="148"/>
        <v>168</v>
      </c>
      <c r="J165">
        <f t="shared" si="152"/>
        <v>0</v>
      </c>
      <c r="K165">
        <f t="shared" si="140"/>
        <v>23.55000000000291</v>
      </c>
      <c r="L165">
        <f t="shared" ref="L165:N165" si="187">SUM(I152:I165)</f>
        <v>2129.4999999999964</v>
      </c>
      <c r="M165">
        <f t="shared" si="187"/>
        <v>830.25000000000364</v>
      </c>
      <c r="N165">
        <f t="shared" si="187"/>
        <v>187.70000000000437</v>
      </c>
      <c r="O165" s="7">
        <f t="shared" si="142"/>
        <v>38.988025358065507</v>
      </c>
      <c r="P165" s="7">
        <f t="shared" si="143"/>
        <v>8.8142756515616192</v>
      </c>
      <c r="Q165" s="7">
        <f t="shared" si="144"/>
        <v>30.173749706503887</v>
      </c>
      <c r="R165" s="7">
        <f t="shared" si="145"/>
        <v>47.802301009627129</v>
      </c>
      <c r="S165" s="7">
        <f t="shared" si="146"/>
        <v>63.121960803575242</v>
      </c>
      <c r="T165" s="7">
        <f t="shared" si="180"/>
        <v>57.787170771588855</v>
      </c>
      <c r="U165" s="6" t="str">
        <f t="shared" si="147"/>
        <v>Strong</v>
      </c>
    </row>
    <row r="166" spans="1:21" x14ac:dyDescent="0.25">
      <c r="A166" s="1">
        <v>45063</v>
      </c>
      <c r="B166">
        <v>18300.45</v>
      </c>
      <c r="C166">
        <v>18309</v>
      </c>
      <c r="D166">
        <v>18115.349999999999</v>
      </c>
      <c r="E166">
        <v>18181.75</v>
      </c>
      <c r="F166">
        <f t="shared" si="139"/>
        <v>193.65000000000146</v>
      </c>
      <c r="G166">
        <f t="shared" si="150"/>
        <v>22.5</v>
      </c>
      <c r="H166">
        <f t="shared" si="151"/>
        <v>171.15000000000146</v>
      </c>
      <c r="I166">
        <f t="shared" si="148"/>
        <v>193.65000000000146</v>
      </c>
      <c r="J166">
        <f t="shared" si="152"/>
        <v>0</v>
      </c>
      <c r="K166">
        <f t="shared" si="140"/>
        <v>149</v>
      </c>
      <c r="L166">
        <f t="shared" ref="L166:N166" si="188">SUM(I153:I166)</f>
        <v>2206.5999999999985</v>
      </c>
      <c r="M166">
        <f t="shared" si="188"/>
        <v>809.95000000000437</v>
      </c>
      <c r="N166">
        <f t="shared" si="188"/>
        <v>336.70000000000437</v>
      </c>
      <c r="O166" s="7">
        <f t="shared" si="142"/>
        <v>36.705791715762025</v>
      </c>
      <c r="P166" s="7">
        <f t="shared" si="143"/>
        <v>15.258769147104351</v>
      </c>
      <c r="Q166" s="7">
        <f t="shared" si="144"/>
        <v>21.447022568657673</v>
      </c>
      <c r="R166" s="7">
        <f t="shared" si="145"/>
        <v>51.964560862866378</v>
      </c>
      <c r="S166" s="7">
        <f t="shared" si="146"/>
        <v>41.272402215148155</v>
      </c>
      <c r="T166" s="7">
        <f t="shared" si="180"/>
        <v>57.392556652882021</v>
      </c>
      <c r="U166" s="6" t="str">
        <f t="shared" si="147"/>
        <v>Strong</v>
      </c>
    </row>
    <row r="167" spans="1:21" x14ac:dyDescent="0.25">
      <c r="A167" s="1">
        <v>45064</v>
      </c>
      <c r="B167">
        <v>18287.5</v>
      </c>
      <c r="C167">
        <v>18297.2</v>
      </c>
      <c r="D167">
        <v>18104.849999999999</v>
      </c>
      <c r="E167">
        <v>18129.95</v>
      </c>
      <c r="F167">
        <f t="shared" si="139"/>
        <v>192.35000000000218</v>
      </c>
      <c r="G167">
        <f t="shared" si="150"/>
        <v>115.45000000000073</v>
      </c>
      <c r="H167">
        <f t="shared" si="151"/>
        <v>76.900000000001455</v>
      </c>
      <c r="I167">
        <f t="shared" si="148"/>
        <v>192.35000000000218</v>
      </c>
      <c r="J167">
        <f t="shared" si="152"/>
        <v>0</v>
      </c>
      <c r="K167">
        <f t="shared" si="140"/>
        <v>10.5</v>
      </c>
      <c r="L167">
        <f t="shared" ref="L167:N167" si="189">SUM(I154:I167)</f>
        <v>2265.2500000000036</v>
      </c>
      <c r="M167">
        <f t="shared" si="189"/>
        <v>706.10000000000582</v>
      </c>
      <c r="N167">
        <f t="shared" si="189"/>
        <v>347.20000000000437</v>
      </c>
      <c r="O167" s="7">
        <f t="shared" si="142"/>
        <v>31.170952433506443</v>
      </c>
      <c r="P167" s="7">
        <f t="shared" si="143"/>
        <v>15.327226575433341</v>
      </c>
      <c r="Q167" s="7">
        <f t="shared" si="144"/>
        <v>15.843725858073102</v>
      </c>
      <c r="R167" s="7">
        <f t="shared" si="145"/>
        <v>46.498179008939786</v>
      </c>
      <c r="S167" s="7">
        <f t="shared" si="146"/>
        <v>34.073863096933259</v>
      </c>
      <c r="T167" s="7">
        <f t="shared" si="180"/>
        <v>56.673367161594683</v>
      </c>
      <c r="U167" s="6" t="str">
        <f t="shared" si="147"/>
        <v>Strong</v>
      </c>
    </row>
    <row r="168" spans="1:21" x14ac:dyDescent="0.25">
      <c r="A168" s="1">
        <v>45065</v>
      </c>
      <c r="B168">
        <v>18186.150000000001</v>
      </c>
      <c r="C168">
        <v>18218.099999999999</v>
      </c>
      <c r="D168">
        <v>18060.400000000001</v>
      </c>
      <c r="E168">
        <v>18203.400000000001</v>
      </c>
      <c r="F168">
        <f t="shared" si="139"/>
        <v>157.69999999999709</v>
      </c>
      <c r="G168">
        <f t="shared" si="150"/>
        <v>88.149999999997817</v>
      </c>
      <c r="H168">
        <f t="shared" si="151"/>
        <v>69.549999999999272</v>
      </c>
      <c r="I168">
        <f t="shared" si="148"/>
        <v>157.69999999999709</v>
      </c>
      <c r="J168">
        <f t="shared" si="152"/>
        <v>0</v>
      </c>
      <c r="K168">
        <f t="shared" si="140"/>
        <v>44.44999999999709</v>
      </c>
      <c r="L168">
        <f t="shared" ref="L168:N168" si="190">SUM(I155:I168)</f>
        <v>2219.0999999999985</v>
      </c>
      <c r="M168">
        <f t="shared" si="190"/>
        <v>548.55000000000291</v>
      </c>
      <c r="N168">
        <f t="shared" si="190"/>
        <v>391.65000000000146</v>
      </c>
      <c r="O168" s="7">
        <f t="shared" si="142"/>
        <v>24.719480870623372</v>
      </c>
      <c r="P168" s="7">
        <f t="shared" si="143"/>
        <v>17.649046910909906</v>
      </c>
      <c r="Q168" s="7">
        <f t="shared" si="144"/>
        <v>7.0704339597134656</v>
      </c>
      <c r="R168" s="7">
        <f t="shared" si="145"/>
        <v>42.368527781533274</v>
      </c>
      <c r="S168" s="7">
        <f t="shared" si="146"/>
        <v>16.687938736439133</v>
      </c>
      <c r="T168" s="7">
        <f t="shared" si="180"/>
        <v>54.299514248421715</v>
      </c>
      <c r="U168" s="6" t="str">
        <f t="shared" si="147"/>
        <v>Strong</v>
      </c>
    </row>
    <row r="169" spans="1:21" x14ac:dyDescent="0.25">
      <c r="A169" s="1">
        <v>45068</v>
      </c>
      <c r="B169">
        <v>18201.099999999999</v>
      </c>
      <c r="C169">
        <v>18335.25</v>
      </c>
      <c r="D169">
        <v>18178.849999999999</v>
      </c>
      <c r="E169">
        <v>18314.400000000001</v>
      </c>
      <c r="F169">
        <f t="shared" si="139"/>
        <v>156.40000000000146</v>
      </c>
      <c r="G169">
        <f t="shared" si="150"/>
        <v>131.84999999999854</v>
      </c>
      <c r="H169">
        <f t="shared" si="151"/>
        <v>24.55000000000291</v>
      </c>
      <c r="I169">
        <f t="shared" si="148"/>
        <v>156.40000000000146</v>
      </c>
      <c r="J169">
        <f t="shared" si="152"/>
        <v>117.15000000000146</v>
      </c>
      <c r="K169">
        <f t="shared" si="140"/>
        <v>0</v>
      </c>
      <c r="L169">
        <f t="shared" ref="L169:N169" si="191">SUM(I156:I169)</f>
        <v>2260.25</v>
      </c>
      <c r="M169">
        <f t="shared" si="191"/>
        <v>574.60000000000582</v>
      </c>
      <c r="N169">
        <f t="shared" si="191"/>
        <v>391.65000000000146</v>
      </c>
      <c r="O169" s="7">
        <f t="shared" si="142"/>
        <v>25.421966596615675</v>
      </c>
      <c r="P169" s="7">
        <f t="shared" si="143"/>
        <v>17.327729233491933</v>
      </c>
      <c r="Q169" s="7">
        <f t="shared" si="144"/>
        <v>8.0942373631237423</v>
      </c>
      <c r="R169" s="7">
        <f t="shared" si="145"/>
        <v>42.749695830107612</v>
      </c>
      <c r="S169" s="7">
        <f t="shared" si="146"/>
        <v>18.934023285899404</v>
      </c>
      <c r="T169" s="7">
        <f t="shared" si="180"/>
        <v>51.944168513613498</v>
      </c>
      <c r="U169" s="6" t="str">
        <f t="shared" si="147"/>
        <v>Strong</v>
      </c>
    </row>
    <row r="170" spans="1:21" x14ac:dyDescent="0.25">
      <c r="A170" s="1">
        <v>45069</v>
      </c>
      <c r="B170">
        <v>18362.900000000001</v>
      </c>
      <c r="C170">
        <v>18419.75</v>
      </c>
      <c r="D170">
        <v>18324.2</v>
      </c>
      <c r="E170">
        <v>18348</v>
      </c>
      <c r="F170">
        <f t="shared" si="139"/>
        <v>95.549999999999272</v>
      </c>
      <c r="G170">
        <f t="shared" si="150"/>
        <v>105.34999999999854</v>
      </c>
      <c r="H170">
        <f t="shared" si="151"/>
        <v>9.7999999999992724</v>
      </c>
      <c r="I170">
        <f t="shared" si="148"/>
        <v>105.34999999999854</v>
      </c>
      <c r="J170">
        <f t="shared" si="152"/>
        <v>84.5</v>
      </c>
      <c r="K170">
        <f t="shared" si="140"/>
        <v>0</v>
      </c>
      <c r="L170">
        <f t="shared" ref="L170:N170" si="192">SUM(I157:I170)</f>
        <v>2260.3499999999985</v>
      </c>
      <c r="M170">
        <f t="shared" si="192"/>
        <v>659.10000000000582</v>
      </c>
      <c r="N170">
        <f t="shared" si="192"/>
        <v>332.30000000000291</v>
      </c>
      <c r="O170" s="7">
        <f t="shared" si="142"/>
        <v>29.159201008693618</v>
      </c>
      <c r="P170" s="7">
        <f t="shared" si="143"/>
        <v>14.701263078726884</v>
      </c>
      <c r="Q170" s="7">
        <f t="shared" si="144"/>
        <v>14.457937929966734</v>
      </c>
      <c r="R170" s="7">
        <f t="shared" si="145"/>
        <v>43.860464087420503</v>
      </c>
      <c r="S170" s="7">
        <f t="shared" si="146"/>
        <v>32.963485979423034</v>
      </c>
      <c r="T170" s="7">
        <f t="shared" si="180"/>
        <v>51.510505189737842</v>
      </c>
      <c r="U170" s="6" t="str">
        <f t="shared" si="147"/>
        <v>Strong</v>
      </c>
    </row>
    <row r="171" spans="1:21" x14ac:dyDescent="0.25">
      <c r="A171" s="1">
        <v>45070</v>
      </c>
      <c r="B171">
        <v>18294.8</v>
      </c>
      <c r="C171">
        <v>18392.599999999999</v>
      </c>
      <c r="D171">
        <v>18262.95</v>
      </c>
      <c r="E171">
        <v>18285.400000000001</v>
      </c>
      <c r="F171">
        <f t="shared" si="139"/>
        <v>129.64999999999782</v>
      </c>
      <c r="G171">
        <f t="shared" si="150"/>
        <v>44.599999999998545</v>
      </c>
      <c r="H171">
        <f t="shared" si="151"/>
        <v>85.049999999999272</v>
      </c>
      <c r="I171">
        <f t="shared" si="148"/>
        <v>129.64999999999782</v>
      </c>
      <c r="J171">
        <f t="shared" si="152"/>
        <v>0</v>
      </c>
      <c r="K171">
        <f t="shared" si="140"/>
        <v>61.25</v>
      </c>
      <c r="L171">
        <f t="shared" ref="L171:N171" si="193">SUM(I158:I171)</f>
        <v>2189.2499999999964</v>
      </c>
      <c r="M171">
        <f t="shared" si="193"/>
        <v>508.00000000000364</v>
      </c>
      <c r="N171">
        <f t="shared" si="193"/>
        <v>393.55000000000291</v>
      </c>
      <c r="O171" s="7">
        <f t="shared" si="142"/>
        <v>23.204293707891036</v>
      </c>
      <c r="P171" s="7">
        <f t="shared" si="143"/>
        <v>17.976475962087633</v>
      </c>
      <c r="Q171" s="7">
        <f t="shared" si="144"/>
        <v>5.227817745803403</v>
      </c>
      <c r="R171" s="7">
        <f t="shared" si="145"/>
        <v>41.180769669978673</v>
      </c>
      <c r="S171" s="7">
        <f t="shared" si="146"/>
        <v>12.694803394154508</v>
      </c>
      <c r="T171" s="7">
        <f t="shared" si="180"/>
        <v>49.299325372760094</v>
      </c>
      <c r="U171" s="6" t="str">
        <f t="shared" si="147"/>
        <v>Strong</v>
      </c>
    </row>
    <row r="172" spans="1:21" x14ac:dyDescent="0.25">
      <c r="A172" s="1">
        <v>45071</v>
      </c>
      <c r="B172">
        <v>18268.900000000001</v>
      </c>
      <c r="C172">
        <v>18338.099999999999</v>
      </c>
      <c r="D172">
        <v>18202.400000000001</v>
      </c>
      <c r="E172">
        <v>18321.150000000001</v>
      </c>
      <c r="F172">
        <f t="shared" si="139"/>
        <v>135.69999999999709</v>
      </c>
      <c r="G172">
        <f t="shared" si="150"/>
        <v>52.69999999999709</v>
      </c>
      <c r="H172">
        <f t="shared" si="151"/>
        <v>83</v>
      </c>
      <c r="I172">
        <f t="shared" si="148"/>
        <v>135.69999999999709</v>
      </c>
      <c r="J172">
        <f t="shared" si="152"/>
        <v>0</v>
      </c>
      <c r="K172">
        <f t="shared" si="140"/>
        <v>60.549999999999272</v>
      </c>
      <c r="L172">
        <f t="shared" ref="L172:N172" si="194">SUM(I159:I172)</f>
        <v>2124.5999999999949</v>
      </c>
      <c r="M172">
        <f t="shared" si="194"/>
        <v>508.00000000000364</v>
      </c>
      <c r="N172">
        <f t="shared" si="194"/>
        <v>442.85000000000218</v>
      </c>
      <c r="O172" s="7">
        <f t="shared" si="142"/>
        <v>23.910383130942524</v>
      </c>
      <c r="P172" s="7">
        <f t="shared" si="143"/>
        <v>20.843923562082427</v>
      </c>
      <c r="Q172" s="7">
        <f t="shared" si="144"/>
        <v>3.0664595688600969</v>
      </c>
      <c r="R172" s="7">
        <f t="shared" si="145"/>
        <v>44.754306693024951</v>
      </c>
      <c r="S172" s="7">
        <f t="shared" si="146"/>
        <v>6.851764210969244</v>
      </c>
      <c r="T172" s="7">
        <f t="shared" si="180"/>
        <v>46.857186425546899</v>
      </c>
      <c r="U172" s="6" t="str">
        <f t="shared" si="147"/>
        <v>Strong</v>
      </c>
    </row>
    <row r="173" spans="1:21" x14ac:dyDescent="0.25">
      <c r="A173" s="1">
        <v>45072</v>
      </c>
      <c r="B173">
        <v>18368.349999999999</v>
      </c>
      <c r="C173">
        <v>18508.55</v>
      </c>
      <c r="D173">
        <v>18333.150000000001</v>
      </c>
      <c r="E173">
        <v>18499.349999999999</v>
      </c>
      <c r="F173">
        <f t="shared" si="139"/>
        <v>175.39999999999782</v>
      </c>
      <c r="G173">
        <f t="shared" si="150"/>
        <v>187.39999999999782</v>
      </c>
      <c r="H173">
        <f t="shared" si="151"/>
        <v>12</v>
      </c>
      <c r="I173">
        <f t="shared" si="148"/>
        <v>187.39999999999782</v>
      </c>
      <c r="J173">
        <f t="shared" si="152"/>
        <v>170.45000000000073</v>
      </c>
      <c r="K173">
        <f t="shared" si="140"/>
        <v>0</v>
      </c>
      <c r="L173">
        <f t="shared" ref="L173:N173" si="195">SUM(I160:I173)</f>
        <v>2094.049999999992</v>
      </c>
      <c r="M173">
        <f t="shared" si="195"/>
        <v>608.45000000000437</v>
      </c>
      <c r="N173">
        <f t="shared" si="195"/>
        <v>442.85000000000218</v>
      </c>
      <c r="O173" s="7">
        <f t="shared" si="142"/>
        <v>29.056135240324092</v>
      </c>
      <c r="P173" s="7">
        <f t="shared" si="143"/>
        <v>21.14801461283178</v>
      </c>
      <c r="Q173" s="7">
        <f t="shared" si="144"/>
        <v>7.9081206274923126</v>
      </c>
      <c r="R173" s="7">
        <f t="shared" si="145"/>
        <v>50.204149853155869</v>
      </c>
      <c r="S173" s="7">
        <f t="shared" si="146"/>
        <v>15.751926186626189</v>
      </c>
      <c r="T173" s="7">
        <f t="shared" si="180"/>
        <v>42.953038135108777</v>
      </c>
      <c r="U173" s="6" t="str">
        <f t="shared" si="147"/>
        <v>Strong</v>
      </c>
    </row>
    <row r="174" spans="1:21" x14ac:dyDescent="0.25">
      <c r="A174" s="1">
        <v>45075</v>
      </c>
      <c r="B174">
        <v>18619.150000000001</v>
      </c>
      <c r="C174">
        <v>18641.2</v>
      </c>
      <c r="D174">
        <v>18581.25</v>
      </c>
      <c r="E174">
        <v>18598.650000000001</v>
      </c>
      <c r="F174">
        <f t="shared" si="139"/>
        <v>59.950000000000728</v>
      </c>
      <c r="G174">
        <f t="shared" si="150"/>
        <v>141.85000000000218</v>
      </c>
      <c r="H174">
        <f t="shared" si="151"/>
        <v>81.900000000001455</v>
      </c>
      <c r="I174">
        <f t="shared" si="148"/>
        <v>141.85000000000218</v>
      </c>
      <c r="J174">
        <f t="shared" si="152"/>
        <v>132.65000000000146</v>
      </c>
      <c r="K174">
        <f t="shared" si="140"/>
        <v>0</v>
      </c>
      <c r="L174">
        <f t="shared" ref="L174:N174" si="196">SUM(I161:I174)</f>
        <v>2121.3499999999949</v>
      </c>
      <c r="M174">
        <f t="shared" si="196"/>
        <v>683.85000000000582</v>
      </c>
      <c r="N174">
        <f t="shared" si="196"/>
        <v>442.85000000000218</v>
      </c>
      <c r="O174" s="7">
        <f t="shared" si="142"/>
        <v>32.236547481556912</v>
      </c>
      <c r="P174" s="7">
        <f t="shared" si="143"/>
        <v>20.875857354986366</v>
      </c>
      <c r="Q174" s="7">
        <f t="shared" si="144"/>
        <v>11.360690126570546</v>
      </c>
      <c r="R174" s="7">
        <f t="shared" si="145"/>
        <v>53.112404836543277</v>
      </c>
      <c r="S174" s="7">
        <f t="shared" si="146"/>
        <v>21.389899707109432</v>
      </c>
      <c r="T174" s="7">
        <f t="shared" si="180"/>
        <v>39.323564616565037</v>
      </c>
      <c r="U174" s="6" t="str">
        <f t="shared" si="147"/>
        <v>Strong</v>
      </c>
    </row>
    <row r="175" spans="1:21" x14ac:dyDescent="0.25">
      <c r="A175" s="1">
        <v>45076</v>
      </c>
      <c r="B175">
        <v>18606.650000000001</v>
      </c>
      <c r="C175">
        <v>18662.45</v>
      </c>
      <c r="D175">
        <v>18575.5</v>
      </c>
      <c r="E175">
        <v>18633.849999999999</v>
      </c>
      <c r="F175">
        <f t="shared" si="139"/>
        <v>86.950000000000728</v>
      </c>
      <c r="G175">
        <f t="shared" si="150"/>
        <v>63.799999999999272</v>
      </c>
      <c r="H175">
        <f t="shared" si="151"/>
        <v>23.150000000001455</v>
      </c>
      <c r="I175">
        <f t="shared" si="148"/>
        <v>86.950000000000728</v>
      </c>
      <c r="J175">
        <f t="shared" si="152"/>
        <v>21.25</v>
      </c>
      <c r="K175">
        <f t="shared" si="140"/>
        <v>0</v>
      </c>
      <c r="L175">
        <f t="shared" ref="L175:N175" si="197">SUM(I162:I175)</f>
        <v>2093.4999999999964</v>
      </c>
      <c r="M175">
        <f t="shared" si="197"/>
        <v>705.10000000000582</v>
      </c>
      <c r="N175">
        <f t="shared" si="197"/>
        <v>425.15000000000146</v>
      </c>
      <c r="O175" s="7">
        <f t="shared" si="142"/>
        <v>33.680439455457709</v>
      </c>
      <c r="P175" s="7">
        <f t="shared" si="143"/>
        <v>20.308096489133135</v>
      </c>
      <c r="Q175" s="7">
        <f t="shared" si="144"/>
        <v>13.372342966324574</v>
      </c>
      <c r="R175" s="7">
        <f t="shared" si="145"/>
        <v>53.988535944590843</v>
      </c>
      <c r="S175" s="7">
        <f t="shared" si="146"/>
        <v>24.768856447688801</v>
      </c>
      <c r="T175" s="7">
        <f t="shared" si="180"/>
        <v>35.768566895769588</v>
      </c>
      <c r="U175" s="6" t="str">
        <f t="shared" si="147"/>
        <v>Strong</v>
      </c>
    </row>
    <row r="176" spans="1:21" x14ac:dyDescent="0.25">
      <c r="A176" s="1">
        <v>45077</v>
      </c>
      <c r="B176">
        <v>18594.2</v>
      </c>
      <c r="C176">
        <v>18603.900000000001</v>
      </c>
      <c r="D176">
        <v>18483.849999999999</v>
      </c>
      <c r="E176">
        <v>18534.400000000001</v>
      </c>
      <c r="F176">
        <f t="shared" si="139"/>
        <v>120.05000000000291</v>
      </c>
      <c r="G176">
        <f t="shared" si="150"/>
        <v>29.94999999999709</v>
      </c>
      <c r="H176">
        <f t="shared" si="151"/>
        <v>150</v>
      </c>
      <c r="I176">
        <f t="shared" si="148"/>
        <v>150</v>
      </c>
      <c r="J176">
        <f t="shared" si="152"/>
        <v>0</v>
      </c>
      <c r="K176">
        <f t="shared" si="140"/>
        <v>91.650000000001455</v>
      </c>
      <c r="L176">
        <f t="shared" ref="L176:N176" si="198">SUM(I163:I176)</f>
        <v>2124.1999999999971</v>
      </c>
      <c r="M176">
        <f t="shared" si="198"/>
        <v>642.15000000000509</v>
      </c>
      <c r="N176">
        <f t="shared" si="198"/>
        <v>516.80000000000291</v>
      </c>
      <c r="O176" s="7">
        <f t="shared" si="142"/>
        <v>30.230204312211939</v>
      </c>
      <c r="P176" s="7">
        <f t="shared" si="143"/>
        <v>24.329159212880313</v>
      </c>
      <c r="Q176" s="7">
        <f t="shared" si="144"/>
        <v>5.9010450993316255</v>
      </c>
      <c r="R176" s="7">
        <f t="shared" si="145"/>
        <v>54.559363525092252</v>
      </c>
      <c r="S176" s="7">
        <f t="shared" si="146"/>
        <v>10.815824668881431</v>
      </c>
      <c r="T176" s="7">
        <f t="shared" si="180"/>
        <v>31.133813702317727</v>
      </c>
      <c r="U176" s="6" t="str">
        <f t="shared" si="147"/>
        <v>Strong</v>
      </c>
    </row>
    <row r="177" spans="1:21" x14ac:dyDescent="0.25">
      <c r="A177" s="1">
        <v>45078</v>
      </c>
      <c r="B177">
        <v>18579.400000000001</v>
      </c>
      <c r="C177">
        <v>18580.3</v>
      </c>
      <c r="D177">
        <v>18464.55</v>
      </c>
      <c r="E177">
        <v>18487.75</v>
      </c>
      <c r="F177">
        <f t="shared" si="139"/>
        <v>115.75</v>
      </c>
      <c r="G177">
        <f t="shared" si="150"/>
        <v>45.899999999997817</v>
      </c>
      <c r="H177">
        <f t="shared" si="151"/>
        <v>69.850000000002183</v>
      </c>
      <c r="I177">
        <f t="shared" si="148"/>
        <v>115.75</v>
      </c>
      <c r="J177">
        <f t="shared" si="152"/>
        <v>0</v>
      </c>
      <c r="K177">
        <f t="shared" si="140"/>
        <v>19.299999999999272</v>
      </c>
      <c r="L177">
        <f t="shared" ref="L177:N177" si="199">SUM(I164:I177)</f>
        <v>2091.7499999999964</v>
      </c>
      <c r="M177">
        <f t="shared" si="199"/>
        <v>642.15000000000509</v>
      </c>
      <c r="N177">
        <f t="shared" si="199"/>
        <v>460.25</v>
      </c>
      <c r="O177" s="7">
        <f t="shared" si="142"/>
        <v>30.699175331660388</v>
      </c>
      <c r="P177" s="7">
        <f t="shared" si="143"/>
        <v>22.003107445918527</v>
      </c>
      <c r="Q177" s="7">
        <f t="shared" si="144"/>
        <v>8.6960678857418614</v>
      </c>
      <c r="R177" s="7">
        <f t="shared" si="145"/>
        <v>52.702282777578915</v>
      </c>
      <c r="S177" s="7">
        <f t="shared" si="146"/>
        <v>16.500362844702853</v>
      </c>
      <c r="T177" s="7">
        <f t="shared" si="180"/>
        <v>27.462952438518133</v>
      </c>
      <c r="U177" s="6" t="str">
        <f t="shared" si="147"/>
        <v>Weak</v>
      </c>
    </row>
    <row r="178" spans="1:21" x14ac:dyDescent="0.25">
      <c r="A178" s="1">
        <v>45079</v>
      </c>
      <c r="B178">
        <v>18550.849999999999</v>
      </c>
      <c r="C178">
        <v>18573.7</v>
      </c>
      <c r="D178">
        <v>18478.400000000001</v>
      </c>
      <c r="E178">
        <v>18534.099999999999</v>
      </c>
      <c r="F178">
        <f t="shared" si="139"/>
        <v>95.299999999999272</v>
      </c>
      <c r="G178">
        <f t="shared" si="150"/>
        <v>85.950000000000728</v>
      </c>
      <c r="H178">
        <f t="shared" si="151"/>
        <v>9.3499999999985448</v>
      </c>
      <c r="I178">
        <f t="shared" si="148"/>
        <v>95.299999999999272</v>
      </c>
      <c r="J178">
        <f t="shared" si="152"/>
        <v>0</v>
      </c>
      <c r="K178">
        <f t="shared" si="140"/>
        <v>0</v>
      </c>
      <c r="L178">
        <f t="shared" ref="L178:N178" si="200">SUM(I165:I178)</f>
        <v>2016.0499999999956</v>
      </c>
      <c r="M178">
        <f t="shared" si="200"/>
        <v>526.00000000000364</v>
      </c>
      <c r="N178">
        <f t="shared" si="200"/>
        <v>460.25</v>
      </c>
      <c r="O178" s="7">
        <f t="shared" si="142"/>
        <v>26.090622752412131</v>
      </c>
      <c r="P178" s="7">
        <f t="shared" si="143"/>
        <v>22.829294908360456</v>
      </c>
      <c r="Q178" s="7">
        <f t="shared" si="144"/>
        <v>3.2613278440516744</v>
      </c>
      <c r="R178" s="7">
        <f t="shared" si="145"/>
        <v>48.919917660772583</v>
      </c>
      <c r="S178" s="7">
        <f t="shared" si="146"/>
        <v>6.6666666666670125</v>
      </c>
      <c r="T178" s="7">
        <f t="shared" si="180"/>
        <v>23.035269874586977</v>
      </c>
      <c r="U178" s="6" t="str">
        <f t="shared" si="147"/>
        <v>Weak</v>
      </c>
    </row>
    <row r="179" spans="1:21" x14ac:dyDescent="0.25">
      <c r="A179" s="1">
        <v>45082</v>
      </c>
      <c r="B179">
        <v>18612</v>
      </c>
      <c r="C179">
        <v>18640.150000000001</v>
      </c>
      <c r="D179">
        <v>18582.8</v>
      </c>
      <c r="E179">
        <v>18593.849999999999</v>
      </c>
      <c r="F179">
        <f t="shared" si="139"/>
        <v>57.350000000002183</v>
      </c>
      <c r="G179">
        <f t="shared" si="150"/>
        <v>106.05000000000291</v>
      </c>
      <c r="H179">
        <f t="shared" si="151"/>
        <v>48.700000000000728</v>
      </c>
      <c r="I179">
        <f t="shared" si="148"/>
        <v>106.05000000000291</v>
      </c>
      <c r="J179">
        <f t="shared" si="152"/>
        <v>66.450000000000728</v>
      </c>
      <c r="K179">
        <f t="shared" si="140"/>
        <v>0</v>
      </c>
      <c r="L179">
        <f t="shared" ref="L179:N179" si="201">SUM(I166:I179)</f>
        <v>1954.0999999999985</v>
      </c>
      <c r="M179">
        <f t="shared" si="201"/>
        <v>592.45000000000437</v>
      </c>
      <c r="N179">
        <f t="shared" si="201"/>
        <v>436.69999999999709</v>
      </c>
      <c r="O179" s="7">
        <f t="shared" si="142"/>
        <v>30.31830510209328</v>
      </c>
      <c r="P179" s="7">
        <f t="shared" si="143"/>
        <v>22.347883936338846</v>
      </c>
      <c r="Q179" s="7">
        <f t="shared" si="144"/>
        <v>7.9704211657544342</v>
      </c>
      <c r="R179" s="7">
        <f t="shared" si="145"/>
        <v>52.666189038432123</v>
      </c>
      <c r="S179" s="7">
        <f t="shared" si="146"/>
        <v>15.133848321430996</v>
      </c>
      <c r="T179" s="7">
        <f t="shared" si="180"/>
        <v>19.607547554433815</v>
      </c>
      <c r="U179" s="6" t="str">
        <f t="shared" si="147"/>
        <v>Weak</v>
      </c>
    </row>
    <row r="180" spans="1:21" x14ac:dyDescent="0.25">
      <c r="A180" s="1">
        <v>45083</v>
      </c>
      <c r="B180">
        <v>18600.8</v>
      </c>
      <c r="C180">
        <v>18622.75</v>
      </c>
      <c r="D180">
        <v>18531.599999999999</v>
      </c>
      <c r="E180">
        <v>18599</v>
      </c>
      <c r="F180">
        <f t="shared" si="139"/>
        <v>91.150000000001455</v>
      </c>
      <c r="G180">
        <f t="shared" si="150"/>
        <v>28.900000000001455</v>
      </c>
      <c r="H180">
        <f t="shared" si="151"/>
        <v>62.25</v>
      </c>
      <c r="I180">
        <f t="shared" si="148"/>
        <v>91.150000000001455</v>
      </c>
      <c r="J180">
        <f t="shared" si="152"/>
        <v>0</v>
      </c>
      <c r="K180">
        <f t="shared" si="140"/>
        <v>51.200000000000728</v>
      </c>
      <c r="L180">
        <f t="shared" ref="L180:N180" si="202">SUM(I167:I180)</f>
        <v>1851.5999999999985</v>
      </c>
      <c r="M180">
        <f t="shared" si="202"/>
        <v>592.45000000000437</v>
      </c>
      <c r="N180">
        <f t="shared" si="202"/>
        <v>338.89999999999782</v>
      </c>
      <c r="O180" s="7">
        <f t="shared" si="142"/>
        <v>31.996651544610327</v>
      </c>
      <c r="P180" s="7">
        <f t="shared" si="143"/>
        <v>18.303089220133835</v>
      </c>
      <c r="Q180" s="7">
        <f t="shared" si="144"/>
        <v>13.693562324476492</v>
      </c>
      <c r="R180" s="7">
        <f t="shared" si="145"/>
        <v>50.299740764744158</v>
      </c>
      <c r="S180" s="7">
        <f t="shared" si="146"/>
        <v>27.223922263381752</v>
      </c>
      <c r="T180" s="7">
        <f t="shared" si="180"/>
        <v>18.604084700736216</v>
      </c>
      <c r="U180" s="6" t="str">
        <f t="shared" si="147"/>
        <v>Weak</v>
      </c>
    </row>
    <row r="181" spans="1:21" x14ac:dyDescent="0.25">
      <c r="A181" s="1">
        <v>45084</v>
      </c>
      <c r="B181">
        <v>18665.599999999999</v>
      </c>
      <c r="C181">
        <v>18738.95</v>
      </c>
      <c r="D181">
        <v>18636</v>
      </c>
      <c r="E181">
        <v>18726.400000000001</v>
      </c>
      <c r="F181">
        <f t="shared" si="139"/>
        <v>102.95000000000073</v>
      </c>
      <c r="G181">
        <f t="shared" si="150"/>
        <v>139.95000000000073</v>
      </c>
      <c r="H181">
        <f t="shared" si="151"/>
        <v>37</v>
      </c>
      <c r="I181">
        <f t="shared" si="148"/>
        <v>139.95000000000073</v>
      </c>
      <c r="J181">
        <f t="shared" si="152"/>
        <v>116.20000000000073</v>
      </c>
      <c r="K181">
        <f t="shared" si="140"/>
        <v>0</v>
      </c>
      <c r="L181">
        <f t="shared" ref="L181:N181" si="203">SUM(I168:I181)</f>
        <v>1799.1999999999971</v>
      </c>
      <c r="M181">
        <f t="shared" si="203"/>
        <v>708.65000000000509</v>
      </c>
      <c r="N181">
        <f t="shared" si="203"/>
        <v>328.39999999999782</v>
      </c>
      <c r="O181" s="7">
        <f t="shared" si="142"/>
        <v>39.386949755447212</v>
      </c>
      <c r="P181" s="7">
        <f t="shared" si="143"/>
        <v>18.25255669186296</v>
      </c>
      <c r="Q181" s="7">
        <f t="shared" si="144"/>
        <v>21.134393063584252</v>
      </c>
      <c r="R181" s="7">
        <f t="shared" si="145"/>
        <v>57.639506447310168</v>
      </c>
      <c r="S181" s="7">
        <f t="shared" si="146"/>
        <v>36.666505954390452</v>
      </c>
      <c r="T181" s="7">
        <f t="shared" si="180"/>
        <v>18.789273476268875</v>
      </c>
      <c r="U181" s="6" t="str">
        <f t="shared" si="147"/>
        <v>Weak</v>
      </c>
    </row>
    <row r="182" spans="1:21" x14ac:dyDescent="0.25">
      <c r="A182" s="1">
        <v>45085</v>
      </c>
      <c r="B182">
        <v>18725.349999999999</v>
      </c>
      <c r="C182">
        <v>18777.900000000001</v>
      </c>
      <c r="D182">
        <v>18615.599999999999</v>
      </c>
      <c r="E182">
        <v>18634.55</v>
      </c>
      <c r="F182">
        <f t="shared" si="139"/>
        <v>162.30000000000291</v>
      </c>
      <c r="G182">
        <f t="shared" si="150"/>
        <v>51.5</v>
      </c>
      <c r="H182">
        <f t="shared" si="151"/>
        <v>110.80000000000291</v>
      </c>
      <c r="I182">
        <f t="shared" si="148"/>
        <v>162.30000000000291</v>
      </c>
      <c r="J182">
        <f t="shared" si="152"/>
        <v>38.950000000000728</v>
      </c>
      <c r="K182">
        <f t="shared" si="140"/>
        <v>0</v>
      </c>
      <c r="L182">
        <f t="shared" ref="L182:N182" si="204">SUM(I169:I182)</f>
        <v>1803.8000000000029</v>
      </c>
      <c r="M182">
        <f t="shared" si="204"/>
        <v>747.60000000000582</v>
      </c>
      <c r="N182">
        <f t="shared" si="204"/>
        <v>283.95000000000073</v>
      </c>
      <c r="O182" s="7">
        <f t="shared" si="142"/>
        <v>41.445836567247177</v>
      </c>
      <c r="P182" s="7">
        <f t="shared" si="143"/>
        <v>15.741767379975622</v>
      </c>
      <c r="Q182" s="7">
        <f t="shared" si="144"/>
        <v>25.704069187271557</v>
      </c>
      <c r="R182" s="7">
        <f t="shared" si="145"/>
        <v>57.187603947222797</v>
      </c>
      <c r="S182" s="7">
        <f t="shared" si="146"/>
        <v>44.946924531045724</v>
      </c>
      <c r="T182" s="7">
        <f t="shared" si="180"/>
        <v>20.807772461597917</v>
      </c>
      <c r="U182" s="6" t="str">
        <f t="shared" si="147"/>
        <v>Weak</v>
      </c>
    </row>
    <row r="183" spans="1:21" x14ac:dyDescent="0.25">
      <c r="A183" s="1">
        <v>45086</v>
      </c>
      <c r="B183">
        <v>18655.900000000001</v>
      </c>
      <c r="C183">
        <v>18676.650000000001</v>
      </c>
      <c r="D183">
        <v>18555.400000000001</v>
      </c>
      <c r="E183">
        <v>18563.400000000001</v>
      </c>
      <c r="F183">
        <f t="shared" si="139"/>
        <v>121.25</v>
      </c>
      <c r="G183">
        <f t="shared" si="150"/>
        <v>42.100000000002183</v>
      </c>
      <c r="H183">
        <f t="shared" si="151"/>
        <v>79.149999999997817</v>
      </c>
      <c r="I183">
        <f t="shared" si="148"/>
        <v>121.25</v>
      </c>
      <c r="J183">
        <f t="shared" si="152"/>
        <v>0</v>
      </c>
      <c r="K183">
        <f t="shared" si="140"/>
        <v>60.19999999999709</v>
      </c>
      <c r="L183">
        <f t="shared" ref="L183:N183" si="205">SUM(I170:I183)</f>
        <v>1768.6500000000015</v>
      </c>
      <c r="M183">
        <f t="shared" si="205"/>
        <v>630.45000000000437</v>
      </c>
      <c r="N183">
        <f t="shared" si="205"/>
        <v>344.14999999999782</v>
      </c>
      <c r="O183" s="7">
        <f t="shared" si="142"/>
        <v>35.645831566449203</v>
      </c>
      <c r="P183" s="7">
        <f t="shared" si="143"/>
        <v>19.458343934639274</v>
      </c>
      <c r="Q183" s="7">
        <f t="shared" si="144"/>
        <v>16.18748763180993</v>
      </c>
      <c r="R183" s="7">
        <f t="shared" si="145"/>
        <v>55.104175501088477</v>
      </c>
      <c r="S183" s="7">
        <f t="shared" si="146"/>
        <v>29.376154319721522</v>
      </c>
      <c r="T183" s="7">
        <f t="shared" si="180"/>
        <v>21.553638964013782</v>
      </c>
      <c r="U183" s="6" t="str">
        <f t="shared" si="147"/>
        <v>Weak</v>
      </c>
    </row>
    <row r="184" spans="1:21" x14ac:dyDescent="0.25">
      <c r="A184" s="1">
        <v>45089</v>
      </c>
      <c r="B184">
        <v>18595.05</v>
      </c>
      <c r="C184">
        <v>18633.599999999999</v>
      </c>
      <c r="D184">
        <v>18559.75</v>
      </c>
      <c r="E184">
        <v>18601.5</v>
      </c>
      <c r="F184">
        <f t="shared" si="139"/>
        <v>73.849999999998545</v>
      </c>
      <c r="G184">
        <f t="shared" si="150"/>
        <v>70.19999999999709</v>
      </c>
      <c r="H184">
        <f t="shared" si="151"/>
        <v>3.6500000000014552</v>
      </c>
      <c r="I184">
        <f t="shared" si="148"/>
        <v>73.849999999998545</v>
      </c>
      <c r="J184">
        <f t="shared" si="152"/>
        <v>0</v>
      </c>
      <c r="K184">
        <f t="shared" si="140"/>
        <v>0</v>
      </c>
      <c r="L184">
        <f t="shared" ref="L184:N184" si="206">SUM(I171:I184)</f>
        <v>1737.1500000000015</v>
      </c>
      <c r="M184">
        <f t="shared" si="206"/>
        <v>545.95000000000437</v>
      </c>
      <c r="N184">
        <f t="shared" si="206"/>
        <v>344.14999999999782</v>
      </c>
      <c r="O184" s="7">
        <f t="shared" si="142"/>
        <v>31.427913536539958</v>
      </c>
      <c r="P184" s="7">
        <f t="shared" si="143"/>
        <v>19.811184986903694</v>
      </c>
      <c r="Q184" s="7">
        <f t="shared" si="144"/>
        <v>11.616728549636264</v>
      </c>
      <c r="R184" s="7">
        <f t="shared" si="145"/>
        <v>51.239098523443651</v>
      </c>
      <c r="S184" s="7">
        <f t="shared" si="146"/>
        <v>22.671609931469053</v>
      </c>
      <c r="T184" s="7">
        <f t="shared" si="180"/>
        <v>20.818504960588502</v>
      </c>
      <c r="U184" s="6" t="str">
        <f t="shared" si="147"/>
        <v>Weak</v>
      </c>
    </row>
    <row r="185" spans="1:21" x14ac:dyDescent="0.25">
      <c r="A185" s="1">
        <v>45090</v>
      </c>
      <c r="B185">
        <v>18631.8</v>
      </c>
      <c r="C185">
        <v>18728.900000000001</v>
      </c>
      <c r="D185">
        <v>18631.8</v>
      </c>
      <c r="E185">
        <v>18716.150000000001</v>
      </c>
      <c r="F185">
        <f t="shared" si="139"/>
        <v>97.100000000002183</v>
      </c>
      <c r="G185">
        <f t="shared" si="150"/>
        <v>127.40000000000146</v>
      </c>
      <c r="H185">
        <f t="shared" si="151"/>
        <v>30.299999999999272</v>
      </c>
      <c r="I185">
        <f t="shared" si="148"/>
        <v>127.40000000000146</v>
      </c>
      <c r="J185">
        <f t="shared" si="152"/>
        <v>95.30000000000291</v>
      </c>
      <c r="K185">
        <f t="shared" si="140"/>
        <v>0</v>
      </c>
      <c r="L185">
        <f t="shared" ref="L185:N185" si="207">SUM(I172:I185)</f>
        <v>1734.9000000000051</v>
      </c>
      <c r="M185">
        <f t="shared" si="207"/>
        <v>641.25000000000728</v>
      </c>
      <c r="N185">
        <f t="shared" si="207"/>
        <v>282.89999999999782</v>
      </c>
      <c r="O185" s="7">
        <f t="shared" si="142"/>
        <v>36.961784540896041</v>
      </c>
      <c r="P185" s="7">
        <f t="shared" si="143"/>
        <v>16.306415355351721</v>
      </c>
      <c r="Q185" s="7">
        <f t="shared" si="144"/>
        <v>20.65536918554432</v>
      </c>
      <c r="R185" s="7">
        <f t="shared" si="145"/>
        <v>53.268199896247765</v>
      </c>
      <c r="S185" s="7">
        <f t="shared" si="146"/>
        <v>38.776172699237947</v>
      </c>
      <c r="T185" s="7">
        <f t="shared" si="180"/>
        <v>22.681459910951599</v>
      </c>
      <c r="U185" s="6" t="str">
        <f t="shared" si="147"/>
        <v>Weak</v>
      </c>
    </row>
    <row r="186" spans="1:21" x14ac:dyDescent="0.25">
      <c r="A186" s="1">
        <v>45091</v>
      </c>
      <c r="B186">
        <v>18744.599999999999</v>
      </c>
      <c r="C186">
        <v>18769.7</v>
      </c>
      <c r="D186">
        <v>18690</v>
      </c>
      <c r="E186">
        <v>18755.900000000001</v>
      </c>
      <c r="F186">
        <f t="shared" si="139"/>
        <v>79.700000000000728</v>
      </c>
      <c r="G186">
        <f t="shared" si="150"/>
        <v>53.549999999999272</v>
      </c>
      <c r="H186">
        <f t="shared" si="151"/>
        <v>26.150000000001455</v>
      </c>
      <c r="I186">
        <f t="shared" si="148"/>
        <v>79.700000000000728</v>
      </c>
      <c r="J186">
        <f t="shared" si="152"/>
        <v>40.799999999999272</v>
      </c>
      <c r="K186">
        <f t="shared" si="140"/>
        <v>0</v>
      </c>
      <c r="L186">
        <f t="shared" ref="L186:N186" si="208">SUM(I173:I186)</f>
        <v>1678.9000000000087</v>
      </c>
      <c r="M186">
        <f t="shared" si="208"/>
        <v>682.05000000000655</v>
      </c>
      <c r="N186">
        <f t="shared" si="208"/>
        <v>222.34999999999854</v>
      </c>
      <c r="O186" s="7">
        <f t="shared" si="142"/>
        <v>40.624813866222112</v>
      </c>
      <c r="P186" s="7">
        <f t="shared" si="143"/>
        <v>13.243790577163464</v>
      </c>
      <c r="Q186" s="7">
        <f t="shared" si="144"/>
        <v>27.381023289058646</v>
      </c>
      <c r="R186" s="7">
        <f t="shared" si="145"/>
        <v>53.868604443385578</v>
      </c>
      <c r="S186" s="7">
        <f t="shared" si="146"/>
        <v>50.829279080053666</v>
      </c>
      <c r="T186" s="7">
        <f t="shared" si="180"/>
        <v>25.822710973029057</v>
      </c>
      <c r="U186" s="6" t="str">
        <f t="shared" si="147"/>
        <v>Weak</v>
      </c>
    </row>
    <row r="187" spans="1:21" x14ac:dyDescent="0.25">
      <c r="A187" s="1">
        <v>45092</v>
      </c>
      <c r="B187">
        <v>18774.45</v>
      </c>
      <c r="C187">
        <v>18794.099999999999</v>
      </c>
      <c r="D187">
        <v>18669.05</v>
      </c>
      <c r="E187">
        <v>18688.099999999999</v>
      </c>
      <c r="F187">
        <f t="shared" si="139"/>
        <v>125.04999999999927</v>
      </c>
      <c r="G187">
        <f t="shared" si="150"/>
        <v>38.19999999999709</v>
      </c>
      <c r="H187">
        <f t="shared" si="151"/>
        <v>86.850000000002183</v>
      </c>
      <c r="I187">
        <f t="shared" si="148"/>
        <v>125.04999999999927</v>
      </c>
      <c r="J187">
        <f t="shared" si="152"/>
        <v>24.399999999997817</v>
      </c>
      <c r="K187">
        <f t="shared" si="140"/>
        <v>0</v>
      </c>
      <c r="L187">
        <f t="shared" ref="L187:N187" si="209">SUM(I174:I187)</f>
        <v>1616.5500000000102</v>
      </c>
      <c r="M187">
        <f t="shared" si="209"/>
        <v>536.00000000000364</v>
      </c>
      <c r="N187">
        <f t="shared" si="209"/>
        <v>222.34999999999854</v>
      </c>
      <c r="O187" s="7">
        <f t="shared" si="142"/>
        <v>33.157031950759347</v>
      </c>
      <c r="P187" s="7">
        <f t="shared" si="143"/>
        <v>13.754600847483662</v>
      </c>
      <c r="Q187" s="7">
        <f t="shared" si="144"/>
        <v>19.402431103275685</v>
      </c>
      <c r="R187" s="7">
        <f t="shared" si="145"/>
        <v>46.911632798243005</v>
      </c>
      <c r="S187" s="7">
        <f t="shared" si="146"/>
        <v>41.359530559768473</v>
      </c>
      <c r="T187" s="7">
        <f t="shared" si="180"/>
        <v>27.651825571110653</v>
      </c>
      <c r="U187" s="6" t="str">
        <f t="shared" si="147"/>
        <v>Weak</v>
      </c>
    </row>
    <row r="188" spans="1:21" x14ac:dyDescent="0.25">
      <c r="A188" s="1">
        <v>45093</v>
      </c>
      <c r="B188">
        <v>18723.3</v>
      </c>
      <c r="C188">
        <v>18864.7</v>
      </c>
      <c r="D188">
        <v>18710.5</v>
      </c>
      <c r="E188">
        <v>18826</v>
      </c>
      <c r="F188">
        <f t="shared" si="139"/>
        <v>154.20000000000073</v>
      </c>
      <c r="G188">
        <f t="shared" si="150"/>
        <v>176.60000000000218</v>
      </c>
      <c r="H188">
        <f t="shared" si="151"/>
        <v>22.400000000001455</v>
      </c>
      <c r="I188">
        <f t="shared" si="148"/>
        <v>176.60000000000218</v>
      </c>
      <c r="J188">
        <f t="shared" si="152"/>
        <v>70.600000000002183</v>
      </c>
      <c r="K188">
        <f t="shared" si="140"/>
        <v>0</v>
      </c>
      <c r="L188">
        <f t="shared" ref="L188:N188" si="210">SUM(I175:I188)</f>
        <v>1651.3000000000102</v>
      </c>
      <c r="M188">
        <f t="shared" si="210"/>
        <v>473.95000000000437</v>
      </c>
      <c r="N188">
        <f t="shared" si="210"/>
        <v>222.34999999999854</v>
      </c>
      <c r="O188" s="7">
        <f t="shared" si="142"/>
        <v>28.701629019560432</v>
      </c>
      <c r="P188" s="7">
        <f t="shared" si="143"/>
        <v>13.465148670744091</v>
      </c>
      <c r="Q188" s="7">
        <f t="shared" si="144"/>
        <v>15.236480348816341</v>
      </c>
      <c r="R188" s="7">
        <f t="shared" si="145"/>
        <v>42.166777690304521</v>
      </c>
      <c r="S188" s="7">
        <f t="shared" si="146"/>
        <v>36.133850351860517</v>
      </c>
      <c r="T188" s="7">
        <f t="shared" si="180"/>
        <v>28.70496490287859</v>
      </c>
      <c r="U188" s="6" t="str">
        <f t="shared" si="147"/>
        <v>Weak</v>
      </c>
    </row>
    <row r="189" spans="1:21" x14ac:dyDescent="0.25">
      <c r="A189" s="1">
        <v>45096</v>
      </c>
      <c r="B189">
        <v>18873.3</v>
      </c>
      <c r="C189">
        <v>18881.45</v>
      </c>
      <c r="D189">
        <v>18719.150000000001</v>
      </c>
      <c r="E189">
        <v>18755.45</v>
      </c>
      <c r="F189">
        <f t="shared" si="139"/>
        <v>162.29999999999927</v>
      </c>
      <c r="G189">
        <f t="shared" si="150"/>
        <v>55.450000000000728</v>
      </c>
      <c r="H189">
        <f t="shared" si="151"/>
        <v>106.84999999999854</v>
      </c>
      <c r="I189">
        <f t="shared" si="148"/>
        <v>162.29999999999927</v>
      </c>
      <c r="J189">
        <f t="shared" si="152"/>
        <v>16.75</v>
      </c>
      <c r="K189">
        <f t="shared" si="140"/>
        <v>0</v>
      </c>
      <c r="L189">
        <f t="shared" ref="L189:N189" si="211">SUM(I176:I189)</f>
        <v>1726.6500000000087</v>
      </c>
      <c r="M189">
        <f t="shared" si="211"/>
        <v>469.45000000000437</v>
      </c>
      <c r="N189">
        <f t="shared" si="211"/>
        <v>222.34999999999854</v>
      </c>
      <c r="O189" s="7">
        <f t="shared" si="142"/>
        <v>27.188486375351228</v>
      </c>
      <c r="P189" s="7">
        <f t="shared" si="143"/>
        <v>12.877537427967303</v>
      </c>
      <c r="Q189" s="7">
        <f t="shared" si="144"/>
        <v>14.310948947383926</v>
      </c>
      <c r="R189" s="7">
        <f t="shared" si="145"/>
        <v>40.066023803318529</v>
      </c>
      <c r="S189" s="7">
        <f t="shared" si="146"/>
        <v>35.718415727089443</v>
      </c>
      <c r="T189" s="7">
        <f t="shared" si="180"/>
        <v>29.487076279978634</v>
      </c>
      <c r="U189" s="6" t="str">
        <f t="shared" si="147"/>
        <v>Weak</v>
      </c>
    </row>
    <row r="190" spans="1:21" x14ac:dyDescent="0.25">
      <c r="A190" s="1">
        <v>45097</v>
      </c>
      <c r="B190">
        <v>18752.349999999999</v>
      </c>
      <c r="C190">
        <v>18839.7</v>
      </c>
      <c r="D190">
        <v>18660.650000000001</v>
      </c>
      <c r="E190">
        <v>18816.7</v>
      </c>
      <c r="F190">
        <f t="shared" si="139"/>
        <v>179.04999999999927</v>
      </c>
      <c r="G190">
        <f t="shared" si="150"/>
        <v>84.25</v>
      </c>
      <c r="H190">
        <f t="shared" si="151"/>
        <v>94.799999999999272</v>
      </c>
      <c r="I190">
        <f t="shared" si="148"/>
        <v>179.04999999999927</v>
      </c>
      <c r="J190">
        <f t="shared" si="152"/>
        <v>0</v>
      </c>
      <c r="K190">
        <f t="shared" si="140"/>
        <v>58.5</v>
      </c>
      <c r="L190">
        <f t="shared" ref="L190:N190" si="212">SUM(I177:I190)</f>
        <v>1755.700000000008</v>
      </c>
      <c r="M190">
        <f t="shared" si="212"/>
        <v>469.45000000000437</v>
      </c>
      <c r="N190">
        <f t="shared" si="212"/>
        <v>189.19999999999709</v>
      </c>
      <c r="O190" s="7">
        <f t="shared" si="142"/>
        <v>26.738622771544239</v>
      </c>
      <c r="P190" s="7">
        <f t="shared" si="143"/>
        <v>10.776328529930867</v>
      </c>
      <c r="Q190" s="7">
        <f t="shared" si="144"/>
        <v>15.962294241613373</v>
      </c>
      <c r="R190" s="7">
        <f t="shared" si="145"/>
        <v>37.514951301475108</v>
      </c>
      <c r="S190" s="7">
        <f t="shared" si="146"/>
        <v>42.5491535717007</v>
      </c>
      <c r="T190" s="7">
        <f t="shared" si="180"/>
        <v>31.75374263018001</v>
      </c>
      <c r="U190" s="6" t="str">
        <f t="shared" si="147"/>
        <v>Strong</v>
      </c>
    </row>
    <row r="191" spans="1:21" x14ac:dyDescent="0.25">
      <c r="A191" s="1">
        <v>45098</v>
      </c>
      <c r="B191">
        <v>18849.400000000001</v>
      </c>
      <c r="C191">
        <v>18875.900000000001</v>
      </c>
      <c r="D191">
        <v>18794.849999999999</v>
      </c>
      <c r="E191">
        <v>18856.849999999999</v>
      </c>
      <c r="F191">
        <f t="shared" si="139"/>
        <v>81.05000000000291</v>
      </c>
      <c r="G191">
        <f t="shared" si="150"/>
        <v>59.200000000000728</v>
      </c>
      <c r="H191">
        <f t="shared" si="151"/>
        <v>21.850000000002183</v>
      </c>
      <c r="I191">
        <f t="shared" si="148"/>
        <v>81.05000000000291</v>
      </c>
      <c r="J191">
        <f t="shared" si="152"/>
        <v>36.200000000000728</v>
      </c>
      <c r="K191">
        <f t="shared" si="140"/>
        <v>0</v>
      </c>
      <c r="L191">
        <f t="shared" ref="L191:N191" si="213">SUM(I178:I191)</f>
        <v>1721.0000000000109</v>
      </c>
      <c r="M191">
        <f t="shared" si="213"/>
        <v>505.65000000000509</v>
      </c>
      <c r="N191">
        <f t="shared" si="213"/>
        <v>169.89999999999782</v>
      </c>
      <c r="O191" s="7">
        <f t="shared" si="142"/>
        <v>29.381173736199994</v>
      </c>
      <c r="P191" s="7">
        <f t="shared" si="143"/>
        <v>9.8721673445669236</v>
      </c>
      <c r="Q191" s="7">
        <f t="shared" si="144"/>
        <v>19.509006391633072</v>
      </c>
      <c r="R191" s="7">
        <f t="shared" si="145"/>
        <v>39.253341080766916</v>
      </c>
      <c r="S191" s="7">
        <f t="shared" si="146"/>
        <v>49.700244245430518</v>
      </c>
      <c r="T191" s="7">
        <f t="shared" si="180"/>
        <v>34.125162730231985</v>
      </c>
      <c r="U191" s="6" t="str">
        <f t="shared" si="147"/>
        <v>Strong</v>
      </c>
    </row>
    <row r="192" spans="1:21" x14ac:dyDescent="0.25">
      <c r="A192" s="1">
        <v>45099</v>
      </c>
      <c r="B192">
        <v>18853.599999999999</v>
      </c>
      <c r="C192">
        <v>18886.599999999999</v>
      </c>
      <c r="D192">
        <v>18759.5</v>
      </c>
      <c r="E192">
        <v>18771.25</v>
      </c>
      <c r="F192">
        <f t="shared" si="139"/>
        <v>127.09999999999854</v>
      </c>
      <c r="G192">
        <f t="shared" si="150"/>
        <v>29.75</v>
      </c>
      <c r="H192">
        <f t="shared" si="151"/>
        <v>97.349999999998545</v>
      </c>
      <c r="I192">
        <f t="shared" si="148"/>
        <v>127.09999999999854</v>
      </c>
      <c r="J192">
        <f t="shared" si="152"/>
        <v>0</v>
      </c>
      <c r="K192">
        <f t="shared" si="140"/>
        <v>35.349999999998545</v>
      </c>
      <c r="L192">
        <f t="shared" ref="L192:N192" si="214">SUM(I179:I192)</f>
        <v>1752.8000000000102</v>
      </c>
      <c r="M192">
        <f t="shared" si="214"/>
        <v>505.65000000000509</v>
      </c>
      <c r="N192">
        <f t="shared" si="214"/>
        <v>205.24999999999636</v>
      </c>
      <c r="O192" s="7">
        <f t="shared" si="142"/>
        <v>28.848128708352473</v>
      </c>
      <c r="P192" s="7">
        <f t="shared" si="143"/>
        <v>11.709835691464809</v>
      </c>
      <c r="Q192" s="7">
        <f t="shared" si="144"/>
        <v>17.138293016887665</v>
      </c>
      <c r="R192" s="7">
        <f t="shared" si="145"/>
        <v>40.55796439981728</v>
      </c>
      <c r="S192" s="7">
        <f t="shared" si="146"/>
        <v>42.256294837531037</v>
      </c>
      <c r="T192" s="7">
        <f t="shared" si="180"/>
        <v>36.667279028150844</v>
      </c>
      <c r="U192" s="6" t="str">
        <f t="shared" si="147"/>
        <v>Strong</v>
      </c>
    </row>
    <row r="193" spans="1:21" x14ac:dyDescent="0.25">
      <c r="A193" s="1">
        <v>45100</v>
      </c>
      <c r="B193">
        <v>18741.849999999999</v>
      </c>
      <c r="C193">
        <v>18756.400000000001</v>
      </c>
      <c r="D193">
        <v>18647.099999999999</v>
      </c>
      <c r="E193">
        <v>18665.5</v>
      </c>
      <c r="F193">
        <f t="shared" si="139"/>
        <v>109.30000000000291</v>
      </c>
      <c r="G193">
        <f t="shared" si="150"/>
        <v>14.849999999998545</v>
      </c>
      <c r="H193">
        <f t="shared" si="151"/>
        <v>124.15000000000146</v>
      </c>
      <c r="I193">
        <f t="shared" si="148"/>
        <v>124.15000000000146</v>
      </c>
      <c r="J193">
        <f t="shared" si="152"/>
        <v>0</v>
      </c>
      <c r="K193">
        <f t="shared" si="140"/>
        <v>112.40000000000146</v>
      </c>
      <c r="L193">
        <f t="shared" ref="L193:N193" si="215">SUM(I180:I193)</f>
        <v>1770.9000000000087</v>
      </c>
      <c r="M193">
        <f t="shared" si="215"/>
        <v>439.20000000000437</v>
      </c>
      <c r="N193">
        <f t="shared" si="215"/>
        <v>317.64999999999782</v>
      </c>
      <c r="O193" s="7">
        <f t="shared" si="142"/>
        <v>24.800948670167834</v>
      </c>
      <c r="P193" s="7">
        <f t="shared" si="143"/>
        <v>17.937207069851276</v>
      </c>
      <c r="Q193" s="7">
        <f t="shared" si="144"/>
        <v>6.8637416003165583</v>
      </c>
      <c r="R193" s="7">
        <f t="shared" si="145"/>
        <v>42.73815574001911</v>
      </c>
      <c r="S193" s="7">
        <f t="shared" si="146"/>
        <v>16.059985466077318</v>
      </c>
      <c r="T193" s="7">
        <f t="shared" si="180"/>
        <v>36.733431681339866</v>
      </c>
      <c r="U193" s="6" t="str">
        <f t="shared" si="147"/>
        <v>Strong</v>
      </c>
    </row>
    <row r="194" spans="1:21" x14ac:dyDescent="0.25">
      <c r="A194" s="1">
        <v>45103</v>
      </c>
      <c r="B194">
        <v>18682.349999999999</v>
      </c>
      <c r="C194">
        <v>18722.05</v>
      </c>
      <c r="D194">
        <v>18646.7</v>
      </c>
      <c r="E194">
        <v>18691.2</v>
      </c>
      <c r="F194">
        <f t="shared" ref="F194:F249" si="216">C194-D194</f>
        <v>75.349999999998545</v>
      </c>
      <c r="G194">
        <f t="shared" si="150"/>
        <v>56.549999999999272</v>
      </c>
      <c r="H194">
        <f t="shared" si="151"/>
        <v>18.799999999999272</v>
      </c>
      <c r="I194">
        <f t="shared" si="148"/>
        <v>75.349999999998545</v>
      </c>
      <c r="J194">
        <f t="shared" si="152"/>
        <v>0</v>
      </c>
      <c r="K194">
        <f t="shared" ref="K194:K249" si="217">IF(D193-D194&gt;C194-C193,MAX(D193-D194,0),0)</f>
        <v>0.39999999999781721</v>
      </c>
      <c r="L194">
        <f t="shared" ref="L194:N194" si="218">SUM(I181:I194)</f>
        <v>1755.1000000000058</v>
      </c>
      <c r="M194">
        <f t="shared" si="218"/>
        <v>439.20000000000437</v>
      </c>
      <c r="N194">
        <f t="shared" si="218"/>
        <v>266.84999999999491</v>
      </c>
      <c r="O194" s="7">
        <f t="shared" ref="O194:O249" si="219">(100*(M194/L194))</f>
        <v>25.024215144436379</v>
      </c>
      <c r="P194" s="7">
        <f t="shared" ref="P194:P249" si="220">(100*(N194/L194))</f>
        <v>15.204261865420431</v>
      </c>
      <c r="Q194" s="7">
        <f t="shared" ref="Q194:Q249" si="221">ABS(O194-P194)</f>
        <v>9.8199532790159481</v>
      </c>
      <c r="R194" s="7">
        <f t="shared" ref="R194:R249" si="222">O194+P194</f>
        <v>40.22847700985681</v>
      </c>
      <c r="S194" s="7">
        <f t="shared" ref="S194:S249" si="223">(100*(Q194/R194))</f>
        <v>24.410452517528455</v>
      </c>
      <c r="T194" s="7">
        <f t="shared" si="180"/>
        <v>36.532469556636052</v>
      </c>
      <c r="U194" s="6" t="str">
        <f t="shared" ref="U194:U249" si="224">IF(T194="","",IF(T194&gt;=30,"Strong","Weak"))</f>
        <v>Strong</v>
      </c>
    </row>
    <row r="195" spans="1:21" x14ac:dyDescent="0.25">
      <c r="A195" s="1">
        <v>45104</v>
      </c>
      <c r="B195">
        <v>18748.55</v>
      </c>
      <c r="C195">
        <v>18829.25</v>
      </c>
      <c r="D195">
        <v>18714.25</v>
      </c>
      <c r="E195">
        <v>18817.400000000001</v>
      </c>
      <c r="F195">
        <f t="shared" si="216"/>
        <v>115</v>
      </c>
      <c r="G195">
        <f t="shared" si="150"/>
        <v>138.04999999999927</v>
      </c>
      <c r="H195">
        <f t="shared" si="151"/>
        <v>23.049999999999272</v>
      </c>
      <c r="I195">
        <f t="shared" ref="I195:I249" si="225">MAX(F195:H195)</f>
        <v>138.04999999999927</v>
      </c>
      <c r="J195">
        <f t="shared" si="152"/>
        <v>107.20000000000073</v>
      </c>
      <c r="K195">
        <f t="shared" si="217"/>
        <v>0</v>
      </c>
      <c r="L195">
        <f t="shared" ref="L195:N195" si="226">SUM(I182:I195)</f>
        <v>1753.2000000000044</v>
      </c>
      <c r="M195">
        <f t="shared" si="226"/>
        <v>430.20000000000437</v>
      </c>
      <c r="N195">
        <f t="shared" si="226"/>
        <v>266.84999999999491</v>
      </c>
      <c r="O195" s="7">
        <f t="shared" si="219"/>
        <v>24.537987679671648</v>
      </c>
      <c r="P195" s="7">
        <f t="shared" si="220"/>
        <v>15.220739219712199</v>
      </c>
      <c r="Q195" s="7">
        <f t="shared" si="221"/>
        <v>9.3172484599594494</v>
      </c>
      <c r="R195" s="7">
        <f t="shared" si="222"/>
        <v>39.758726899383845</v>
      </c>
      <c r="S195" s="7">
        <f t="shared" si="223"/>
        <v>23.434473854100801</v>
      </c>
      <c r="T195" s="7">
        <f t="shared" si="180"/>
        <v>35.587324406615366</v>
      </c>
      <c r="U195" s="6" t="str">
        <f t="shared" si="224"/>
        <v>Strong</v>
      </c>
    </row>
    <row r="196" spans="1:21" x14ac:dyDescent="0.25">
      <c r="A196" s="1">
        <v>45105</v>
      </c>
      <c r="B196">
        <v>18908.150000000001</v>
      </c>
      <c r="C196">
        <v>19011.25</v>
      </c>
      <c r="D196">
        <v>18861.349999999999</v>
      </c>
      <c r="E196">
        <v>18972.099999999999</v>
      </c>
      <c r="F196">
        <f t="shared" si="216"/>
        <v>149.90000000000146</v>
      </c>
      <c r="G196">
        <f t="shared" ref="G196:G249" si="227">ABS(C196-E195)</f>
        <v>193.84999999999854</v>
      </c>
      <c r="H196">
        <f t="shared" ref="H196:H249" si="228">ABS(D196-E195)</f>
        <v>43.94999999999709</v>
      </c>
      <c r="I196">
        <f t="shared" si="225"/>
        <v>193.84999999999854</v>
      </c>
      <c r="J196">
        <f t="shared" ref="J196:J249" si="229">IF(C196-C195&gt;D195-D196,MAX(C196-C195,0),0)</f>
        <v>182</v>
      </c>
      <c r="K196">
        <f t="shared" si="217"/>
        <v>0</v>
      </c>
      <c r="L196">
        <f t="shared" ref="L196:N196" si="230">SUM(I183:I196)</f>
        <v>1784.75</v>
      </c>
      <c r="M196">
        <f t="shared" si="230"/>
        <v>573.25000000000364</v>
      </c>
      <c r="N196">
        <f t="shared" si="230"/>
        <v>266.84999999999491</v>
      </c>
      <c r="O196" s="7">
        <f t="shared" si="219"/>
        <v>32.119344446001044</v>
      </c>
      <c r="P196" s="7">
        <f t="shared" si="220"/>
        <v>14.951673903907825</v>
      </c>
      <c r="Q196" s="7">
        <f t="shared" si="221"/>
        <v>17.167670542093219</v>
      </c>
      <c r="R196" s="7">
        <f t="shared" si="222"/>
        <v>47.071018349908869</v>
      </c>
      <c r="S196" s="7">
        <f t="shared" si="223"/>
        <v>36.471848589454744</v>
      </c>
      <c r="T196" s="7">
        <f t="shared" si="180"/>
        <v>34.981961839358867</v>
      </c>
      <c r="U196" s="6" t="str">
        <f t="shared" si="224"/>
        <v>Strong</v>
      </c>
    </row>
    <row r="197" spans="1:21" x14ac:dyDescent="0.25">
      <c r="A197" s="1">
        <v>45107</v>
      </c>
      <c r="B197">
        <v>19076.849999999999</v>
      </c>
      <c r="C197">
        <v>19201.7</v>
      </c>
      <c r="D197">
        <v>19024.599999999999</v>
      </c>
      <c r="E197">
        <v>19189.05</v>
      </c>
      <c r="F197">
        <f t="shared" si="216"/>
        <v>177.10000000000218</v>
      </c>
      <c r="G197">
        <f t="shared" si="227"/>
        <v>229.60000000000218</v>
      </c>
      <c r="H197">
        <f t="shared" si="228"/>
        <v>52.5</v>
      </c>
      <c r="I197">
        <f t="shared" si="225"/>
        <v>229.60000000000218</v>
      </c>
      <c r="J197">
        <f t="shared" si="229"/>
        <v>190.45000000000073</v>
      </c>
      <c r="K197">
        <f t="shared" si="217"/>
        <v>0</v>
      </c>
      <c r="L197">
        <f t="shared" ref="L197:N197" si="231">SUM(I184:I197)</f>
        <v>1893.1000000000022</v>
      </c>
      <c r="M197">
        <f t="shared" si="231"/>
        <v>763.70000000000437</v>
      </c>
      <c r="N197">
        <f t="shared" si="231"/>
        <v>206.64999999999782</v>
      </c>
      <c r="O197" s="7">
        <f t="shared" si="219"/>
        <v>40.341239237230127</v>
      </c>
      <c r="P197" s="7">
        <f t="shared" si="220"/>
        <v>10.915957952564449</v>
      </c>
      <c r="Q197" s="7">
        <f t="shared" si="221"/>
        <v>29.425281284665679</v>
      </c>
      <c r="R197" s="7">
        <f t="shared" si="222"/>
        <v>51.257197189794574</v>
      </c>
      <c r="S197" s="7">
        <f t="shared" si="223"/>
        <v>57.407121141856585</v>
      </c>
      <c r="T197" s="7">
        <f t="shared" si="180"/>
        <v>36.984173755225662</v>
      </c>
      <c r="U197" s="6" t="str">
        <f t="shared" si="224"/>
        <v>Strong</v>
      </c>
    </row>
    <row r="198" spans="1:21" x14ac:dyDescent="0.25">
      <c r="A198" s="1">
        <v>45110</v>
      </c>
      <c r="B198">
        <v>19246.5</v>
      </c>
      <c r="C198">
        <v>19345.099999999999</v>
      </c>
      <c r="D198">
        <v>19234.400000000001</v>
      </c>
      <c r="E198">
        <v>19322.55</v>
      </c>
      <c r="F198">
        <f t="shared" si="216"/>
        <v>110.69999999999709</v>
      </c>
      <c r="G198">
        <f t="shared" si="227"/>
        <v>156.04999999999927</v>
      </c>
      <c r="H198">
        <f t="shared" si="228"/>
        <v>45.350000000002183</v>
      </c>
      <c r="I198">
        <f t="shared" si="225"/>
        <v>156.04999999999927</v>
      </c>
      <c r="J198">
        <f t="shared" si="229"/>
        <v>143.39999999999782</v>
      </c>
      <c r="K198">
        <f t="shared" si="217"/>
        <v>0</v>
      </c>
      <c r="L198">
        <f t="shared" ref="L198:N198" si="232">SUM(I185:I198)</f>
        <v>1975.3000000000029</v>
      </c>
      <c r="M198">
        <f t="shared" si="232"/>
        <v>907.10000000000218</v>
      </c>
      <c r="N198">
        <f t="shared" si="232"/>
        <v>206.64999999999782</v>
      </c>
      <c r="O198" s="7">
        <f t="shared" si="219"/>
        <v>45.922138409355583</v>
      </c>
      <c r="P198" s="7">
        <f t="shared" si="220"/>
        <v>10.461702019946213</v>
      </c>
      <c r="Q198" s="7">
        <f t="shared" si="221"/>
        <v>35.460436389409367</v>
      </c>
      <c r="R198" s="7">
        <f t="shared" si="222"/>
        <v>56.383840429301799</v>
      </c>
      <c r="S198" s="7">
        <f t="shared" si="223"/>
        <v>62.891133557800607</v>
      </c>
      <c r="T198" s="7">
        <f t="shared" si="180"/>
        <v>39.856996871392198</v>
      </c>
      <c r="U198" s="6" t="str">
        <f t="shared" si="224"/>
        <v>Strong</v>
      </c>
    </row>
    <row r="199" spans="1:21" x14ac:dyDescent="0.25">
      <c r="A199" s="1">
        <v>45111</v>
      </c>
      <c r="B199">
        <v>19406.599999999999</v>
      </c>
      <c r="C199">
        <v>19434.150000000001</v>
      </c>
      <c r="D199">
        <v>19300</v>
      </c>
      <c r="E199">
        <v>19389</v>
      </c>
      <c r="F199">
        <f t="shared" si="216"/>
        <v>134.15000000000146</v>
      </c>
      <c r="G199">
        <f t="shared" si="227"/>
        <v>111.60000000000218</v>
      </c>
      <c r="H199">
        <f t="shared" si="228"/>
        <v>22.549999999999272</v>
      </c>
      <c r="I199">
        <f t="shared" si="225"/>
        <v>134.15000000000146</v>
      </c>
      <c r="J199">
        <f t="shared" si="229"/>
        <v>89.05000000000291</v>
      </c>
      <c r="K199">
        <f t="shared" si="217"/>
        <v>0</v>
      </c>
      <c r="L199">
        <f t="shared" ref="L199:N199" si="233">SUM(I186:I199)</f>
        <v>1982.0500000000029</v>
      </c>
      <c r="M199">
        <f t="shared" si="233"/>
        <v>900.85000000000218</v>
      </c>
      <c r="N199">
        <f t="shared" si="233"/>
        <v>206.64999999999782</v>
      </c>
      <c r="O199" s="7">
        <f t="shared" si="219"/>
        <v>45.450417497035936</v>
      </c>
      <c r="P199" s="7">
        <f t="shared" si="220"/>
        <v>10.42607401427802</v>
      </c>
      <c r="Q199" s="7">
        <f t="shared" si="221"/>
        <v>35.024343482757914</v>
      </c>
      <c r="R199" s="7">
        <f t="shared" si="222"/>
        <v>55.876491511313958</v>
      </c>
      <c r="S199" s="7">
        <f t="shared" si="223"/>
        <v>62.681715575621155</v>
      </c>
      <c r="T199" s="7">
        <f t="shared" si="180"/>
        <v>41.564535648276717</v>
      </c>
      <c r="U199" s="6" t="str">
        <f t="shared" si="224"/>
        <v>Strong</v>
      </c>
    </row>
    <row r="200" spans="1:21" x14ac:dyDescent="0.25">
      <c r="A200" s="1">
        <v>45112</v>
      </c>
      <c r="B200">
        <v>19405.95</v>
      </c>
      <c r="C200">
        <v>19421.599999999999</v>
      </c>
      <c r="D200">
        <v>19339.599999999999</v>
      </c>
      <c r="E200">
        <v>19398.5</v>
      </c>
      <c r="F200">
        <f t="shared" si="216"/>
        <v>82</v>
      </c>
      <c r="G200">
        <f t="shared" si="227"/>
        <v>32.599999999998545</v>
      </c>
      <c r="H200">
        <f t="shared" si="228"/>
        <v>49.400000000001455</v>
      </c>
      <c r="I200">
        <f t="shared" si="225"/>
        <v>82</v>
      </c>
      <c r="J200">
        <f t="shared" si="229"/>
        <v>0</v>
      </c>
      <c r="K200">
        <f t="shared" si="217"/>
        <v>0</v>
      </c>
      <c r="L200">
        <f t="shared" ref="L200:N200" si="234">SUM(I187:I200)</f>
        <v>1984.3500000000022</v>
      </c>
      <c r="M200">
        <f t="shared" si="234"/>
        <v>860.05000000000291</v>
      </c>
      <c r="N200">
        <f t="shared" si="234"/>
        <v>206.64999999999782</v>
      </c>
      <c r="O200" s="7">
        <f t="shared" si="219"/>
        <v>43.341648398720082</v>
      </c>
      <c r="P200" s="7">
        <f t="shared" si="220"/>
        <v>10.413989467583722</v>
      </c>
      <c r="Q200" s="7">
        <f t="shared" si="221"/>
        <v>32.927658931136364</v>
      </c>
      <c r="R200" s="7">
        <f t="shared" si="222"/>
        <v>53.7556378663038</v>
      </c>
      <c r="S200" s="7">
        <f t="shared" si="223"/>
        <v>61.254335802006629</v>
      </c>
      <c r="T200" s="7">
        <f t="shared" si="180"/>
        <v>42.309182556987643</v>
      </c>
      <c r="U200" s="6" t="str">
        <f t="shared" si="224"/>
        <v>Strong</v>
      </c>
    </row>
    <row r="201" spans="1:21" x14ac:dyDescent="0.25">
      <c r="A201" s="1">
        <v>45113</v>
      </c>
      <c r="B201">
        <v>19385.7</v>
      </c>
      <c r="C201">
        <v>19512.2</v>
      </c>
      <c r="D201">
        <v>19373</v>
      </c>
      <c r="E201">
        <v>19497.3</v>
      </c>
      <c r="F201">
        <f t="shared" si="216"/>
        <v>139.20000000000073</v>
      </c>
      <c r="G201">
        <f t="shared" si="227"/>
        <v>113.70000000000073</v>
      </c>
      <c r="H201">
        <f t="shared" si="228"/>
        <v>25.5</v>
      </c>
      <c r="I201">
        <f t="shared" si="225"/>
        <v>139.20000000000073</v>
      </c>
      <c r="J201">
        <f t="shared" si="229"/>
        <v>90.600000000002183</v>
      </c>
      <c r="K201">
        <f t="shared" si="217"/>
        <v>0</v>
      </c>
      <c r="L201">
        <f t="shared" ref="L201:N201" si="235">SUM(I188:I201)</f>
        <v>1998.5000000000036</v>
      </c>
      <c r="M201">
        <f t="shared" si="235"/>
        <v>926.25000000000728</v>
      </c>
      <c r="N201">
        <f t="shared" si="235"/>
        <v>206.64999999999782</v>
      </c>
      <c r="O201" s="7">
        <f t="shared" si="219"/>
        <v>46.347260445334285</v>
      </c>
      <c r="P201" s="7">
        <f t="shared" si="220"/>
        <v>10.340255191393418</v>
      </c>
      <c r="Q201" s="7">
        <f t="shared" si="221"/>
        <v>36.007005253940868</v>
      </c>
      <c r="R201" s="7">
        <f t="shared" si="222"/>
        <v>56.687515636727703</v>
      </c>
      <c r="S201" s="7">
        <f t="shared" si="223"/>
        <v>63.518404095684197</v>
      </c>
      <c r="T201" s="7">
        <f t="shared" si="180"/>
        <v>43.891959238124478</v>
      </c>
      <c r="U201" s="6" t="str">
        <f t="shared" si="224"/>
        <v>Strong</v>
      </c>
    </row>
    <row r="202" spans="1:21" x14ac:dyDescent="0.25">
      <c r="A202" s="1">
        <v>45114</v>
      </c>
      <c r="B202">
        <v>19422.8</v>
      </c>
      <c r="C202">
        <v>19523.599999999999</v>
      </c>
      <c r="D202">
        <v>19303.599999999999</v>
      </c>
      <c r="E202">
        <v>19331.8</v>
      </c>
      <c r="F202">
        <f t="shared" si="216"/>
        <v>220</v>
      </c>
      <c r="G202">
        <f t="shared" si="227"/>
        <v>26.299999999999272</v>
      </c>
      <c r="H202">
        <f t="shared" si="228"/>
        <v>193.70000000000073</v>
      </c>
      <c r="I202">
        <f t="shared" si="225"/>
        <v>220</v>
      </c>
      <c r="J202">
        <f t="shared" si="229"/>
        <v>0</v>
      </c>
      <c r="K202">
        <f t="shared" si="217"/>
        <v>69.400000000001455</v>
      </c>
      <c r="L202">
        <f t="shared" ref="L202:N202" si="236">SUM(I189:I202)</f>
        <v>2041.9000000000015</v>
      </c>
      <c r="M202">
        <f t="shared" si="236"/>
        <v>855.65000000000509</v>
      </c>
      <c r="N202">
        <f t="shared" si="236"/>
        <v>276.04999999999927</v>
      </c>
      <c r="O202" s="7">
        <f t="shared" si="219"/>
        <v>41.904598658112761</v>
      </c>
      <c r="P202" s="7">
        <f t="shared" si="220"/>
        <v>13.519271266957201</v>
      </c>
      <c r="Q202" s="7">
        <f t="shared" si="221"/>
        <v>28.38532739115556</v>
      </c>
      <c r="R202" s="7">
        <f t="shared" si="222"/>
        <v>55.423869925069965</v>
      </c>
      <c r="S202" s="7">
        <f t="shared" si="223"/>
        <v>51.214986303791065</v>
      </c>
      <c r="T202" s="7">
        <f t="shared" si="180"/>
        <v>44.969183234690945</v>
      </c>
      <c r="U202" s="6" t="str">
        <f t="shared" si="224"/>
        <v>Strong</v>
      </c>
    </row>
    <row r="203" spans="1:21" x14ac:dyDescent="0.25">
      <c r="A203" s="1">
        <v>45117</v>
      </c>
      <c r="B203">
        <v>19400.349999999999</v>
      </c>
      <c r="C203">
        <v>19435.849999999999</v>
      </c>
      <c r="D203">
        <v>19327.099999999999</v>
      </c>
      <c r="E203">
        <v>19355.900000000001</v>
      </c>
      <c r="F203">
        <f t="shared" si="216"/>
        <v>108.75</v>
      </c>
      <c r="G203">
        <f t="shared" si="227"/>
        <v>104.04999999999927</v>
      </c>
      <c r="H203">
        <f t="shared" si="228"/>
        <v>4.7000000000007276</v>
      </c>
      <c r="I203">
        <f t="shared" si="225"/>
        <v>108.75</v>
      </c>
      <c r="J203">
        <f t="shared" si="229"/>
        <v>0</v>
      </c>
      <c r="K203">
        <f t="shared" si="217"/>
        <v>0</v>
      </c>
      <c r="L203">
        <f t="shared" ref="L203:N203" si="237">SUM(I190:I203)</f>
        <v>1988.3500000000022</v>
      </c>
      <c r="M203">
        <f t="shared" si="237"/>
        <v>838.90000000000509</v>
      </c>
      <c r="N203">
        <f t="shared" si="237"/>
        <v>276.04999999999927</v>
      </c>
      <c r="O203" s="7">
        <f t="shared" si="219"/>
        <v>42.190761183896406</v>
      </c>
      <c r="P203" s="7">
        <f t="shared" si="220"/>
        <v>13.883370633942665</v>
      </c>
      <c r="Q203" s="7">
        <f t="shared" si="221"/>
        <v>28.307390549953741</v>
      </c>
      <c r="R203" s="7">
        <f t="shared" si="222"/>
        <v>56.074131817839074</v>
      </c>
      <c r="S203" s="7">
        <f t="shared" si="223"/>
        <v>50.482084398403835</v>
      </c>
      <c r="T203" s="7">
        <f t="shared" si="180"/>
        <v>46.023730996927682</v>
      </c>
      <c r="U203" s="6" t="str">
        <f t="shared" si="224"/>
        <v>Strong</v>
      </c>
    </row>
    <row r="204" spans="1:21" x14ac:dyDescent="0.25">
      <c r="A204" s="1">
        <v>45118</v>
      </c>
      <c r="B204">
        <v>19427.099999999999</v>
      </c>
      <c r="C204">
        <v>19515.099999999999</v>
      </c>
      <c r="D204">
        <v>19406.45</v>
      </c>
      <c r="E204">
        <v>19439.400000000001</v>
      </c>
      <c r="F204">
        <f t="shared" si="216"/>
        <v>108.64999999999782</v>
      </c>
      <c r="G204">
        <f t="shared" si="227"/>
        <v>159.19999999999709</v>
      </c>
      <c r="H204">
        <f t="shared" si="228"/>
        <v>50.549999999999272</v>
      </c>
      <c r="I204">
        <f t="shared" si="225"/>
        <v>159.19999999999709</v>
      </c>
      <c r="J204">
        <f t="shared" si="229"/>
        <v>79.25</v>
      </c>
      <c r="K204">
        <f t="shared" si="217"/>
        <v>0</v>
      </c>
      <c r="L204">
        <f t="shared" ref="L204:N204" si="238">SUM(I191:I204)</f>
        <v>1968.5</v>
      </c>
      <c r="M204">
        <f t="shared" si="238"/>
        <v>918.15000000000509</v>
      </c>
      <c r="N204">
        <f t="shared" si="238"/>
        <v>217.54999999999927</v>
      </c>
      <c r="O204" s="7">
        <f t="shared" si="219"/>
        <v>46.642113284226824</v>
      </c>
      <c r="P204" s="7">
        <f t="shared" si="220"/>
        <v>11.051562103124169</v>
      </c>
      <c r="Q204" s="7">
        <f t="shared" si="221"/>
        <v>35.590551181102654</v>
      </c>
      <c r="R204" s="7">
        <f t="shared" si="222"/>
        <v>57.693675387350993</v>
      </c>
      <c r="S204" s="7">
        <f t="shared" si="223"/>
        <v>61.688826274544603</v>
      </c>
      <c r="T204" s="7">
        <f t="shared" si="180"/>
        <v>47.390850475702244</v>
      </c>
      <c r="U204" s="6" t="str">
        <f t="shared" si="224"/>
        <v>Strong</v>
      </c>
    </row>
    <row r="205" spans="1:21" x14ac:dyDescent="0.25">
      <c r="A205" s="1">
        <v>45119</v>
      </c>
      <c r="B205">
        <v>19497.45</v>
      </c>
      <c r="C205">
        <v>19507.7</v>
      </c>
      <c r="D205">
        <v>19361.75</v>
      </c>
      <c r="E205">
        <v>19384.3</v>
      </c>
      <c r="F205">
        <f t="shared" si="216"/>
        <v>145.95000000000073</v>
      </c>
      <c r="G205">
        <f t="shared" si="227"/>
        <v>68.299999999999272</v>
      </c>
      <c r="H205">
        <f t="shared" si="228"/>
        <v>77.650000000001455</v>
      </c>
      <c r="I205">
        <f t="shared" si="225"/>
        <v>145.95000000000073</v>
      </c>
      <c r="J205">
        <f t="shared" si="229"/>
        <v>0</v>
      </c>
      <c r="K205">
        <f t="shared" si="217"/>
        <v>44.700000000000728</v>
      </c>
      <c r="L205">
        <f t="shared" ref="L205:N205" si="239">SUM(I192:I205)</f>
        <v>2033.3999999999978</v>
      </c>
      <c r="M205">
        <f t="shared" si="239"/>
        <v>881.95000000000437</v>
      </c>
      <c r="N205">
        <f t="shared" si="239"/>
        <v>262.25</v>
      </c>
      <c r="O205" s="7">
        <f t="shared" si="219"/>
        <v>43.373168092849681</v>
      </c>
      <c r="P205" s="7">
        <f t="shared" si="220"/>
        <v>12.897118127274529</v>
      </c>
      <c r="Q205" s="7">
        <f t="shared" si="221"/>
        <v>30.47604996557515</v>
      </c>
      <c r="R205" s="7">
        <f t="shared" si="222"/>
        <v>56.270286220124213</v>
      </c>
      <c r="S205" s="7">
        <f t="shared" si="223"/>
        <v>54.16011186855463</v>
      </c>
      <c r="T205" s="7">
        <f t="shared" si="180"/>
        <v>47.709412448782544</v>
      </c>
      <c r="U205" s="6" t="str">
        <f t="shared" si="224"/>
        <v>Strong</v>
      </c>
    </row>
    <row r="206" spans="1:21" x14ac:dyDescent="0.25">
      <c r="A206" s="1">
        <v>45120</v>
      </c>
      <c r="B206">
        <v>19495.2</v>
      </c>
      <c r="C206">
        <v>19567</v>
      </c>
      <c r="D206">
        <v>19385.8</v>
      </c>
      <c r="E206">
        <v>19413.75</v>
      </c>
      <c r="F206">
        <f t="shared" si="216"/>
        <v>181.20000000000073</v>
      </c>
      <c r="G206">
        <f t="shared" si="227"/>
        <v>182.70000000000073</v>
      </c>
      <c r="H206">
        <f t="shared" si="228"/>
        <v>1.5</v>
      </c>
      <c r="I206">
        <f t="shared" si="225"/>
        <v>182.70000000000073</v>
      </c>
      <c r="J206">
        <f t="shared" si="229"/>
        <v>59.299999999999272</v>
      </c>
      <c r="K206">
        <f t="shared" si="217"/>
        <v>0</v>
      </c>
      <c r="L206">
        <f t="shared" ref="L206:N206" si="240">SUM(I193:I206)</f>
        <v>2089</v>
      </c>
      <c r="M206">
        <f t="shared" si="240"/>
        <v>941.25000000000364</v>
      </c>
      <c r="N206">
        <f t="shared" si="240"/>
        <v>226.90000000000146</v>
      </c>
      <c r="O206" s="7">
        <f t="shared" si="219"/>
        <v>45.057443752992036</v>
      </c>
      <c r="P206" s="7">
        <f t="shared" si="220"/>
        <v>10.861656294878001</v>
      </c>
      <c r="Q206" s="7">
        <f t="shared" si="221"/>
        <v>34.195787458114033</v>
      </c>
      <c r="R206" s="7">
        <f t="shared" si="222"/>
        <v>55.919100047870039</v>
      </c>
      <c r="S206" s="7">
        <f t="shared" si="223"/>
        <v>61.152249283054317</v>
      </c>
      <c r="T206" s="7">
        <f t="shared" si="180"/>
        <v>49.059123480605642</v>
      </c>
      <c r="U206" s="6" t="str">
        <f t="shared" si="224"/>
        <v>Strong</v>
      </c>
    </row>
    <row r="207" spans="1:21" x14ac:dyDescent="0.25">
      <c r="A207" s="1">
        <v>45121</v>
      </c>
      <c r="B207">
        <v>19493.45</v>
      </c>
      <c r="C207">
        <v>19595.349999999999</v>
      </c>
      <c r="D207">
        <v>19433.5</v>
      </c>
      <c r="E207">
        <v>19564.5</v>
      </c>
      <c r="F207">
        <f t="shared" si="216"/>
        <v>161.84999999999854</v>
      </c>
      <c r="G207">
        <f t="shared" si="227"/>
        <v>181.59999999999854</v>
      </c>
      <c r="H207">
        <f t="shared" si="228"/>
        <v>19.75</v>
      </c>
      <c r="I207">
        <f t="shared" si="225"/>
        <v>181.59999999999854</v>
      </c>
      <c r="J207">
        <f t="shared" si="229"/>
        <v>28.349999999998545</v>
      </c>
      <c r="K207">
        <f t="shared" si="217"/>
        <v>0</v>
      </c>
      <c r="L207">
        <f t="shared" ref="L207:N207" si="241">SUM(I194:I207)</f>
        <v>2146.4499999999971</v>
      </c>
      <c r="M207">
        <f t="shared" si="241"/>
        <v>969.60000000000218</v>
      </c>
      <c r="N207">
        <f t="shared" si="241"/>
        <v>114.5</v>
      </c>
      <c r="O207" s="7">
        <f t="shared" si="219"/>
        <v>45.172261175429362</v>
      </c>
      <c r="P207" s="7">
        <f t="shared" si="220"/>
        <v>5.3343893405390368</v>
      </c>
      <c r="Q207" s="7">
        <f t="shared" si="221"/>
        <v>39.837871834890322</v>
      </c>
      <c r="R207" s="7">
        <f t="shared" si="222"/>
        <v>50.506650515968403</v>
      </c>
      <c r="S207" s="7">
        <f t="shared" si="223"/>
        <v>78.876487408910648</v>
      </c>
      <c r="T207" s="7">
        <f t="shared" si="180"/>
        <v>53.546016476522304</v>
      </c>
      <c r="U207" s="6" t="str">
        <f t="shared" si="224"/>
        <v>Strong</v>
      </c>
    </row>
    <row r="208" spans="1:21" x14ac:dyDescent="0.25">
      <c r="A208" s="1">
        <v>45124</v>
      </c>
      <c r="B208">
        <v>19612.150000000001</v>
      </c>
      <c r="C208">
        <v>19731.849999999999</v>
      </c>
      <c r="D208">
        <v>19562.95</v>
      </c>
      <c r="E208">
        <v>19711.45</v>
      </c>
      <c r="F208">
        <f t="shared" si="216"/>
        <v>168.89999999999782</v>
      </c>
      <c r="G208">
        <f t="shared" si="227"/>
        <v>167.34999999999854</v>
      </c>
      <c r="H208">
        <f t="shared" si="228"/>
        <v>1.5499999999992724</v>
      </c>
      <c r="I208">
        <f t="shared" si="225"/>
        <v>168.89999999999782</v>
      </c>
      <c r="J208">
        <f t="shared" si="229"/>
        <v>136.5</v>
      </c>
      <c r="K208">
        <f t="shared" si="217"/>
        <v>0</v>
      </c>
      <c r="L208">
        <f t="shared" ref="L208:N208" si="242">SUM(I195:I208)</f>
        <v>2239.9999999999964</v>
      </c>
      <c r="M208">
        <f t="shared" si="242"/>
        <v>1106.1000000000022</v>
      </c>
      <c r="N208">
        <f t="shared" si="242"/>
        <v>114.10000000000218</v>
      </c>
      <c r="O208" s="7">
        <f t="shared" si="219"/>
        <v>49.379464285714462</v>
      </c>
      <c r="P208" s="7">
        <f t="shared" si="220"/>
        <v>5.0937500000001057</v>
      </c>
      <c r="Q208" s="7">
        <f t="shared" si="221"/>
        <v>44.285714285714356</v>
      </c>
      <c r="R208" s="7">
        <f t="shared" si="222"/>
        <v>54.473214285714569</v>
      </c>
      <c r="S208" s="7">
        <f t="shared" si="223"/>
        <v>81.298147844615343</v>
      </c>
      <c r="T208" s="7">
        <f t="shared" si="180"/>
        <v>57.609423285599931</v>
      </c>
      <c r="U208" s="6" t="str">
        <f t="shared" si="224"/>
        <v>Strong</v>
      </c>
    </row>
    <row r="209" spans="1:21" x14ac:dyDescent="0.25">
      <c r="A209" s="1">
        <v>45125</v>
      </c>
      <c r="B209">
        <v>19787.5</v>
      </c>
      <c r="C209">
        <v>19819.45</v>
      </c>
      <c r="D209">
        <v>19690.2</v>
      </c>
      <c r="E209">
        <v>19749.25</v>
      </c>
      <c r="F209">
        <f t="shared" si="216"/>
        <v>129.25</v>
      </c>
      <c r="G209">
        <f t="shared" si="227"/>
        <v>108</v>
      </c>
      <c r="H209">
        <f t="shared" si="228"/>
        <v>21.25</v>
      </c>
      <c r="I209">
        <f t="shared" si="225"/>
        <v>129.25</v>
      </c>
      <c r="J209">
        <f t="shared" si="229"/>
        <v>87.600000000002183</v>
      </c>
      <c r="K209">
        <f t="shared" si="217"/>
        <v>0</v>
      </c>
      <c r="L209">
        <f t="shared" ref="L209:N209" si="243">SUM(I196:I209)</f>
        <v>2231.1999999999971</v>
      </c>
      <c r="M209">
        <f t="shared" si="243"/>
        <v>1086.5000000000036</v>
      </c>
      <c r="N209">
        <f t="shared" si="243"/>
        <v>114.10000000000218</v>
      </c>
      <c r="O209" s="7">
        <f t="shared" si="219"/>
        <v>48.695769092865056</v>
      </c>
      <c r="P209" s="7">
        <f t="shared" si="220"/>
        <v>5.1138400860524529</v>
      </c>
      <c r="Q209" s="7">
        <f t="shared" si="221"/>
        <v>43.581929006812601</v>
      </c>
      <c r="R209" s="7">
        <f t="shared" si="222"/>
        <v>53.809609178917512</v>
      </c>
      <c r="S209" s="7">
        <f t="shared" si="223"/>
        <v>80.992836914875625</v>
      </c>
      <c r="T209" s="7">
        <f t="shared" si="180"/>
        <v>61.720734932798145</v>
      </c>
      <c r="U209" s="6" t="str">
        <f t="shared" si="224"/>
        <v>Strong</v>
      </c>
    </row>
    <row r="210" spans="1:21" x14ac:dyDescent="0.25">
      <c r="A210" s="1">
        <v>45126</v>
      </c>
      <c r="B210">
        <v>19802.95</v>
      </c>
      <c r="C210">
        <v>19851.7</v>
      </c>
      <c r="D210">
        <v>19727.45</v>
      </c>
      <c r="E210">
        <v>19833.150000000001</v>
      </c>
      <c r="F210">
        <f t="shared" si="216"/>
        <v>124.25</v>
      </c>
      <c r="G210">
        <f t="shared" si="227"/>
        <v>102.45000000000073</v>
      </c>
      <c r="H210">
        <f t="shared" si="228"/>
        <v>21.799999999999272</v>
      </c>
      <c r="I210">
        <f t="shared" si="225"/>
        <v>124.25</v>
      </c>
      <c r="J210">
        <f t="shared" si="229"/>
        <v>32.25</v>
      </c>
      <c r="K210">
        <f t="shared" si="217"/>
        <v>0</v>
      </c>
      <c r="L210">
        <f t="shared" ref="L210:N210" si="244">SUM(I197:I210)</f>
        <v>2161.5999999999985</v>
      </c>
      <c r="M210">
        <f t="shared" si="244"/>
        <v>936.75000000000364</v>
      </c>
      <c r="N210">
        <f t="shared" si="244"/>
        <v>114.10000000000218</v>
      </c>
      <c r="O210" s="7">
        <f t="shared" si="219"/>
        <v>43.335954848260741</v>
      </c>
      <c r="P210" s="7">
        <f t="shared" si="220"/>
        <v>5.2784974093265298</v>
      </c>
      <c r="Q210" s="7">
        <f t="shared" si="221"/>
        <v>38.057457438934208</v>
      </c>
      <c r="R210" s="7">
        <f t="shared" si="222"/>
        <v>48.614452257587274</v>
      </c>
      <c r="S210" s="7">
        <f t="shared" si="223"/>
        <v>78.284246086501099</v>
      </c>
      <c r="T210" s="7">
        <f t="shared" si="180"/>
        <v>64.707334754015733</v>
      </c>
      <c r="U210" s="6" t="str">
        <f t="shared" si="224"/>
        <v>Strong</v>
      </c>
    </row>
    <row r="211" spans="1:21" x14ac:dyDescent="0.25">
      <c r="A211" s="1">
        <v>45127</v>
      </c>
      <c r="B211">
        <v>19831.7</v>
      </c>
      <c r="C211">
        <v>19991.849999999999</v>
      </c>
      <c r="D211">
        <v>19758.400000000001</v>
      </c>
      <c r="E211">
        <v>19979.150000000001</v>
      </c>
      <c r="F211">
        <f t="shared" si="216"/>
        <v>233.44999999999709</v>
      </c>
      <c r="G211">
        <f t="shared" si="227"/>
        <v>158.69999999999709</v>
      </c>
      <c r="H211">
        <f t="shared" si="228"/>
        <v>74.75</v>
      </c>
      <c r="I211">
        <f t="shared" si="225"/>
        <v>233.44999999999709</v>
      </c>
      <c r="J211">
        <f t="shared" si="229"/>
        <v>140.14999999999782</v>
      </c>
      <c r="K211">
        <f t="shared" si="217"/>
        <v>0</v>
      </c>
      <c r="L211">
        <f t="shared" ref="L211:N211" si="245">SUM(I198:I211)</f>
        <v>2165.4499999999935</v>
      </c>
      <c r="M211">
        <f t="shared" si="245"/>
        <v>886.45000000000073</v>
      </c>
      <c r="N211">
        <f t="shared" si="245"/>
        <v>114.10000000000218</v>
      </c>
      <c r="O211" s="7">
        <f t="shared" si="219"/>
        <v>40.936064097531847</v>
      </c>
      <c r="P211" s="7">
        <f t="shared" si="220"/>
        <v>5.2691126555682439</v>
      </c>
      <c r="Q211" s="7">
        <f t="shared" si="221"/>
        <v>35.666951441963604</v>
      </c>
      <c r="R211" s="7">
        <f t="shared" si="222"/>
        <v>46.205176753100091</v>
      </c>
      <c r="S211" s="7">
        <f t="shared" si="223"/>
        <v>77.192544100744215</v>
      </c>
      <c r="T211" s="7">
        <f t="shared" si="180"/>
        <v>66.120579251079135</v>
      </c>
      <c r="U211" s="6" t="str">
        <f t="shared" si="224"/>
        <v>Strong</v>
      </c>
    </row>
    <row r="212" spans="1:21" x14ac:dyDescent="0.25">
      <c r="A212" s="1">
        <v>45128</v>
      </c>
      <c r="B212">
        <v>19800.45</v>
      </c>
      <c r="C212">
        <v>19887.400000000001</v>
      </c>
      <c r="D212">
        <v>19700</v>
      </c>
      <c r="E212">
        <v>19745</v>
      </c>
      <c r="F212">
        <f t="shared" si="216"/>
        <v>187.40000000000146</v>
      </c>
      <c r="G212">
        <f t="shared" si="227"/>
        <v>91.75</v>
      </c>
      <c r="H212">
        <f t="shared" si="228"/>
        <v>279.15000000000146</v>
      </c>
      <c r="I212">
        <f t="shared" si="225"/>
        <v>279.15000000000146</v>
      </c>
      <c r="J212">
        <f t="shared" si="229"/>
        <v>0</v>
      </c>
      <c r="K212">
        <f t="shared" si="217"/>
        <v>58.400000000001455</v>
      </c>
      <c r="L212">
        <f t="shared" ref="L212:N212" si="246">SUM(I199:I212)</f>
        <v>2288.5499999999956</v>
      </c>
      <c r="M212">
        <f t="shared" si="246"/>
        <v>743.05000000000291</v>
      </c>
      <c r="N212">
        <f t="shared" si="246"/>
        <v>172.50000000000364</v>
      </c>
      <c r="O212" s="7">
        <f t="shared" si="219"/>
        <v>32.468156693102806</v>
      </c>
      <c r="P212" s="7">
        <f t="shared" si="220"/>
        <v>7.5375237595859375</v>
      </c>
      <c r="Q212" s="7">
        <f t="shared" si="221"/>
        <v>24.930632933516868</v>
      </c>
      <c r="R212" s="7">
        <f t="shared" si="222"/>
        <v>40.005680452688743</v>
      </c>
      <c r="S212" s="7">
        <f t="shared" si="223"/>
        <v>62.317732510512279</v>
      </c>
      <c r="T212" s="7">
        <f t="shared" si="180"/>
        <v>66.079622033415689</v>
      </c>
      <c r="U212" s="6" t="str">
        <f t="shared" si="224"/>
        <v>Strong</v>
      </c>
    </row>
    <row r="213" spans="1:21" x14ac:dyDescent="0.25">
      <c r="A213" s="1">
        <v>45131</v>
      </c>
      <c r="B213">
        <v>19748.45</v>
      </c>
      <c r="C213">
        <v>19782.75</v>
      </c>
      <c r="D213">
        <v>19658.3</v>
      </c>
      <c r="E213">
        <v>19672.349999999999</v>
      </c>
      <c r="F213">
        <f t="shared" si="216"/>
        <v>124.45000000000073</v>
      </c>
      <c r="G213">
        <f t="shared" si="227"/>
        <v>37.75</v>
      </c>
      <c r="H213">
        <f t="shared" si="228"/>
        <v>86.700000000000728</v>
      </c>
      <c r="I213">
        <f t="shared" si="225"/>
        <v>124.45000000000073</v>
      </c>
      <c r="J213">
        <f t="shared" si="229"/>
        <v>0</v>
      </c>
      <c r="K213">
        <f t="shared" si="217"/>
        <v>41.700000000000728</v>
      </c>
      <c r="L213">
        <f t="shared" ref="L213:N213" si="247">SUM(I200:I213)</f>
        <v>2278.8499999999949</v>
      </c>
      <c r="M213">
        <f t="shared" si="247"/>
        <v>654</v>
      </c>
      <c r="N213">
        <f t="shared" si="247"/>
        <v>214.20000000000437</v>
      </c>
      <c r="O213" s="7">
        <f t="shared" si="219"/>
        <v>28.698685740614849</v>
      </c>
      <c r="P213" s="7">
        <f t="shared" si="220"/>
        <v>9.3994778067887239</v>
      </c>
      <c r="Q213" s="7">
        <f t="shared" si="221"/>
        <v>19.299207933826125</v>
      </c>
      <c r="R213" s="7">
        <f t="shared" si="222"/>
        <v>38.098163547403573</v>
      </c>
      <c r="S213" s="7">
        <f t="shared" si="223"/>
        <v>50.656530753281906</v>
      </c>
      <c r="T213" s="7">
        <f t="shared" si="180"/>
        <v>65.220680260391447</v>
      </c>
      <c r="U213" s="6" t="str">
        <f t="shared" si="224"/>
        <v>Strong</v>
      </c>
    </row>
    <row r="214" spans="1:21" x14ac:dyDescent="0.25">
      <c r="A214" s="1">
        <v>45132</v>
      </c>
      <c r="B214">
        <v>19729.349999999999</v>
      </c>
      <c r="C214">
        <v>19729.349999999999</v>
      </c>
      <c r="D214">
        <v>19615.95</v>
      </c>
      <c r="E214">
        <v>19680.599999999999</v>
      </c>
      <c r="F214">
        <f t="shared" si="216"/>
        <v>113.39999999999782</v>
      </c>
      <c r="G214">
        <f t="shared" si="227"/>
        <v>57</v>
      </c>
      <c r="H214">
        <f t="shared" si="228"/>
        <v>56.399999999997817</v>
      </c>
      <c r="I214">
        <f t="shared" si="225"/>
        <v>113.39999999999782</v>
      </c>
      <c r="J214">
        <f t="shared" si="229"/>
        <v>0</v>
      </c>
      <c r="K214">
        <f t="shared" si="217"/>
        <v>42.349999999998545</v>
      </c>
      <c r="L214">
        <f t="shared" ref="L214:N214" si="248">SUM(I201:I214)</f>
        <v>2310.2499999999927</v>
      </c>
      <c r="M214">
        <f t="shared" si="248"/>
        <v>654</v>
      </c>
      <c r="N214">
        <f t="shared" si="248"/>
        <v>256.55000000000291</v>
      </c>
      <c r="O214" s="7">
        <f t="shared" si="219"/>
        <v>28.308624607726525</v>
      </c>
      <c r="P214" s="7">
        <f t="shared" si="220"/>
        <v>11.104858781517313</v>
      </c>
      <c r="Q214" s="7">
        <f t="shared" si="221"/>
        <v>17.203765826209214</v>
      </c>
      <c r="R214" s="7">
        <f t="shared" si="222"/>
        <v>39.413483389243837</v>
      </c>
      <c r="S214" s="7">
        <f t="shared" si="223"/>
        <v>43.64944264455503</v>
      </c>
      <c r="T214" s="7">
        <f t="shared" si="180"/>
        <v>63.963187892002068</v>
      </c>
      <c r="U214" s="6" t="str">
        <f t="shared" si="224"/>
        <v>Strong</v>
      </c>
    </row>
    <row r="215" spans="1:21" x14ac:dyDescent="0.25">
      <c r="A215" s="1">
        <v>45133</v>
      </c>
      <c r="B215">
        <v>19733.349999999999</v>
      </c>
      <c r="C215">
        <v>19825.599999999999</v>
      </c>
      <c r="D215">
        <v>19716.7</v>
      </c>
      <c r="E215">
        <v>19778.3</v>
      </c>
      <c r="F215">
        <f t="shared" si="216"/>
        <v>108.89999999999782</v>
      </c>
      <c r="G215">
        <f t="shared" si="227"/>
        <v>145</v>
      </c>
      <c r="H215">
        <f t="shared" si="228"/>
        <v>36.100000000002183</v>
      </c>
      <c r="I215">
        <f t="shared" si="225"/>
        <v>145</v>
      </c>
      <c r="J215">
        <f t="shared" si="229"/>
        <v>96.25</v>
      </c>
      <c r="K215">
        <f t="shared" si="217"/>
        <v>0</v>
      </c>
      <c r="L215">
        <f t="shared" ref="L215:N215" si="249">SUM(I202:I215)</f>
        <v>2316.049999999992</v>
      </c>
      <c r="M215">
        <f t="shared" si="249"/>
        <v>659.64999999999782</v>
      </c>
      <c r="N215">
        <f t="shared" si="249"/>
        <v>256.55000000000291</v>
      </c>
      <c r="O215" s="7">
        <f t="shared" si="219"/>
        <v>28.481682174391747</v>
      </c>
      <c r="P215" s="7">
        <f t="shared" si="220"/>
        <v>11.077049286500888</v>
      </c>
      <c r="Q215" s="7">
        <f t="shared" si="221"/>
        <v>17.404632887890859</v>
      </c>
      <c r="R215" s="7">
        <f t="shared" si="222"/>
        <v>39.558731460892631</v>
      </c>
      <c r="S215" s="7">
        <f t="shared" si="223"/>
        <v>43.996943898711486</v>
      </c>
      <c r="T215" s="7">
        <f t="shared" si="180"/>
        <v>62.568797877932589</v>
      </c>
      <c r="U215" s="6" t="str">
        <f t="shared" si="224"/>
        <v>Strong</v>
      </c>
    </row>
    <row r="216" spans="1:21" x14ac:dyDescent="0.25">
      <c r="A216" s="1">
        <v>45134</v>
      </c>
      <c r="B216">
        <v>19850.900000000001</v>
      </c>
      <c r="C216">
        <v>19867.55</v>
      </c>
      <c r="D216">
        <v>19603.55</v>
      </c>
      <c r="E216">
        <v>19659.900000000001</v>
      </c>
      <c r="F216">
        <f t="shared" si="216"/>
        <v>264</v>
      </c>
      <c r="G216">
        <f t="shared" si="227"/>
        <v>89.25</v>
      </c>
      <c r="H216">
        <f t="shared" si="228"/>
        <v>174.75</v>
      </c>
      <c r="I216">
        <f t="shared" si="225"/>
        <v>264</v>
      </c>
      <c r="J216">
        <f t="shared" si="229"/>
        <v>0</v>
      </c>
      <c r="K216">
        <f t="shared" si="217"/>
        <v>113.15000000000146</v>
      </c>
      <c r="L216">
        <f t="shared" ref="L216:N216" si="250">SUM(I203:I216)</f>
        <v>2360.049999999992</v>
      </c>
      <c r="M216">
        <f t="shared" si="250"/>
        <v>659.64999999999782</v>
      </c>
      <c r="N216">
        <f t="shared" si="250"/>
        <v>300.30000000000291</v>
      </c>
      <c r="O216" s="7">
        <f t="shared" si="219"/>
        <v>27.950679011037906</v>
      </c>
      <c r="P216" s="7">
        <f t="shared" si="220"/>
        <v>12.724306688417785</v>
      </c>
      <c r="Q216" s="7">
        <f t="shared" si="221"/>
        <v>15.22637232262012</v>
      </c>
      <c r="R216" s="7">
        <f t="shared" si="222"/>
        <v>40.674985699455689</v>
      </c>
      <c r="S216" s="7">
        <f t="shared" si="223"/>
        <v>37.43424136673729</v>
      </c>
      <c r="T216" s="7">
        <f t="shared" si="180"/>
        <v>61.584458953857315</v>
      </c>
      <c r="U216" s="6" t="str">
        <f t="shared" si="224"/>
        <v>Strong</v>
      </c>
    </row>
    <row r="217" spans="1:21" x14ac:dyDescent="0.25">
      <c r="A217" s="1">
        <v>45135</v>
      </c>
      <c r="B217">
        <v>19659.75</v>
      </c>
      <c r="C217">
        <v>19695.900000000001</v>
      </c>
      <c r="D217">
        <v>19563.099999999999</v>
      </c>
      <c r="E217">
        <v>19646.05</v>
      </c>
      <c r="F217">
        <f t="shared" si="216"/>
        <v>132.80000000000291</v>
      </c>
      <c r="G217">
        <f t="shared" si="227"/>
        <v>36</v>
      </c>
      <c r="H217">
        <f t="shared" si="228"/>
        <v>96.80000000000291</v>
      </c>
      <c r="I217">
        <f t="shared" si="225"/>
        <v>132.80000000000291</v>
      </c>
      <c r="J217">
        <f t="shared" si="229"/>
        <v>0</v>
      </c>
      <c r="K217">
        <f t="shared" si="217"/>
        <v>40.450000000000728</v>
      </c>
      <c r="L217">
        <f t="shared" ref="L217:N217" si="251">SUM(I204:I217)</f>
        <v>2384.0999999999949</v>
      </c>
      <c r="M217">
        <f t="shared" si="251"/>
        <v>659.64999999999782</v>
      </c>
      <c r="N217">
        <f t="shared" si="251"/>
        <v>340.75000000000364</v>
      </c>
      <c r="O217" s="7">
        <f t="shared" si="219"/>
        <v>27.668721949582618</v>
      </c>
      <c r="P217" s="7">
        <f t="shared" si="220"/>
        <v>14.292605175957569</v>
      </c>
      <c r="Q217" s="7">
        <f t="shared" si="221"/>
        <v>13.37611677362505</v>
      </c>
      <c r="R217" s="7">
        <f t="shared" si="222"/>
        <v>41.961327125540187</v>
      </c>
      <c r="S217" s="7">
        <f t="shared" si="223"/>
        <v>31.877249100359222</v>
      </c>
      <c r="T217" s="7">
        <f t="shared" si="180"/>
        <v>60.255542146854118</v>
      </c>
      <c r="U217" s="6" t="str">
        <f t="shared" si="224"/>
        <v>Strong</v>
      </c>
    </row>
    <row r="218" spans="1:21" x14ac:dyDescent="0.25">
      <c r="A218" s="1">
        <v>45138</v>
      </c>
      <c r="B218">
        <v>19666.349999999999</v>
      </c>
      <c r="C218">
        <v>19772.75</v>
      </c>
      <c r="D218">
        <v>19597.599999999999</v>
      </c>
      <c r="E218">
        <v>19753.8</v>
      </c>
      <c r="F218">
        <f t="shared" si="216"/>
        <v>175.15000000000146</v>
      </c>
      <c r="G218">
        <f t="shared" si="227"/>
        <v>126.70000000000073</v>
      </c>
      <c r="H218">
        <f t="shared" si="228"/>
        <v>48.450000000000728</v>
      </c>
      <c r="I218">
        <f t="shared" si="225"/>
        <v>175.15000000000146</v>
      </c>
      <c r="J218">
        <f t="shared" si="229"/>
        <v>76.849999999998545</v>
      </c>
      <c r="K218">
        <f t="shared" si="217"/>
        <v>0</v>
      </c>
      <c r="L218">
        <f t="shared" ref="L218:N218" si="252">SUM(I205:I218)</f>
        <v>2400.0499999999993</v>
      </c>
      <c r="M218">
        <f t="shared" si="252"/>
        <v>657.24999999999636</v>
      </c>
      <c r="N218">
        <f t="shared" si="252"/>
        <v>340.75000000000364</v>
      </c>
      <c r="O218" s="7">
        <f t="shared" si="219"/>
        <v>27.384846149038417</v>
      </c>
      <c r="P218" s="7">
        <f t="shared" si="220"/>
        <v>14.197620882898429</v>
      </c>
      <c r="Q218" s="7">
        <f t="shared" si="221"/>
        <v>13.187225266139988</v>
      </c>
      <c r="R218" s="7">
        <f t="shared" si="222"/>
        <v>41.582467031936844</v>
      </c>
      <c r="S218" s="7">
        <f t="shared" si="223"/>
        <v>31.713426853706682</v>
      </c>
      <c r="T218" s="7">
        <f t="shared" si="180"/>
        <v>58.114442188222839</v>
      </c>
      <c r="U218" s="6" t="str">
        <f t="shared" si="224"/>
        <v>Strong</v>
      </c>
    </row>
    <row r="219" spans="1:21" x14ac:dyDescent="0.25">
      <c r="A219" s="1">
        <v>45139</v>
      </c>
      <c r="B219">
        <v>19784</v>
      </c>
      <c r="C219">
        <v>19795.599999999999</v>
      </c>
      <c r="D219">
        <v>19704.599999999999</v>
      </c>
      <c r="E219">
        <v>19733.55</v>
      </c>
      <c r="F219">
        <f t="shared" si="216"/>
        <v>91</v>
      </c>
      <c r="G219">
        <f t="shared" si="227"/>
        <v>41.799999999999272</v>
      </c>
      <c r="H219">
        <f t="shared" si="228"/>
        <v>49.200000000000728</v>
      </c>
      <c r="I219">
        <f t="shared" si="225"/>
        <v>91</v>
      </c>
      <c r="J219">
        <f t="shared" si="229"/>
        <v>22.849999999998545</v>
      </c>
      <c r="K219">
        <f t="shared" si="217"/>
        <v>0</v>
      </c>
      <c r="L219">
        <f t="shared" ref="L219:N219" si="253">SUM(I206:I219)</f>
        <v>2345.0999999999985</v>
      </c>
      <c r="M219">
        <f t="shared" si="253"/>
        <v>680.09999999999491</v>
      </c>
      <c r="N219">
        <f t="shared" si="253"/>
        <v>296.05000000000291</v>
      </c>
      <c r="O219" s="7">
        <f t="shared" si="219"/>
        <v>29.0008954842009</v>
      </c>
      <c r="P219" s="7">
        <f t="shared" si="220"/>
        <v>12.624195130271762</v>
      </c>
      <c r="Q219" s="7">
        <f t="shared" si="221"/>
        <v>16.376700353929138</v>
      </c>
      <c r="R219" s="7">
        <f t="shared" si="222"/>
        <v>41.625090614472661</v>
      </c>
      <c r="S219" s="7">
        <f t="shared" si="223"/>
        <v>39.343338626234988</v>
      </c>
      <c r="T219" s="7">
        <f t="shared" si="180"/>
        <v>57.056101242342869</v>
      </c>
      <c r="U219" s="6" t="str">
        <f t="shared" si="224"/>
        <v>Strong</v>
      </c>
    </row>
    <row r="220" spans="1:21" x14ac:dyDescent="0.25">
      <c r="A220" s="1">
        <v>45140</v>
      </c>
      <c r="B220">
        <v>19655.400000000001</v>
      </c>
      <c r="C220">
        <v>19678.25</v>
      </c>
      <c r="D220">
        <v>19423.55</v>
      </c>
      <c r="E220">
        <v>19526.55</v>
      </c>
      <c r="F220">
        <f t="shared" si="216"/>
        <v>254.70000000000073</v>
      </c>
      <c r="G220">
        <f t="shared" si="227"/>
        <v>55.299999999999272</v>
      </c>
      <c r="H220">
        <f t="shared" si="228"/>
        <v>310</v>
      </c>
      <c r="I220">
        <f t="shared" si="225"/>
        <v>310</v>
      </c>
      <c r="J220">
        <f t="shared" si="229"/>
        <v>0</v>
      </c>
      <c r="K220">
        <f t="shared" si="217"/>
        <v>281.04999999999927</v>
      </c>
      <c r="L220">
        <f t="shared" ref="L220:N220" si="254">SUM(I207:I220)</f>
        <v>2472.3999999999978</v>
      </c>
      <c r="M220">
        <f t="shared" si="254"/>
        <v>620.79999999999563</v>
      </c>
      <c r="N220">
        <f t="shared" si="254"/>
        <v>577.10000000000218</v>
      </c>
      <c r="O220" s="7">
        <f t="shared" si="219"/>
        <v>25.109205630156779</v>
      </c>
      <c r="P220" s="7">
        <f t="shared" si="220"/>
        <v>23.341692282802246</v>
      </c>
      <c r="Q220" s="7">
        <f t="shared" si="221"/>
        <v>1.7675133473545337</v>
      </c>
      <c r="R220" s="7">
        <f t="shared" si="222"/>
        <v>48.450897912959022</v>
      </c>
      <c r="S220" s="7">
        <f t="shared" si="223"/>
        <v>3.6480507554882324</v>
      </c>
      <c r="T220" s="7">
        <f t="shared" si="180"/>
        <v>52.948658490373866</v>
      </c>
      <c r="U220" s="6" t="str">
        <f t="shared" si="224"/>
        <v>Strong</v>
      </c>
    </row>
    <row r="221" spans="1:21" x14ac:dyDescent="0.25">
      <c r="A221" s="1">
        <v>45141</v>
      </c>
      <c r="B221">
        <v>19463.75</v>
      </c>
      <c r="C221">
        <v>19537.650000000001</v>
      </c>
      <c r="D221">
        <v>19296.45</v>
      </c>
      <c r="E221">
        <v>19381.650000000001</v>
      </c>
      <c r="F221">
        <f t="shared" si="216"/>
        <v>241.20000000000073</v>
      </c>
      <c r="G221">
        <f t="shared" si="227"/>
        <v>11.100000000002183</v>
      </c>
      <c r="H221">
        <f t="shared" si="228"/>
        <v>230.09999999999854</v>
      </c>
      <c r="I221">
        <f t="shared" si="225"/>
        <v>241.20000000000073</v>
      </c>
      <c r="J221">
        <f t="shared" si="229"/>
        <v>0</v>
      </c>
      <c r="K221">
        <f t="shared" si="217"/>
        <v>127.09999999999854</v>
      </c>
      <c r="L221">
        <f t="shared" ref="L221:N221" si="255">SUM(I208:I221)</f>
        <v>2532</v>
      </c>
      <c r="M221">
        <f t="shared" si="255"/>
        <v>592.44999999999709</v>
      </c>
      <c r="N221">
        <f t="shared" si="255"/>
        <v>704.20000000000073</v>
      </c>
      <c r="O221" s="7">
        <f t="shared" si="219"/>
        <v>23.398499210110469</v>
      </c>
      <c r="P221" s="7">
        <f t="shared" si="220"/>
        <v>27.812006319115351</v>
      </c>
      <c r="Q221" s="7">
        <f t="shared" si="221"/>
        <v>4.4135071090048825</v>
      </c>
      <c r="R221" s="7">
        <f t="shared" si="222"/>
        <v>51.21050552922582</v>
      </c>
      <c r="S221" s="7">
        <f t="shared" si="223"/>
        <v>8.6183627038910906</v>
      </c>
      <c r="T221" s="7">
        <f t="shared" si="180"/>
        <v>47.930221011443891</v>
      </c>
      <c r="U221" s="6" t="str">
        <f t="shared" si="224"/>
        <v>Strong</v>
      </c>
    </row>
    <row r="222" spans="1:21" x14ac:dyDescent="0.25">
      <c r="A222" s="1">
        <v>45142</v>
      </c>
      <c r="B222">
        <v>19462.8</v>
      </c>
      <c r="C222">
        <v>19538.849999999999</v>
      </c>
      <c r="D222">
        <v>19436.45</v>
      </c>
      <c r="E222">
        <v>19517</v>
      </c>
      <c r="F222">
        <f t="shared" si="216"/>
        <v>102.39999999999782</v>
      </c>
      <c r="G222">
        <f t="shared" si="227"/>
        <v>157.19999999999709</v>
      </c>
      <c r="H222">
        <f t="shared" si="228"/>
        <v>54.799999999999272</v>
      </c>
      <c r="I222">
        <f t="shared" si="225"/>
        <v>157.19999999999709</v>
      </c>
      <c r="J222">
        <f t="shared" si="229"/>
        <v>1.1999999999970896</v>
      </c>
      <c r="K222">
        <f t="shared" si="217"/>
        <v>0</v>
      </c>
      <c r="L222">
        <f t="shared" ref="L222:N222" si="256">SUM(I209:I222)</f>
        <v>2520.2999999999993</v>
      </c>
      <c r="M222">
        <f t="shared" si="256"/>
        <v>457.14999999999418</v>
      </c>
      <c r="N222">
        <f t="shared" si="256"/>
        <v>704.20000000000073</v>
      </c>
      <c r="O222" s="7">
        <f t="shared" si="219"/>
        <v>18.138713645200745</v>
      </c>
      <c r="P222" s="7">
        <f t="shared" si="220"/>
        <v>27.941118120858665</v>
      </c>
      <c r="Q222" s="7">
        <f t="shared" si="221"/>
        <v>9.8024044756579194</v>
      </c>
      <c r="R222" s="7">
        <f t="shared" si="222"/>
        <v>46.079831766059414</v>
      </c>
      <c r="S222" s="7">
        <f t="shared" si="223"/>
        <v>21.272656821802862</v>
      </c>
      <c r="T222" s="7">
        <f t="shared" ref="T222:T249" si="257">AVERAGE(S209:S222)</f>
        <v>43.642685938385867</v>
      </c>
      <c r="U222" s="6" t="str">
        <f t="shared" si="224"/>
        <v>Strong</v>
      </c>
    </row>
    <row r="223" spans="1:21" x14ac:dyDescent="0.25">
      <c r="A223" s="1">
        <v>45145</v>
      </c>
      <c r="B223">
        <v>19576.849999999999</v>
      </c>
      <c r="C223">
        <v>19620.45</v>
      </c>
      <c r="D223">
        <v>19524.8</v>
      </c>
      <c r="E223">
        <v>19597.3</v>
      </c>
      <c r="F223">
        <f t="shared" si="216"/>
        <v>95.650000000001455</v>
      </c>
      <c r="G223">
        <f t="shared" si="227"/>
        <v>103.45000000000073</v>
      </c>
      <c r="H223">
        <f t="shared" si="228"/>
        <v>7.7999999999992724</v>
      </c>
      <c r="I223">
        <f t="shared" si="225"/>
        <v>103.45000000000073</v>
      </c>
      <c r="J223">
        <f t="shared" si="229"/>
        <v>81.600000000002183</v>
      </c>
      <c r="K223">
        <f t="shared" si="217"/>
        <v>0</v>
      </c>
      <c r="L223">
        <f t="shared" ref="L223:N223" si="258">SUM(I210:I223)</f>
        <v>2494.5</v>
      </c>
      <c r="M223">
        <f t="shared" si="258"/>
        <v>451.14999999999418</v>
      </c>
      <c r="N223">
        <f t="shared" si="258"/>
        <v>704.20000000000073</v>
      </c>
      <c r="O223" s="7">
        <f t="shared" si="219"/>
        <v>18.085788735217246</v>
      </c>
      <c r="P223" s="7">
        <f t="shared" si="220"/>
        <v>28.230106233714203</v>
      </c>
      <c r="Q223" s="7">
        <f t="shared" si="221"/>
        <v>10.144317498496957</v>
      </c>
      <c r="R223" s="7">
        <f t="shared" si="222"/>
        <v>46.315894968931445</v>
      </c>
      <c r="S223" s="7">
        <f t="shared" si="223"/>
        <v>21.902453801878885</v>
      </c>
      <c r="T223" s="7">
        <f t="shared" si="257"/>
        <v>39.421944287457521</v>
      </c>
      <c r="U223" s="6" t="str">
        <f t="shared" si="224"/>
        <v>Strong</v>
      </c>
    </row>
    <row r="224" spans="1:21" x14ac:dyDescent="0.25">
      <c r="A224" s="1">
        <v>45146</v>
      </c>
      <c r="B224">
        <v>19627.2</v>
      </c>
      <c r="C224">
        <v>19634.400000000001</v>
      </c>
      <c r="D224">
        <v>19533.099999999999</v>
      </c>
      <c r="E224">
        <v>19570.849999999999</v>
      </c>
      <c r="F224">
        <f t="shared" si="216"/>
        <v>101.30000000000291</v>
      </c>
      <c r="G224">
        <f t="shared" si="227"/>
        <v>37.100000000002183</v>
      </c>
      <c r="H224">
        <f t="shared" si="228"/>
        <v>64.200000000000728</v>
      </c>
      <c r="I224">
        <f t="shared" si="225"/>
        <v>101.30000000000291</v>
      </c>
      <c r="J224">
        <f t="shared" si="229"/>
        <v>13.950000000000728</v>
      </c>
      <c r="K224">
        <f t="shared" si="217"/>
        <v>0</v>
      </c>
      <c r="L224">
        <f t="shared" ref="L224:N224" si="259">SUM(I211:I224)</f>
        <v>2471.5500000000029</v>
      </c>
      <c r="M224">
        <f t="shared" si="259"/>
        <v>432.84999999999491</v>
      </c>
      <c r="N224">
        <f t="shared" si="259"/>
        <v>704.20000000000073</v>
      </c>
      <c r="O224" s="7">
        <f t="shared" si="219"/>
        <v>17.513301369585658</v>
      </c>
      <c r="P224" s="7">
        <f t="shared" si="220"/>
        <v>28.492241710667393</v>
      </c>
      <c r="Q224" s="7">
        <f t="shared" si="221"/>
        <v>10.978940341081735</v>
      </c>
      <c r="R224" s="7">
        <f t="shared" si="222"/>
        <v>46.005543080253048</v>
      </c>
      <c r="S224" s="7">
        <f t="shared" si="223"/>
        <v>23.864385910910428</v>
      </c>
      <c r="T224" s="7">
        <f t="shared" si="257"/>
        <v>35.534811417772467</v>
      </c>
      <c r="U224" s="6" t="str">
        <f t="shared" si="224"/>
        <v>Strong</v>
      </c>
    </row>
    <row r="225" spans="1:21" x14ac:dyDescent="0.25">
      <c r="A225" s="1">
        <v>45147</v>
      </c>
      <c r="B225">
        <v>19578.8</v>
      </c>
      <c r="C225">
        <v>19645.5</v>
      </c>
      <c r="D225">
        <v>19467.5</v>
      </c>
      <c r="E225">
        <v>19632.55</v>
      </c>
      <c r="F225">
        <f t="shared" si="216"/>
        <v>178</v>
      </c>
      <c r="G225">
        <f t="shared" si="227"/>
        <v>74.650000000001455</v>
      </c>
      <c r="H225">
        <f t="shared" si="228"/>
        <v>103.34999999999854</v>
      </c>
      <c r="I225">
        <f t="shared" si="225"/>
        <v>178</v>
      </c>
      <c r="J225">
        <f t="shared" si="229"/>
        <v>0</v>
      </c>
      <c r="K225">
        <f t="shared" si="217"/>
        <v>65.599999999998545</v>
      </c>
      <c r="L225">
        <f t="shared" ref="L225:N225" si="260">SUM(I212:I225)</f>
        <v>2416.1000000000058</v>
      </c>
      <c r="M225">
        <f t="shared" si="260"/>
        <v>292.69999999999709</v>
      </c>
      <c r="N225">
        <f t="shared" si="260"/>
        <v>769.79999999999927</v>
      </c>
      <c r="O225" s="7">
        <f t="shared" si="219"/>
        <v>12.114564794503389</v>
      </c>
      <c r="P225" s="7">
        <f t="shared" si="220"/>
        <v>31.861264020528846</v>
      </c>
      <c r="Q225" s="7">
        <f t="shared" si="221"/>
        <v>19.746699226025456</v>
      </c>
      <c r="R225" s="7">
        <f t="shared" si="222"/>
        <v>43.975828815032237</v>
      </c>
      <c r="S225" s="7">
        <f t="shared" si="223"/>
        <v>44.903529411765064</v>
      </c>
      <c r="T225" s="7">
        <f t="shared" si="257"/>
        <v>33.22845322570253</v>
      </c>
      <c r="U225" s="6" t="str">
        <f t="shared" si="224"/>
        <v>Strong</v>
      </c>
    </row>
    <row r="226" spans="1:21" x14ac:dyDescent="0.25">
      <c r="A226" s="1">
        <v>45148</v>
      </c>
      <c r="B226">
        <v>19605.55</v>
      </c>
      <c r="C226">
        <v>19623.599999999999</v>
      </c>
      <c r="D226">
        <v>19495.400000000001</v>
      </c>
      <c r="E226">
        <v>19543.099999999999</v>
      </c>
      <c r="F226">
        <f t="shared" si="216"/>
        <v>128.19999999999709</v>
      </c>
      <c r="G226">
        <f t="shared" si="227"/>
        <v>8.9500000000007276</v>
      </c>
      <c r="H226">
        <f t="shared" si="228"/>
        <v>137.14999999999782</v>
      </c>
      <c r="I226">
        <f t="shared" si="225"/>
        <v>137.14999999999782</v>
      </c>
      <c r="J226">
        <f t="shared" si="229"/>
        <v>0</v>
      </c>
      <c r="K226">
        <f t="shared" si="217"/>
        <v>0</v>
      </c>
      <c r="L226">
        <f t="shared" ref="L226:N226" si="261">SUM(I213:I226)</f>
        <v>2274.1000000000022</v>
      </c>
      <c r="M226">
        <f t="shared" si="261"/>
        <v>292.69999999999709</v>
      </c>
      <c r="N226">
        <f t="shared" si="261"/>
        <v>711.39999999999782</v>
      </c>
      <c r="O226" s="7">
        <f t="shared" si="219"/>
        <v>12.871025900356045</v>
      </c>
      <c r="P226" s="7">
        <f t="shared" si="220"/>
        <v>31.282705246031274</v>
      </c>
      <c r="Q226" s="7">
        <f t="shared" si="221"/>
        <v>18.411679345675228</v>
      </c>
      <c r="R226" s="7">
        <f t="shared" si="222"/>
        <v>44.153731146387315</v>
      </c>
      <c r="S226" s="7">
        <f t="shared" si="223"/>
        <v>41.69903396076117</v>
      </c>
      <c r="T226" s="7">
        <f t="shared" si="257"/>
        <v>31.755689043577451</v>
      </c>
      <c r="U226" s="6" t="str">
        <f t="shared" si="224"/>
        <v>Strong</v>
      </c>
    </row>
    <row r="227" spans="1:21" x14ac:dyDescent="0.25">
      <c r="A227" s="1">
        <v>45149</v>
      </c>
      <c r="B227">
        <v>19554.25</v>
      </c>
      <c r="C227">
        <v>19557.75</v>
      </c>
      <c r="D227">
        <v>19412.75</v>
      </c>
      <c r="E227">
        <v>19428.3</v>
      </c>
      <c r="F227">
        <f t="shared" si="216"/>
        <v>145</v>
      </c>
      <c r="G227">
        <f t="shared" si="227"/>
        <v>14.650000000001455</v>
      </c>
      <c r="H227">
        <f t="shared" si="228"/>
        <v>130.34999999999854</v>
      </c>
      <c r="I227">
        <f t="shared" si="225"/>
        <v>145</v>
      </c>
      <c r="J227">
        <f t="shared" si="229"/>
        <v>0</v>
      </c>
      <c r="K227">
        <f t="shared" si="217"/>
        <v>82.650000000001455</v>
      </c>
      <c r="L227">
        <f t="shared" ref="L227:N227" si="262">SUM(I214:I227)</f>
        <v>2294.6500000000015</v>
      </c>
      <c r="M227">
        <f t="shared" si="262"/>
        <v>292.69999999999709</v>
      </c>
      <c r="N227">
        <f t="shared" si="262"/>
        <v>752.34999999999854</v>
      </c>
      <c r="O227" s="7">
        <f t="shared" si="219"/>
        <v>12.755757958729955</v>
      </c>
      <c r="P227" s="7">
        <f t="shared" si="220"/>
        <v>32.787135292963988</v>
      </c>
      <c r="Q227" s="7">
        <f t="shared" si="221"/>
        <v>20.031377334234033</v>
      </c>
      <c r="R227" s="7">
        <f t="shared" si="222"/>
        <v>45.54289325169394</v>
      </c>
      <c r="S227" s="7">
        <f t="shared" si="223"/>
        <v>43.983541457346867</v>
      </c>
      <c r="T227" s="7">
        <f t="shared" si="257"/>
        <v>31.279046951010667</v>
      </c>
      <c r="U227" s="6" t="str">
        <f t="shared" si="224"/>
        <v>Strong</v>
      </c>
    </row>
    <row r="228" spans="1:21" x14ac:dyDescent="0.25">
      <c r="A228" s="1">
        <v>45152</v>
      </c>
      <c r="B228">
        <v>19383.95</v>
      </c>
      <c r="C228">
        <v>19465.849999999999</v>
      </c>
      <c r="D228">
        <v>19257.900000000001</v>
      </c>
      <c r="E228">
        <v>19434.55</v>
      </c>
      <c r="F228">
        <f t="shared" si="216"/>
        <v>207.94999999999709</v>
      </c>
      <c r="G228">
        <f t="shared" si="227"/>
        <v>37.549999999999272</v>
      </c>
      <c r="H228">
        <f t="shared" si="228"/>
        <v>170.39999999999782</v>
      </c>
      <c r="I228">
        <f t="shared" si="225"/>
        <v>207.94999999999709</v>
      </c>
      <c r="J228">
        <f t="shared" si="229"/>
        <v>0</v>
      </c>
      <c r="K228">
        <f t="shared" si="217"/>
        <v>154.84999999999854</v>
      </c>
      <c r="L228">
        <f t="shared" ref="L228:N228" si="263">SUM(I215:I228)</f>
        <v>2389.2000000000007</v>
      </c>
      <c r="M228">
        <f t="shared" si="263"/>
        <v>292.69999999999709</v>
      </c>
      <c r="N228">
        <f t="shared" si="263"/>
        <v>864.84999999999854</v>
      </c>
      <c r="O228" s="7">
        <f t="shared" si="219"/>
        <v>12.250962665327181</v>
      </c>
      <c r="P228" s="7">
        <f t="shared" si="220"/>
        <v>36.198309057425007</v>
      </c>
      <c r="Q228" s="7">
        <f t="shared" si="221"/>
        <v>23.947346392097828</v>
      </c>
      <c r="R228" s="7">
        <f t="shared" si="222"/>
        <v>48.449271722752187</v>
      </c>
      <c r="S228" s="7">
        <f t="shared" si="223"/>
        <v>49.427670510993359</v>
      </c>
      <c r="T228" s="7">
        <f t="shared" si="257"/>
        <v>31.691777512899119</v>
      </c>
      <c r="U228" s="6" t="str">
        <f t="shared" si="224"/>
        <v>Strong</v>
      </c>
    </row>
    <row r="229" spans="1:21" x14ac:dyDescent="0.25">
      <c r="A229" s="1">
        <v>45154</v>
      </c>
      <c r="B229">
        <v>19369</v>
      </c>
      <c r="C229">
        <v>19482.75</v>
      </c>
      <c r="D229">
        <v>19317.2</v>
      </c>
      <c r="E229">
        <v>19465</v>
      </c>
      <c r="F229">
        <f t="shared" si="216"/>
        <v>165.54999999999927</v>
      </c>
      <c r="G229">
        <f t="shared" si="227"/>
        <v>48.200000000000728</v>
      </c>
      <c r="H229">
        <f t="shared" si="228"/>
        <v>117.34999999999854</v>
      </c>
      <c r="I229">
        <f t="shared" si="225"/>
        <v>165.54999999999927</v>
      </c>
      <c r="J229">
        <f t="shared" si="229"/>
        <v>16.900000000001455</v>
      </c>
      <c r="K229">
        <f t="shared" si="217"/>
        <v>0</v>
      </c>
      <c r="L229">
        <f t="shared" ref="L229:N229" si="264">SUM(I216:I229)</f>
        <v>2409.75</v>
      </c>
      <c r="M229">
        <f t="shared" si="264"/>
        <v>213.34999999999854</v>
      </c>
      <c r="N229">
        <f t="shared" si="264"/>
        <v>864.84999999999854</v>
      </c>
      <c r="O229" s="7">
        <f t="shared" si="219"/>
        <v>8.8536155202821263</v>
      </c>
      <c r="P229" s="7">
        <f t="shared" si="220"/>
        <v>35.889615105301317</v>
      </c>
      <c r="Q229" s="7">
        <f t="shared" si="221"/>
        <v>27.035999585019191</v>
      </c>
      <c r="R229" s="7">
        <f t="shared" si="222"/>
        <v>44.743230625583443</v>
      </c>
      <c r="S229" s="7">
        <f t="shared" si="223"/>
        <v>60.424782044147818</v>
      </c>
      <c r="T229" s="7">
        <f t="shared" si="257"/>
        <v>32.865194523287428</v>
      </c>
      <c r="U229" s="6" t="str">
        <f t="shared" si="224"/>
        <v>Strong</v>
      </c>
    </row>
    <row r="230" spans="1:21" x14ac:dyDescent="0.25">
      <c r="A230" s="1">
        <v>45155</v>
      </c>
      <c r="B230">
        <v>19450.55</v>
      </c>
      <c r="C230">
        <v>19461.55</v>
      </c>
      <c r="D230">
        <v>19326.25</v>
      </c>
      <c r="E230">
        <v>19365.25</v>
      </c>
      <c r="F230">
        <f t="shared" si="216"/>
        <v>135.29999999999927</v>
      </c>
      <c r="G230">
        <f t="shared" si="227"/>
        <v>3.4500000000007276</v>
      </c>
      <c r="H230">
        <f t="shared" si="228"/>
        <v>138.75</v>
      </c>
      <c r="I230">
        <f t="shared" si="225"/>
        <v>138.75</v>
      </c>
      <c r="J230">
        <f t="shared" si="229"/>
        <v>0</v>
      </c>
      <c r="K230">
        <f t="shared" si="217"/>
        <v>0</v>
      </c>
      <c r="L230">
        <f t="shared" ref="L230:N230" si="265">SUM(I217:I230)</f>
        <v>2284.5</v>
      </c>
      <c r="M230">
        <f t="shared" si="265"/>
        <v>213.34999999999854</v>
      </c>
      <c r="N230">
        <f t="shared" si="265"/>
        <v>751.69999999999709</v>
      </c>
      <c r="O230" s="7">
        <f t="shared" si="219"/>
        <v>9.3390238564236618</v>
      </c>
      <c r="P230" s="7">
        <f t="shared" si="220"/>
        <v>32.904355438826748</v>
      </c>
      <c r="Q230" s="7">
        <f t="shared" si="221"/>
        <v>23.565331582403086</v>
      </c>
      <c r="R230" s="7">
        <f t="shared" si="222"/>
        <v>42.243379295250406</v>
      </c>
      <c r="S230" s="7">
        <f t="shared" si="223"/>
        <v>55.784674369203771</v>
      </c>
      <c r="T230" s="7">
        <f t="shared" si="257"/>
        <v>34.175939737749324</v>
      </c>
      <c r="U230" s="6" t="str">
        <f t="shared" si="224"/>
        <v>Strong</v>
      </c>
    </row>
    <row r="231" spans="1:21" x14ac:dyDescent="0.25">
      <c r="A231" s="1">
        <v>45156</v>
      </c>
      <c r="B231">
        <v>19301.75</v>
      </c>
      <c r="C231">
        <v>19373.8</v>
      </c>
      <c r="D231">
        <v>19253.599999999999</v>
      </c>
      <c r="E231">
        <v>19310.150000000001</v>
      </c>
      <c r="F231">
        <f t="shared" si="216"/>
        <v>120.20000000000073</v>
      </c>
      <c r="G231">
        <f t="shared" si="227"/>
        <v>8.5499999999992724</v>
      </c>
      <c r="H231">
        <f t="shared" si="228"/>
        <v>111.65000000000146</v>
      </c>
      <c r="I231">
        <f t="shared" si="225"/>
        <v>120.20000000000073</v>
      </c>
      <c r="J231">
        <f t="shared" si="229"/>
        <v>0</v>
      </c>
      <c r="K231">
        <f t="shared" si="217"/>
        <v>72.650000000001455</v>
      </c>
      <c r="L231">
        <f t="shared" ref="L231:N231" si="266">SUM(I218:I231)</f>
        <v>2271.8999999999978</v>
      </c>
      <c r="M231">
        <f t="shared" si="266"/>
        <v>213.34999999999854</v>
      </c>
      <c r="N231">
        <f t="shared" si="266"/>
        <v>783.89999999999782</v>
      </c>
      <c r="O231" s="7">
        <f t="shared" si="219"/>
        <v>9.390818257845801</v>
      </c>
      <c r="P231" s="7">
        <f t="shared" si="220"/>
        <v>34.504159514063055</v>
      </c>
      <c r="Q231" s="7">
        <f t="shared" si="221"/>
        <v>25.113341256217254</v>
      </c>
      <c r="R231" s="7">
        <f t="shared" si="222"/>
        <v>43.894977771908856</v>
      </c>
      <c r="S231" s="7">
        <f t="shared" si="223"/>
        <v>57.212333918275391</v>
      </c>
      <c r="T231" s="7">
        <f t="shared" si="257"/>
        <v>35.985588653314764</v>
      </c>
      <c r="U231" s="6" t="str">
        <f t="shared" si="224"/>
        <v>Strong</v>
      </c>
    </row>
    <row r="232" spans="1:21" x14ac:dyDescent="0.25">
      <c r="A232" s="1">
        <v>45159</v>
      </c>
      <c r="B232">
        <v>19320.650000000001</v>
      </c>
      <c r="C232">
        <v>19425.95</v>
      </c>
      <c r="D232">
        <v>19296.3</v>
      </c>
      <c r="E232">
        <v>19393.599999999999</v>
      </c>
      <c r="F232">
        <f t="shared" si="216"/>
        <v>129.65000000000146</v>
      </c>
      <c r="G232">
        <f t="shared" si="227"/>
        <v>115.79999999999927</v>
      </c>
      <c r="H232">
        <f t="shared" si="228"/>
        <v>13.850000000002183</v>
      </c>
      <c r="I232">
        <f t="shared" si="225"/>
        <v>129.65000000000146</v>
      </c>
      <c r="J232">
        <f t="shared" si="229"/>
        <v>52.150000000001455</v>
      </c>
      <c r="K232">
        <f t="shared" si="217"/>
        <v>0</v>
      </c>
      <c r="L232">
        <f t="shared" ref="L232:N232" si="267">SUM(I219:I232)</f>
        <v>2226.3999999999978</v>
      </c>
      <c r="M232">
        <f t="shared" si="267"/>
        <v>188.65000000000146</v>
      </c>
      <c r="N232">
        <f t="shared" si="267"/>
        <v>783.89999999999782</v>
      </c>
      <c r="O232" s="7">
        <f t="shared" si="219"/>
        <v>8.4733201581028403</v>
      </c>
      <c r="P232" s="7">
        <f t="shared" si="220"/>
        <v>35.209306503772844</v>
      </c>
      <c r="Q232" s="7">
        <f t="shared" si="221"/>
        <v>26.735986345670003</v>
      </c>
      <c r="R232" s="7">
        <f t="shared" si="222"/>
        <v>43.682626661875688</v>
      </c>
      <c r="S232" s="7">
        <f t="shared" si="223"/>
        <v>61.205079430363142</v>
      </c>
      <c r="T232" s="7">
        <f t="shared" si="257"/>
        <v>38.092135265933074</v>
      </c>
      <c r="U232" s="6" t="str">
        <f t="shared" si="224"/>
        <v>Strong</v>
      </c>
    </row>
    <row r="233" spans="1:21" x14ac:dyDescent="0.25">
      <c r="A233" s="1">
        <v>45160</v>
      </c>
      <c r="B233">
        <v>19417.099999999999</v>
      </c>
      <c r="C233">
        <v>19443.5</v>
      </c>
      <c r="D233">
        <v>19381.3</v>
      </c>
      <c r="E233">
        <v>19396.45</v>
      </c>
      <c r="F233">
        <f t="shared" si="216"/>
        <v>62.200000000000728</v>
      </c>
      <c r="G233">
        <f t="shared" si="227"/>
        <v>49.900000000001455</v>
      </c>
      <c r="H233">
        <f t="shared" si="228"/>
        <v>12.299999999999272</v>
      </c>
      <c r="I233">
        <f t="shared" si="225"/>
        <v>62.200000000000728</v>
      </c>
      <c r="J233">
        <f t="shared" si="229"/>
        <v>17.549999999999272</v>
      </c>
      <c r="K233">
        <f t="shared" si="217"/>
        <v>0</v>
      </c>
      <c r="L233">
        <f t="shared" ref="L233:N233" si="268">SUM(I220:I233)</f>
        <v>2197.5999999999985</v>
      </c>
      <c r="M233">
        <f t="shared" si="268"/>
        <v>183.35000000000218</v>
      </c>
      <c r="N233">
        <f t="shared" si="268"/>
        <v>783.89999999999782</v>
      </c>
      <c r="O233" s="7">
        <f t="shared" si="219"/>
        <v>8.3431925737168875</v>
      </c>
      <c r="P233" s="7">
        <f t="shared" si="220"/>
        <v>35.670731707316996</v>
      </c>
      <c r="Q233" s="7">
        <f t="shared" si="221"/>
        <v>27.327539133600109</v>
      </c>
      <c r="R233" s="7">
        <f t="shared" si="222"/>
        <v>44.01392428103388</v>
      </c>
      <c r="S233" s="7">
        <f t="shared" si="223"/>
        <v>62.088394934091049</v>
      </c>
      <c r="T233" s="7">
        <f t="shared" si="257"/>
        <v>39.716782145065643</v>
      </c>
      <c r="U233" s="6" t="str">
        <f t="shared" si="224"/>
        <v>Strong</v>
      </c>
    </row>
    <row r="234" spans="1:21" x14ac:dyDescent="0.25">
      <c r="A234" s="1">
        <v>45161</v>
      </c>
      <c r="B234">
        <v>19439.2</v>
      </c>
      <c r="C234">
        <v>19472.05</v>
      </c>
      <c r="D234">
        <v>19366.599999999999</v>
      </c>
      <c r="E234">
        <v>19444</v>
      </c>
      <c r="F234">
        <f t="shared" si="216"/>
        <v>105.45000000000073</v>
      </c>
      <c r="G234">
        <f t="shared" si="227"/>
        <v>75.599999999998545</v>
      </c>
      <c r="H234">
        <f t="shared" si="228"/>
        <v>29.850000000002183</v>
      </c>
      <c r="I234">
        <f t="shared" si="225"/>
        <v>105.45000000000073</v>
      </c>
      <c r="J234">
        <f t="shared" si="229"/>
        <v>28.549999999999272</v>
      </c>
      <c r="K234">
        <f t="shared" si="217"/>
        <v>0</v>
      </c>
      <c r="L234">
        <f t="shared" ref="L234:N234" si="269">SUM(I221:I234)</f>
        <v>1993.0499999999993</v>
      </c>
      <c r="M234">
        <f t="shared" si="269"/>
        <v>211.90000000000146</v>
      </c>
      <c r="N234">
        <f t="shared" si="269"/>
        <v>502.84999999999854</v>
      </c>
      <c r="O234" s="7">
        <f t="shared" si="219"/>
        <v>10.631946012393142</v>
      </c>
      <c r="P234" s="7">
        <f t="shared" si="220"/>
        <v>25.2301748576302</v>
      </c>
      <c r="Q234" s="7">
        <f t="shared" si="221"/>
        <v>14.598228845237058</v>
      </c>
      <c r="R234" s="7">
        <f t="shared" si="222"/>
        <v>35.86212087002334</v>
      </c>
      <c r="S234" s="7">
        <f t="shared" si="223"/>
        <v>40.706540748513063</v>
      </c>
      <c r="T234" s="7">
        <f t="shared" si="257"/>
        <v>42.363817144567413</v>
      </c>
      <c r="U234" s="6" t="str">
        <f t="shared" si="224"/>
        <v>Strong</v>
      </c>
    </row>
    <row r="235" spans="1:21" x14ac:dyDescent="0.25">
      <c r="A235" s="1">
        <v>45162</v>
      </c>
      <c r="B235">
        <v>19535.150000000001</v>
      </c>
      <c r="C235">
        <v>19584.45</v>
      </c>
      <c r="D235">
        <v>19369</v>
      </c>
      <c r="E235">
        <v>19386.7</v>
      </c>
      <c r="F235">
        <f t="shared" si="216"/>
        <v>215.45000000000073</v>
      </c>
      <c r="G235">
        <f t="shared" si="227"/>
        <v>140.45000000000073</v>
      </c>
      <c r="H235">
        <f t="shared" si="228"/>
        <v>75</v>
      </c>
      <c r="I235">
        <f t="shared" si="225"/>
        <v>215.45000000000073</v>
      </c>
      <c r="J235">
        <f t="shared" si="229"/>
        <v>112.40000000000146</v>
      </c>
      <c r="K235">
        <f t="shared" si="217"/>
        <v>0</v>
      </c>
      <c r="L235">
        <f t="shared" ref="L235:N235" si="270">SUM(I222:I235)</f>
        <v>1967.2999999999993</v>
      </c>
      <c r="M235">
        <f t="shared" si="270"/>
        <v>324.30000000000291</v>
      </c>
      <c r="N235">
        <f t="shared" si="270"/>
        <v>375.75</v>
      </c>
      <c r="O235" s="7">
        <f t="shared" si="219"/>
        <v>16.484521933614751</v>
      </c>
      <c r="P235" s="7">
        <f t="shared" si="220"/>
        <v>19.099781426320344</v>
      </c>
      <c r="Q235" s="7">
        <f t="shared" si="221"/>
        <v>2.6152594927055937</v>
      </c>
      <c r="R235" s="7">
        <f t="shared" si="222"/>
        <v>35.584303359935092</v>
      </c>
      <c r="S235" s="7">
        <f t="shared" si="223"/>
        <v>7.349475037496882</v>
      </c>
      <c r="T235" s="7">
        <f t="shared" si="257"/>
        <v>42.273182311253542</v>
      </c>
      <c r="U235" s="6" t="str">
        <f t="shared" si="224"/>
        <v>Strong</v>
      </c>
    </row>
    <row r="236" spans="1:21" x14ac:dyDescent="0.25">
      <c r="A236" s="1">
        <v>45163</v>
      </c>
      <c r="B236">
        <v>19297.400000000001</v>
      </c>
      <c r="C236">
        <v>19339.55</v>
      </c>
      <c r="D236">
        <v>19229.7</v>
      </c>
      <c r="E236">
        <v>19265.8</v>
      </c>
      <c r="F236">
        <f t="shared" si="216"/>
        <v>109.84999999999854</v>
      </c>
      <c r="G236">
        <f t="shared" si="227"/>
        <v>47.150000000001455</v>
      </c>
      <c r="H236">
        <f t="shared" si="228"/>
        <v>157</v>
      </c>
      <c r="I236">
        <f t="shared" si="225"/>
        <v>157</v>
      </c>
      <c r="J236">
        <f t="shared" si="229"/>
        <v>0</v>
      </c>
      <c r="K236">
        <f t="shared" si="217"/>
        <v>139.29999999999927</v>
      </c>
      <c r="L236">
        <f t="shared" ref="L236:N236" si="271">SUM(I223:I236)</f>
        <v>1967.1000000000022</v>
      </c>
      <c r="M236">
        <f t="shared" si="271"/>
        <v>323.10000000000582</v>
      </c>
      <c r="N236">
        <f t="shared" si="271"/>
        <v>515.04999999999927</v>
      </c>
      <c r="O236" s="7">
        <f t="shared" si="219"/>
        <v>16.425194448681076</v>
      </c>
      <c r="P236" s="7">
        <f t="shared" si="220"/>
        <v>26.183213868130682</v>
      </c>
      <c r="Q236" s="7">
        <f t="shared" si="221"/>
        <v>9.7580194194496066</v>
      </c>
      <c r="R236" s="7">
        <f t="shared" si="222"/>
        <v>42.608408316811762</v>
      </c>
      <c r="S236" s="7">
        <f t="shared" si="223"/>
        <v>22.901628586767554</v>
      </c>
      <c r="T236" s="7">
        <f t="shared" si="257"/>
        <v>42.389537437322453</v>
      </c>
      <c r="U236" s="6" t="str">
        <f t="shared" si="224"/>
        <v>Strong</v>
      </c>
    </row>
    <row r="237" spans="1:21" x14ac:dyDescent="0.25">
      <c r="A237" s="1">
        <v>45166</v>
      </c>
      <c r="B237">
        <v>19298.349999999999</v>
      </c>
      <c r="C237">
        <v>19366.849999999999</v>
      </c>
      <c r="D237">
        <v>19249.7</v>
      </c>
      <c r="E237">
        <v>19306.05</v>
      </c>
      <c r="F237">
        <f t="shared" si="216"/>
        <v>117.14999999999782</v>
      </c>
      <c r="G237">
        <f t="shared" si="227"/>
        <v>101.04999999999927</v>
      </c>
      <c r="H237">
        <f t="shared" si="228"/>
        <v>16.099999999998545</v>
      </c>
      <c r="I237">
        <f t="shared" si="225"/>
        <v>117.14999999999782</v>
      </c>
      <c r="J237">
        <f t="shared" si="229"/>
        <v>27.299999999999272</v>
      </c>
      <c r="K237">
        <f t="shared" si="217"/>
        <v>0</v>
      </c>
      <c r="L237">
        <f t="shared" ref="L237:N237" si="272">SUM(I224:I237)</f>
        <v>1980.7999999999993</v>
      </c>
      <c r="M237">
        <f t="shared" si="272"/>
        <v>268.80000000000291</v>
      </c>
      <c r="N237">
        <f t="shared" si="272"/>
        <v>515.04999999999927</v>
      </c>
      <c r="O237" s="7">
        <f t="shared" si="219"/>
        <v>13.570274636510652</v>
      </c>
      <c r="P237" s="7">
        <f t="shared" si="220"/>
        <v>26.002120355411929</v>
      </c>
      <c r="Q237" s="7">
        <f t="shared" si="221"/>
        <v>12.431845718901277</v>
      </c>
      <c r="R237" s="7">
        <f t="shared" si="222"/>
        <v>39.572394991922579</v>
      </c>
      <c r="S237" s="7">
        <f t="shared" si="223"/>
        <v>31.415449384448014</v>
      </c>
      <c r="T237" s="7">
        <f t="shared" si="257"/>
        <v>43.069037121791681</v>
      </c>
      <c r="U237" s="6" t="str">
        <f t="shared" si="224"/>
        <v>Strong</v>
      </c>
    </row>
    <row r="238" spans="1:21" x14ac:dyDescent="0.25">
      <c r="A238" s="1">
        <v>45167</v>
      </c>
      <c r="B238">
        <v>19374.849999999999</v>
      </c>
      <c r="C238">
        <v>19377.900000000001</v>
      </c>
      <c r="D238">
        <v>19309.099999999999</v>
      </c>
      <c r="E238">
        <v>19342.650000000001</v>
      </c>
      <c r="F238">
        <f t="shared" si="216"/>
        <v>68.80000000000291</v>
      </c>
      <c r="G238">
        <f t="shared" si="227"/>
        <v>71.850000000002183</v>
      </c>
      <c r="H238">
        <f t="shared" si="228"/>
        <v>3.0499999999992724</v>
      </c>
      <c r="I238">
        <f t="shared" si="225"/>
        <v>71.850000000002183</v>
      </c>
      <c r="J238">
        <f t="shared" si="229"/>
        <v>11.05000000000291</v>
      </c>
      <c r="K238">
        <f t="shared" si="217"/>
        <v>0</v>
      </c>
      <c r="L238">
        <f t="shared" ref="L238:N238" si="273">SUM(I225:I238)</f>
        <v>1951.3499999999985</v>
      </c>
      <c r="M238">
        <f t="shared" si="273"/>
        <v>265.90000000000509</v>
      </c>
      <c r="N238">
        <f t="shared" si="273"/>
        <v>515.04999999999927</v>
      </c>
      <c r="O238" s="7">
        <f t="shared" si="219"/>
        <v>13.626463730238312</v>
      </c>
      <c r="P238" s="7">
        <f t="shared" si="220"/>
        <v>26.394547364644971</v>
      </c>
      <c r="Q238" s="7">
        <f t="shared" si="221"/>
        <v>12.768083634406659</v>
      </c>
      <c r="R238" s="7">
        <f t="shared" si="222"/>
        <v>40.021011094883285</v>
      </c>
      <c r="S238" s="7">
        <f t="shared" si="223"/>
        <v>31.903450925154331</v>
      </c>
      <c r="T238" s="7">
        <f t="shared" si="257"/>
        <v>43.643256051380533</v>
      </c>
      <c r="U238" s="6" t="str">
        <f t="shared" si="224"/>
        <v>Strong</v>
      </c>
    </row>
    <row r="239" spans="1:21" x14ac:dyDescent="0.25">
      <c r="A239" s="1">
        <v>45168</v>
      </c>
      <c r="B239">
        <v>19433.45</v>
      </c>
      <c r="C239">
        <v>19452.8</v>
      </c>
      <c r="D239">
        <v>19334.75</v>
      </c>
      <c r="E239">
        <v>19347.45</v>
      </c>
      <c r="F239">
        <f t="shared" si="216"/>
        <v>118.04999999999927</v>
      </c>
      <c r="G239">
        <f t="shared" si="227"/>
        <v>110.14999999999782</v>
      </c>
      <c r="H239">
        <f t="shared" si="228"/>
        <v>7.9000000000014552</v>
      </c>
      <c r="I239">
        <f t="shared" si="225"/>
        <v>118.04999999999927</v>
      </c>
      <c r="J239">
        <f t="shared" si="229"/>
        <v>74.899999999997817</v>
      </c>
      <c r="K239">
        <f t="shared" si="217"/>
        <v>0</v>
      </c>
      <c r="L239">
        <f t="shared" ref="L239:N239" si="274">SUM(I226:I239)</f>
        <v>1891.3999999999978</v>
      </c>
      <c r="M239">
        <f t="shared" si="274"/>
        <v>340.80000000000291</v>
      </c>
      <c r="N239">
        <f t="shared" si="274"/>
        <v>449.45000000000073</v>
      </c>
      <c r="O239" s="7">
        <f t="shared" si="219"/>
        <v>18.018399069472522</v>
      </c>
      <c r="P239" s="7">
        <f t="shared" si="220"/>
        <v>23.762821190652492</v>
      </c>
      <c r="Q239" s="7">
        <f t="shared" si="221"/>
        <v>5.7444221211799693</v>
      </c>
      <c r="R239" s="7">
        <f t="shared" si="222"/>
        <v>41.781220260125011</v>
      </c>
      <c r="S239" s="7">
        <f t="shared" si="223"/>
        <v>13.748813666560878</v>
      </c>
      <c r="T239" s="7">
        <f t="shared" si="257"/>
        <v>41.417919212437376</v>
      </c>
      <c r="U239" s="6" t="str">
        <f t="shared" si="224"/>
        <v>Strong</v>
      </c>
    </row>
    <row r="240" spans="1:21" x14ac:dyDescent="0.25">
      <c r="A240" s="1">
        <v>45169</v>
      </c>
      <c r="B240">
        <v>19375.55</v>
      </c>
      <c r="C240">
        <v>19388.2</v>
      </c>
      <c r="D240">
        <v>19223.650000000001</v>
      </c>
      <c r="E240">
        <v>19253.8</v>
      </c>
      <c r="F240">
        <f t="shared" si="216"/>
        <v>164.54999999999927</v>
      </c>
      <c r="G240">
        <f t="shared" si="227"/>
        <v>40.75</v>
      </c>
      <c r="H240">
        <f t="shared" si="228"/>
        <v>123.79999999999927</v>
      </c>
      <c r="I240">
        <f t="shared" si="225"/>
        <v>164.54999999999927</v>
      </c>
      <c r="J240">
        <f t="shared" si="229"/>
        <v>0</v>
      </c>
      <c r="K240">
        <f t="shared" si="217"/>
        <v>111.09999999999854</v>
      </c>
      <c r="L240">
        <f t="shared" ref="L240:N240" si="275">SUM(I227:I240)</f>
        <v>1918.7999999999993</v>
      </c>
      <c r="M240">
        <f t="shared" si="275"/>
        <v>340.80000000000291</v>
      </c>
      <c r="N240">
        <f t="shared" si="275"/>
        <v>560.54999999999927</v>
      </c>
      <c r="O240" s="7">
        <f t="shared" si="219"/>
        <v>17.761100687930114</v>
      </c>
      <c r="P240" s="7">
        <f t="shared" si="220"/>
        <v>29.21357098186364</v>
      </c>
      <c r="Q240" s="7">
        <f t="shared" si="221"/>
        <v>11.452470293933526</v>
      </c>
      <c r="R240" s="7">
        <f t="shared" si="222"/>
        <v>46.97467166979375</v>
      </c>
      <c r="S240" s="7">
        <f t="shared" si="223"/>
        <v>24.380096521883384</v>
      </c>
      <c r="T240" s="7">
        <f t="shared" si="257"/>
        <v>40.180852252517539</v>
      </c>
      <c r="U240" s="6" t="str">
        <f t="shared" si="224"/>
        <v>Strong</v>
      </c>
    </row>
    <row r="241" spans="1:21" x14ac:dyDescent="0.25">
      <c r="A241" s="1">
        <v>45170</v>
      </c>
      <c r="B241">
        <v>19258.150000000001</v>
      </c>
      <c r="C241">
        <v>19458.55</v>
      </c>
      <c r="D241">
        <v>19255.7</v>
      </c>
      <c r="E241">
        <v>19435.3</v>
      </c>
      <c r="F241">
        <f t="shared" si="216"/>
        <v>202.84999999999854</v>
      </c>
      <c r="G241">
        <f t="shared" si="227"/>
        <v>204.75</v>
      </c>
      <c r="H241">
        <f t="shared" si="228"/>
        <v>1.9000000000014552</v>
      </c>
      <c r="I241">
        <f t="shared" si="225"/>
        <v>204.75</v>
      </c>
      <c r="J241">
        <f t="shared" si="229"/>
        <v>70.349999999998545</v>
      </c>
      <c r="K241">
        <f t="shared" si="217"/>
        <v>0</v>
      </c>
      <c r="L241">
        <f t="shared" ref="L241:N241" si="276">SUM(I228:I241)</f>
        <v>1978.5499999999993</v>
      </c>
      <c r="M241">
        <f t="shared" si="276"/>
        <v>411.15000000000146</v>
      </c>
      <c r="N241">
        <f t="shared" si="276"/>
        <v>477.89999999999782</v>
      </c>
      <c r="O241" s="7">
        <f t="shared" si="219"/>
        <v>20.780369462485236</v>
      </c>
      <c r="P241" s="7">
        <f t="shared" si="220"/>
        <v>24.154052209951633</v>
      </c>
      <c r="Q241" s="7">
        <f t="shared" si="221"/>
        <v>3.3736827474663968</v>
      </c>
      <c r="R241" s="7">
        <f t="shared" si="222"/>
        <v>44.934421672436869</v>
      </c>
      <c r="S241" s="7">
        <f t="shared" si="223"/>
        <v>7.508014172430844</v>
      </c>
      <c r="T241" s="7">
        <f t="shared" si="257"/>
        <v>37.575457446452113</v>
      </c>
      <c r="U241" s="6" t="str">
        <f t="shared" si="224"/>
        <v>Strong</v>
      </c>
    </row>
    <row r="242" spans="1:21" x14ac:dyDescent="0.25">
      <c r="A242" s="1">
        <v>45173</v>
      </c>
      <c r="B242">
        <v>19525.05</v>
      </c>
      <c r="C242">
        <v>19545.150000000001</v>
      </c>
      <c r="D242">
        <v>19432.849999999999</v>
      </c>
      <c r="E242">
        <v>19528.8</v>
      </c>
      <c r="F242">
        <f t="shared" si="216"/>
        <v>112.30000000000291</v>
      </c>
      <c r="G242">
        <f t="shared" si="227"/>
        <v>109.85000000000218</v>
      </c>
      <c r="H242">
        <f t="shared" si="228"/>
        <v>2.4500000000007276</v>
      </c>
      <c r="I242">
        <f t="shared" si="225"/>
        <v>112.30000000000291</v>
      </c>
      <c r="J242">
        <f t="shared" si="229"/>
        <v>86.600000000002183</v>
      </c>
      <c r="K242">
        <f t="shared" si="217"/>
        <v>0</v>
      </c>
      <c r="L242">
        <f t="shared" ref="L242:N242" si="277">SUM(I229:I242)</f>
        <v>1882.9000000000051</v>
      </c>
      <c r="M242">
        <f t="shared" si="277"/>
        <v>497.75000000000364</v>
      </c>
      <c r="N242">
        <f t="shared" si="277"/>
        <v>323.04999999999927</v>
      </c>
      <c r="O242" s="7">
        <f t="shared" si="219"/>
        <v>26.435285995007824</v>
      </c>
      <c r="P242" s="7">
        <f t="shared" si="220"/>
        <v>17.157044983801498</v>
      </c>
      <c r="Q242" s="7">
        <f t="shared" si="221"/>
        <v>9.278241011206326</v>
      </c>
      <c r="R242" s="7">
        <f t="shared" si="222"/>
        <v>43.592330978809322</v>
      </c>
      <c r="S242" s="7">
        <f t="shared" si="223"/>
        <v>21.284113060429309</v>
      </c>
      <c r="T242" s="7">
        <f t="shared" si="257"/>
        <v>35.565203342840391</v>
      </c>
      <c r="U242" s="6" t="str">
        <f t="shared" si="224"/>
        <v>Strong</v>
      </c>
    </row>
    <row r="243" spans="1:21" x14ac:dyDescent="0.25">
      <c r="A243" s="1">
        <v>45174</v>
      </c>
      <c r="B243">
        <v>19564.650000000001</v>
      </c>
      <c r="C243">
        <v>19587.05</v>
      </c>
      <c r="D243">
        <v>19525.75</v>
      </c>
      <c r="E243">
        <v>19574.900000000001</v>
      </c>
      <c r="F243">
        <f t="shared" si="216"/>
        <v>61.299999999999272</v>
      </c>
      <c r="G243">
        <f t="shared" si="227"/>
        <v>58.25</v>
      </c>
      <c r="H243">
        <f t="shared" si="228"/>
        <v>3.0499999999992724</v>
      </c>
      <c r="I243">
        <f t="shared" si="225"/>
        <v>61.299999999999272</v>
      </c>
      <c r="J243">
        <f t="shared" si="229"/>
        <v>41.899999999997817</v>
      </c>
      <c r="K243">
        <f t="shared" si="217"/>
        <v>0</v>
      </c>
      <c r="L243">
        <f t="shared" ref="L243:N243" si="278">SUM(I230:I243)</f>
        <v>1778.6500000000051</v>
      </c>
      <c r="M243">
        <f t="shared" si="278"/>
        <v>522.75</v>
      </c>
      <c r="N243">
        <f t="shared" si="278"/>
        <v>323.04999999999927</v>
      </c>
      <c r="O243" s="7">
        <f t="shared" si="219"/>
        <v>29.390267899811573</v>
      </c>
      <c r="P243" s="7">
        <f t="shared" si="220"/>
        <v>18.162651449132678</v>
      </c>
      <c r="Q243" s="7">
        <f t="shared" si="221"/>
        <v>11.227616450678894</v>
      </c>
      <c r="R243" s="7">
        <f t="shared" si="222"/>
        <v>47.552919348944251</v>
      </c>
      <c r="S243" s="7">
        <f t="shared" si="223"/>
        <v>23.610782690943591</v>
      </c>
      <c r="T243" s="7">
        <f t="shared" si="257"/>
        <v>32.935631960468655</v>
      </c>
      <c r="U243" s="6" t="str">
        <f t="shared" si="224"/>
        <v>Strong</v>
      </c>
    </row>
    <row r="244" spans="1:21" x14ac:dyDescent="0.25">
      <c r="A244" s="1">
        <v>45175</v>
      </c>
      <c r="B244">
        <v>19581.2</v>
      </c>
      <c r="C244">
        <v>19636.45</v>
      </c>
      <c r="D244">
        <v>19491.5</v>
      </c>
      <c r="E244">
        <v>19611.05</v>
      </c>
      <c r="F244">
        <f t="shared" si="216"/>
        <v>144.95000000000073</v>
      </c>
      <c r="G244">
        <f t="shared" si="227"/>
        <v>61.549999999999272</v>
      </c>
      <c r="H244">
        <f t="shared" si="228"/>
        <v>83.400000000001455</v>
      </c>
      <c r="I244">
        <f t="shared" si="225"/>
        <v>144.95000000000073</v>
      </c>
      <c r="J244">
        <f t="shared" si="229"/>
        <v>49.400000000001455</v>
      </c>
      <c r="K244">
        <f t="shared" si="217"/>
        <v>0</v>
      </c>
      <c r="L244">
        <f t="shared" ref="L244:N244" si="279">SUM(I231:I244)</f>
        <v>1784.8500000000058</v>
      </c>
      <c r="M244">
        <f t="shared" si="279"/>
        <v>572.15000000000146</v>
      </c>
      <c r="N244">
        <f t="shared" si="279"/>
        <v>323.04999999999927</v>
      </c>
      <c r="O244" s="7">
        <f t="shared" si="219"/>
        <v>32.055915062890413</v>
      </c>
      <c r="P244" s="7">
        <f t="shared" si="220"/>
        <v>18.099560187130471</v>
      </c>
      <c r="Q244" s="7">
        <f t="shared" si="221"/>
        <v>13.956354875759942</v>
      </c>
      <c r="R244" s="7">
        <f t="shared" si="222"/>
        <v>50.155475250020885</v>
      </c>
      <c r="S244" s="7">
        <f t="shared" si="223"/>
        <v>27.826184092940341</v>
      </c>
      <c r="T244" s="7">
        <f t="shared" si="257"/>
        <v>30.938596940735557</v>
      </c>
      <c r="U244" s="6" t="str">
        <f t="shared" si="224"/>
        <v>Strong</v>
      </c>
    </row>
    <row r="245" spans="1:21" x14ac:dyDescent="0.25">
      <c r="A245" s="1">
        <v>45176</v>
      </c>
      <c r="B245">
        <v>19598.650000000001</v>
      </c>
      <c r="C245">
        <v>19737</v>
      </c>
      <c r="D245">
        <v>19550.05</v>
      </c>
      <c r="E245">
        <v>19727.05</v>
      </c>
      <c r="F245">
        <f t="shared" si="216"/>
        <v>186.95000000000073</v>
      </c>
      <c r="G245">
        <f t="shared" si="227"/>
        <v>125.95000000000073</v>
      </c>
      <c r="H245">
        <f t="shared" si="228"/>
        <v>61</v>
      </c>
      <c r="I245">
        <f t="shared" si="225"/>
        <v>186.95000000000073</v>
      </c>
      <c r="J245">
        <f t="shared" si="229"/>
        <v>100.54999999999927</v>
      </c>
      <c r="K245">
        <f t="shared" si="217"/>
        <v>0</v>
      </c>
      <c r="L245">
        <f t="shared" ref="L245:N245" si="280">SUM(I232:I245)</f>
        <v>1851.6000000000058</v>
      </c>
      <c r="M245">
        <f t="shared" si="280"/>
        <v>672.70000000000073</v>
      </c>
      <c r="N245">
        <f t="shared" si="280"/>
        <v>250.39999999999782</v>
      </c>
      <c r="O245" s="7">
        <f t="shared" si="219"/>
        <v>36.330740980773314</v>
      </c>
      <c r="P245" s="7">
        <f t="shared" si="220"/>
        <v>13.523439187729371</v>
      </c>
      <c r="Q245" s="7">
        <f t="shared" si="221"/>
        <v>22.807301793043941</v>
      </c>
      <c r="R245" s="7">
        <f t="shared" si="222"/>
        <v>49.854180168502687</v>
      </c>
      <c r="S245" s="7">
        <f t="shared" si="223"/>
        <v>45.748022966092897</v>
      </c>
      <c r="T245" s="7">
        <f t="shared" si="257"/>
        <v>30.119717587008235</v>
      </c>
      <c r="U245" s="6" t="str">
        <f t="shared" si="224"/>
        <v>Strong</v>
      </c>
    </row>
    <row r="246" spans="1:21" x14ac:dyDescent="0.25">
      <c r="A246" s="1">
        <v>45177</v>
      </c>
      <c r="B246">
        <v>19774.8</v>
      </c>
      <c r="C246">
        <v>19867.150000000001</v>
      </c>
      <c r="D246">
        <v>19727.05</v>
      </c>
      <c r="E246">
        <v>19819.95</v>
      </c>
      <c r="F246">
        <f t="shared" si="216"/>
        <v>140.10000000000218</v>
      </c>
      <c r="G246">
        <f t="shared" si="227"/>
        <v>140.10000000000218</v>
      </c>
      <c r="H246">
        <f t="shared" si="228"/>
        <v>0</v>
      </c>
      <c r="I246">
        <f t="shared" si="225"/>
        <v>140.10000000000218</v>
      </c>
      <c r="J246">
        <f t="shared" si="229"/>
        <v>130.15000000000146</v>
      </c>
      <c r="K246">
        <f t="shared" si="217"/>
        <v>0</v>
      </c>
      <c r="L246">
        <f t="shared" ref="L246:N246" si="281">SUM(I233:I246)</f>
        <v>1862.0500000000065</v>
      </c>
      <c r="M246">
        <f t="shared" si="281"/>
        <v>750.70000000000073</v>
      </c>
      <c r="N246">
        <f t="shared" si="281"/>
        <v>250.39999999999782</v>
      </c>
      <c r="O246" s="7">
        <f t="shared" si="219"/>
        <v>40.315780994065577</v>
      </c>
      <c r="P246" s="7">
        <f t="shared" si="220"/>
        <v>13.447544373136969</v>
      </c>
      <c r="Q246" s="7">
        <f t="shared" si="221"/>
        <v>26.868236620928606</v>
      </c>
      <c r="R246" s="7">
        <f t="shared" si="222"/>
        <v>53.763325367202548</v>
      </c>
      <c r="S246" s="7">
        <f t="shared" si="223"/>
        <v>49.975027469783598</v>
      </c>
      <c r="T246" s="7">
        <f t="shared" si="257"/>
        <v>29.317571018395409</v>
      </c>
      <c r="U246" s="6" t="str">
        <f t="shared" si="224"/>
        <v>Weak</v>
      </c>
    </row>
    <row r="247" spans="1:21" x14ac:dyDescent="0.25">
      <c r="A247" s="1">
        <v>45180</v>
      </c>
      <c r="B247">
        <v>19890</v>
      </c>
      <c r="C247">
        <v>20008.150000000001</v>
      </c>
      <c r="D247">
        <v>19865.349999999999</v>
      </c>
      <c r="E247">
        <v>19996.349999999999</v>
      </c>
      <c r="F247">
        <f t="shared" si="216"/>
        <v>142.80000000000291</v>
      </c>
      <c r="G247">
        <f t="shared" si="227"/>
        <v>188.20000000000073</v>
      </c>
      <c r="H247">
        <f t="shared" si="228"/>
        <v>45.399999999997817</v>
      </c>
      <c r="I247">
        <f t="shared" si="225"/>
        <v>188.20000000000073</v>
      </c>
      <c r="J247">
        <f t="shared" si="229"/>
        <v>141</v>
      </c>
      <c r="K247">
        <f t="shared" si="217"/>
        <v>0</v>
      </c>
      <c r="L247">
        <f t="shared" ref="L247:N247" si="282">SUM(I234:I247)</f>
        <v>1988.0500000000065</v>
      </c>
      <c r="M247">
        <f t="shared" si="282"/>
        <v>874.15000000000146</v>
      </c>
      <c r="N247">
        <f t="shared" si="282"/>
        <v>250.39999999999782</v>
      </c>
      <c r="O247" s="7">
        <f t="shared" si="219"/>
        <v>43.970222076909465</v>
      </c>
      <c r="P247" s="7">
        <f t="shared" si="220"/>
        <v>12.595256658534593</v>
      </c>
      <c r="Q247" s="7">
        <f t="shared" si="221"/>
        <v>31.37496541837487</v>
      </c>
      <c r="R247" s="7">
        <f t="shared" si="222"/>
        <v>56.56547873544406</v>
      </c>
      <c r="S247" s="7">
        <f t="shared" si="223"/>
        <v>55.466631096883553</v>
      </c>
      <c r="T247" s="7">
        <f t="shared" si="257"/>
        <v>28.844587887166302</v>
      </c>
      <c r="U247" s="6" t="str">
        <f t="shared" si="224"/>
        <v>Weak</v>
      </c>
    </row>
    <row r="248" spans="1:21" x14ac:dyDescent="0.25">
      <c r="A248" s="1">
        <v>45181</v>
      </c>
      <c r="B248">
        <v>20110.150000000001</v>
      </c>
      <c r="C248">
        <v>20110.349999999999</v>
      </c>
      <c r="D248">
        <v>19914.650000000001</v>
      </c>
      <c r="E248">
        <v>19993.2</v>
      </c>
      <c r="F248">
        <f t="shared" si="216"/>
        <v>195.69999999999709</v>
      </c>
      <c r="G248">
        <f t="shared" si="227"/>
        <v>114</v>
      </c>
      <c r="H248">
        <f t="shared" si="228"/>
        <v>81.69999999999709</v>
      </c>
      <c r="I248">
        <f t="shared" si="225"/>
        <v>195.69999999999709</v>
      </c>
      <c r="J248">
        <f t="shared" si="229"/>
        <v>102.19999999999709</v>
      </c>
      <c r="K248">
        <f t="shared" si="217"/>
        <v>0</v>
      </c>
      <c r="L248">
        <f t="shared" ref="L248:N248" si="283">SUM(I235:I248)</f>
        <v>2078.3000000000029</v>
      </c>
      <c r="M248">
        <f t="shared" si="283"/>
        <v>947.79999999999927</v>
      </c>
      <c r="N248">
        <f t="shared" si="283"/>
        <v>250.39999999999782</v>
      </c>
      <c r="O248" s="7">
        <f t="shared" si="219"/>
        <v>45.60458066689111</v>
      </c>
      <c r="P248" s="7">
        <f t="shared" si="220"/>
        <v>12.048308713852546</v>
      </c>
      <c r="Q248" s="7">
        <f t="shared" si="221"/>
        <v>33.556271953038561</v>
      </c>
      <c r="R248" s="7">
        <f t="shared" si="222"/>
        <v>57.652889380743659</v>
      </c>
      <c r="S248" s="7">
        <f t="shared" si="223"/>
        <v>58.203972625605324</v>
      </c>
      <c r="T248" s="7">
        <f t="shared" si="257"/>
        <v>30.094404449815748</v>
      </c>
      <c r="U248" s="6" t="str">
        <f t="shared" si="224"/>
        <v>Strong</v>
      </c>
    </row>
    <row r="249" spans="1:21" x14ac:dyDescent="0.25">
      <c r="A249" s="1">
        <v>45182</v>
      </c>
      <c r="B249">
        <v>19989.5</v>
      </c>
      <c r="C249">
        <v>20096.900000000001</v>
      </c>
      <c r="D249">
        <v>19944.099999999999</v>
      </c>
      <c r="E249">
        <v>20070</v>
      </c>
      <c r="F249">
        <f t="shared" si="216"/>
        <v>152.80000000000291</v>
      </c>
      <c r="G249">
        <f t="shared" si="227"/>
        <v>103.70000000000073</v>
      </c>
      <c r="H249">
        <f t="shared" si="228"/>
        <v>49.100000000002183</v>
      </c>
      <c r="I249">
        <f t="shared" si="225"/>
        <v>152.80000000000291</v>
      </c>
      <c r="J249">
        <f t="shared" si="229"/>
        <v>0</v>
      </c>
      <c r="K249">
        <f t="shared" si="217"/>
        <v>0</v>
      </c>
      <c r="L249">
        <f t="shared" ref="L249:N249" si="284">SUM(I236:I249)</f>
        <v>2015.6500000000051</v>
      </c>
      <c r="M249">
        <f t="shared" si="284"/>
        <v>835.39999999999782</v>
      </c>
      <c r="N249">
        <f t="shared" si="284"/>
        <v>250.39999999999782</v>
      </c>
      <c r="O249" s="7">
        <f t="shared" si="219"/>
        <v>41.445687495348679</v>
      </c>
      <c r="P249" s="7">
        <f t="shared" si="220"/>
        <v>12.422791655297159</v>
      </c>
      <c r="Q249" s="7">
        <f t="shared" si="221"/>
        <v>29.022895840051518</v>
      </c>
      <c r="R249" s="7">
        <f t="shared" si="222"/>
        <v>53.86847915064584</v>
      </c>
      <c r="S249" s="7">
        <f t="shared" si="223"/>
        <v>53.877325474304868</v>
      </c>
      <c r="T249" s="7">
        <f t="shared" si="257"/>
        <v>33.417822338159176</v>
      </c>
      <c r="U249" s="6" t="str">
        <f t="shared" si="224"/>
        <v>Strong</v>
      </c>
    </row>
    <row r="499" spans="3:8" ht="15.6" x14ac:dyDescent="0.25">
      <c r="C499" s="2"/>
      <c r="D499" s="2"/>
      <c r="E499" s="2"/>
      <c r="F499" s="2"/>
      <c r="G499" s="2"/>
      <c r="H499" s="2"/>
    </row>
    <row r="748" spans="3:8" ht="15.6" x14ac:dyDescent="0.25">
      <c r="C748" s="2"/>
      <c r="D748" s="2"/>
      <c r="E748" s="2"/>
      <c r="F748" s="2"/>
      <c r="G748" s="2"/>
      <c r="H748" s="2"/>
    </row>
    <row r="997" spans="3:8" ht="15.6" x14ac:dyDescent="0.25">
      <c r="C997" s="2"/>
      <c r="D997" s="2"/>
      <c r="E997" s="2"/>
      <c r="F997" s="2"/>
      <c r="G997" s="2"/>
      <c r="H997" s="2"/>
    </row>
    <row r="1246" spans="3:8" ht="15.6" x14ac:dyDescent="0.25">
      <c r="C1246" s="2"/>
      <c r="D1246" s="2"/>
      <c r="E1246" s="2"/>
      <c r="F1246" s="2"/>
      <c r="G1246" s="2"/>
      <c r="H1246" s="2"/>
    </row>
    <row r="1495" spans="3:8" ht="15.6" x14ac:dyDescent="0.25">
      <c r="C1495" s="2"/>
      <c r="D1495" s="2"/>
      <c r="E1495" s="2"/>
      <c r="F1495" s="2"/>
      <c r="G1495" s="2"/>
      <c r="H1495" s="2"/>
    </row>
    <row r="1744" spans="3:8" ht="15.6" x14ac:dyDescent="0.25">
      <c r="C1744" s="2"/>
      <c r="D1744" s="2"/>
      <c r="E1744" s="2"/>
      <c r="F1744" s="2"/>
      <c r="G1744" s="2"/>
      <c r="H1744" s="2"/>
    </row>
    <row r="1993" spans="3:8" ht="15.6" x14ac:dyDescent="0.25">
      <c r="C1993" s="2"/>
      <c r="D1993" s="2"/>
      <c r="E1993" s="2"/>
      <c r="F1993" s="2"/>
      <c r="G1993" s="2"/>
      <c r="H1993" s="2"/>
    </row>
    <row r="2242" spans="3:8" ht="15.6" x14ac:dyDescent="0.25">
      <c r="C2242" s="2"/>
      <c r="D2242" s="2"/>
      <c r="E2242" s="2"/>
      <c r="F2242" s="2"/>
      <c r="G2242" s="2"/>
      <c r="H2242" s="2"/>
    </row>
    <row r="2491" spans="3:8" ht="15.6" x14ac:dyDescent="0.25">
      <c r="C2491" s="2"/>
      <c r="D2491" s="2"/>
      <c r="E2491" s="2"/>
      <c r="F2491" s="2"/>
      <c r="G2491" s="2"/>
      <c r="H2491" s="2"/>
    </row>
    <row r="2740" spans="3:8" ht="15.6" x14ac:dyDescent="0.25">
      <c r="C2740" s="2"/>
      <c r="D2740" s="2"/>
      <c r="E2740" s="2"/>
      <c r="F2740" s="2"/>
      <c r="G2740" s="2"/>
      <c r="H2740" s="2"/>
    </row>
    <row r="2989" spans="3:8" ht="15.6" x14ac:dyDescent="0.25">
      <c r="C2989" s="2"/>
      <c r="D2989" s="2"/>
      <c r="E2989" s="2"/>
      <c r="F2989" s="2"/>
      <c r="G2989" s="2"/>
      <c r="H2989" s="2"/>
    </row>
    <row r="3238" spans="3:8" ht="15.6" x14ac:dyDescent="0.25">
      <c r="C3238" s="2"/>
      <c r="D3238" s="2"/>
      <c r="E3238" s="2"/>
      <c r="F3238" s="2"/>
      <c r="G3238" s="2"/>
      <c r="H3238" s="2"/>
    </row>
    <row r="3487" spans="3:8" ht="15.6" x14ac:dyDescent="0.25">
      <c r="C3487" s="2"/>
      <c r="D3487" s="2"/>
      <c r="E3487" s="2"/>
      <c r="F3487" s="2"/>
      <c r="G3487" s="2"/>
      <c r="H3487" s="2"/>
    </row>
    <row r="3736" spans="3:8" ht="15.6" x14ac:dyDescent="0.25">
      <c r="C3736" s="2"/>
      <c r="D3736" s="2"/>
      <c r="E3736" s="2"/>
      <c r="F3736" s="2"/>
      <c r="G3736" s="2"/>
      <c r="H3736" s="2"/>
    </row>
    <row r="3985" spans="3:8" ht="15.6" x14ac:dyDescent="0.25">
      <c r="C3985" s="2"/>
      <c r="D3985" s="2"/>
      <c r="E3985" s="2"/>
      <c r="F3985" s="2"/>
      <c r="G3985" s="2"/>
      <c r="H3985" s="2"/>
    </row>
    <row r="4234" spans="3:8" ht="15.6" x14ac:dyDescent="0.25">
      <c r="C4234" s="2"/>
      <c r="D4234" s="2"/>
      <c r="E4234" s="2"/>
      <c r="F4234" s="2"/>
      <c r="G4234" s="2"/>
      <c r="H4234" s="2"/>
    </row>
    <row r="4483" spans="3:8" ht="15.6" x14ac:dyDescent="0.25">
      <c r="C4483" s="2"/>
      <c r="D4483" s="2"/>
      <c r="E4483" s="2"/>
      <c r="F4483" s="2"/>
      <c r="G4483" s="2"/>
      <c r="H4483" s="2"/>
    </row>
    <row r="4732" spans="3:8" ht="15.6" x14ac:dyDescent="0.25">
      <c r="C4732" s="2"/>
      <c r="D4732" s="2"/>
      <c r="E4732" s="2"/>
      <c r="F4732" s="2"/>
      <c r="G4732" s="2"/>
      <c r="H4732" s="2"/>
    </row>
    <row r="4981" spans="3:8" ht="15.6" x14ac:dyDescent="0.25">
      <c r="C4981" s="2"/>
      <c r="D4981" s="2"/>
      <c r="E4981" s="2"/>
      <c r="F4981" s="2"/>
      <c r="G4981" s="2"/>
      <c r="H4981" s="2"/>
    </row>
    <row r="5230" spans="3:8" ht="15.6" x14ac:dyDescent="0.25">
      <c r="C5230" s="2"/>
      <c r="D5230" s="2"/>
      <c r="E5230" s="2"/>
      <c r="F5230" s="2"/>
      <c r="G5230" s="2"/>
      <c r="H5230" s="2"/>
    </row>
    <row r="5479" spans="3:8" ht="15.6" x14ac:dyDescent="0.25">
      <c r="C5479" s="2"/>
      <c r="D5479" s="2"/>
      <c r="E5479" s="2"/>
      <c r="F5479" s="2"/>
      <c r="G5479" s="2"/>
      <c r="H5479" s="2"/>
    </row>
    <row r="5728" spans="3:8" ht="15.6" x14ac:dyDescent="0.25">
      <c r="C5728" s="2"/>
      <c r="D5728" s="2"/>
      <c r="E5728" s="2"/>
      <c r="F5728" s="2"/>
      <c r="G5728" s="2"/>
      <c r="H5728" s="2"/>
    </row>
    <row r="5977" spans="3:8" ht="15.6" x14ac:dyDescent="0.25">
      <c r="C5977" s="2"/>
      <c r="D5977" s="2"/>
      <c r="E5977" s="2"/>
      <c r="F5977" s="2"/>
      <c r="G5977" s="2"/>
      <c r="H5977" s="2"/>
    </row>
    <row r="6226" spans="3:8" ht="15.6" x14ac:dyDescent="0.25">
      <c r="C6226" s="2"/>
      <c r="D6226" s="2"/>
      <c r="E6226" s="2"/>
      <c r="F6226" s="2"/>
      <c r="G6226" s="2"/>
      <c r="H6226" s="2"/>
    </row>
    <row r="6475" spans="3:8" ht="15.6" x14ac:dyDescent="0.25">
      <c r="C6475" s="2"/>
      <c r="D6475" s="2"/>
      <c r="E6475" s="2"/>
      <c r="F6475" s="2"/>
      <c r="G6475" s="2"/>
      <c r="H6475" s="2"/>
    </row>
    <row r="6724" spans="3:8" ht="15.6" x14ac:dyDescent="0.25">
      <c r="C6724" s="2"/>
      <c r="D6724" s="2"/>
      <c r="E6724" s="2"/>
      <c r="F6724" s="2"/>
      <c r="G6724" s="2"/>
      <c r="H6724" s="2"/>
    </row>
    <row r="6973" spans="3:8" ht="15.6" x14ac:dyDescent="0.25">
      <c r="C6973" s="2"/>
      <c r="D6973" s="2"/>
      <c r="E6973" s="2"/>
      <c r="F6973" s="2"/>
      <c r="G6973" s="2"/>
      <c r="H6973" s="2"/>
    </row>
    <row r="7222" spans="3:8" ht="15.6" x14ac:dyDescent="0.25">
      <c r="C7222" s="2"/>
      <c r="D7222" s="2"/>
      <c r="E7222" s="2"/>
      <c r="F7222" s="2"/>
      <c r="G7222" s="2"/>
      <c r="H7222" s="2"/>
    </row>
    <row r="7471" spans="3:8" ht="15.6" x14ac:dyDescent="0.25">
      <c r="C7471" s="2"/>
      <c r="D7471" s="2"/>
      <c r="E7471" s="2"/>
      <c r="F7471" s="2"/>
      <c r="G7471" s="2"/>
      <c r="H7471" s="2"/>
    </row>
    <row r="7720" spans="3:8" ht="15.6" x14ac:dyDescent="0.25">
      <c r="C7720" s="2"/>
      <c r="D7720" s="2"/>
      <c r="E7720" s="2"/>
      <c r="F7720" s="2"/>
      <c r="G7720" s="2"/>
      <c r="H7720" s="2"/>
    </row>
    <row r="7969" spans="3:8" ht="15.6" x14ac:dyDescent="0.25">
      <c r="C7969" s="2"/>
      <c r="D7969" s="2"/>
      <c r="E7969" s="2"/>
      <c r="F7969" s="2"/>
      <c r="G7969" s="2"/>
      <c r="H7969" s="2"/>
    </row>
    <row r="8218" spans="3:8" ht="15.6" x14ac:dyDescent="0.25">
      <c r="C8218" s="2"/>
      <c r="D8218" s="2"/>
      <c r="E8218" s="2"/>
      <c r="F8218" s="2"/>
      <c r="G8218" s="2"/>
      <c r="H8218" s="2"/>
    </row>
    <row r="8467" spans="3:8" ht="15.6" x14ac:dyDescent="0.25">
      <c r="C8467" s="2"/>
      <c r="D8467" s="2"/>
      <c r="E8467" s="2"/>
      <c r="F8467" s="2"/>
      <c r="G8467" s="2"/>
      <c r="H8467" s="2"/>
    </row>
    <row r="8716" spans="3:8" ht="15.6" x14ac:dyDescent="0.25">
      <c r="C8716" s="2"/>
      <c r="D8716" s="2"/>
      <c r="E8716" s="2"/>
      <c r="F8716" s="2"/>
      <c r="G8716" s="2"/>
      <c r="H8716" s="2"/>
    </row>
    <row r="8965" spans="3:8" ht="15.6" x14ac:dyDescent="0.25">
      <c r="C8965" s="2"/>
      <c r="D8965" s="2"/>
      <c r="E8965" s="2"/>
      <c r="F8965" s="2"/>
      <c r="G8965" s="2"/>
      <c r="H8965" s="2"/>
    </row>
    <row r="9214" spans="3:8" ht="15.6" x14ac:dyDescent="0.25">
      <c r="C9214" s="2"/>
      <c r="D9214" s="2"/>
      <c r="E9214" s="2"/>
      <c r="F9214" s="2"/>
      <c r="G9214" s="2"/>
      <c r="H9214" s="2"/>
    </row>
    <row r="9463" spans="3:8" ht="15.6" x14ac:dyDescent="0.25">
      <c r="C9463" s="2"/>
      <c r="D9463" s="2"/>
      <c r="E9463" s="2"/>
      <c r="F9463" s="2"/>
      <c r="G9463" s="2"/>
      <c r="H9463" s="2"/>
    </row>
    <row r="9712" spans="3:8" ht="15.6" x14ac:dyDescent="0.25">
      <c r="C9712" s="2"/>
      <c r="D9712" s="2"/>
      <c r="E9712" s="2"/>
      <c r="F9712" s="2"/>
      <c r="G9712" s="2"/>
      <c r="H9712" s="2"/>
    </row>
    <row r="9961" spans="3:8" ht="15.6" x14ac:dyDescent="0.25">
      <c r="C9961" s="2"/>
      <c r="D9961" s="2"/>
      <c r="E9961" s="2"/>
      <c r="F9961" s="2"/>
      <c r="G9961" s="2"/>
      <c r="H9961" s="2"/>
    </row>
    <row r="10210" spans="3:8" ht="15.6" x14ac:dyDescent="0.25">
      <c r="C10210" s="2"/>
      <c r="D10210" s="2"/>
      <c r="E10210" s="2"/>
      <c r="F10210" s="2"/>
      <c r="G10210" s="2"/>
      <c r="H10210" s="2"/>
    </row>
    <row r="10459" spans="3:8" ht="15.6" x14ac:dyDescent="0.25">
      <c r="C10459" s="2"/>
      <c r="D10459" s="2"/>
      <c r="E10459" s="2"/>
      <c r="F10459" s="2"/>
      <c r="G10459" s="2"/>
      <c r="H10459" s="2"/>
    </row>
    <row r="10708" spans="3:8" ht="15.6" x14ac:dyDescent="0.25">
      <c r="C10708" s="2"/>
      <c r="D10708" s="2"/>
      <c r="E10708" s="2"/>
      <c r="F10708" s="2"/>
      <c r="G10708" s="2"/>
      <c r="H10708" s="2"/>
    </row>
    <row r="10957" spans="3:8" ht="15.6" x14ac:dyDescent="0.25">
      <c r="C10957" s="2"/>
      <c r="D10957" s="2"/>
      <c r="E10957" s="2"/>
      <c r="F10957" s="2"/>
      <c r="G10957" s="2"/>
      <c r="H10957" s="2"/>
    </row>
    <row r="11206" spans="3:8" ht="15.6" x14ac:dyDescent="0.25">
      <c r="C11206" s="2"/>
      <c r="D11206" s="2"/>
      <c r="E11206" s="2"/>
      <c r="F11206" s="2"/>
      <c r="G11206" s="2"/>
      <c r="H11206" s="2"/>
    </row>
    <row r="11455" spans="3:8" ht="15.6" x14ac:dyDescent="0.25">
      <c r="C11455" s="2"/>
      <c r="D11455" s="2"/>
      <c r="E11455" s="2"/>
      <c r="F11455" s="2"/>
      <c r="G11455" s="2"/>
      <c r="H11455" s="2"/>
    </row>
    <row r="11704" spans="3:8" ht="15.6" x14ac:dyDescent="0.25">
      <c r="C11704" s="2"/>
      <c r="D11704" s="2"/>
      <c r="E11704" s="2"/>
      <c r="F11704" s="2"/>
      <c r="G11704" s="2"/>
      <c r="H11704" s="2"/>
    </row>
    <row r="11953" spans="3:8" ht="15.6" x14ac:dyDescent="0.25">
      <c r="C11953" s="2"/>
      <c r="D11953" s="2"/>
      <c r="E11953" s="2"/>
      <c r="F11953" s="2"/>
      <c r="G11953" s="2"/>
      <c r="H11953" s="2"/>
    </row>
    <row r="12202" spans="3:8" ht="15.6" x14ac:dyDescent="0.25">
      <c r="C12202" s="2"/>
      <c r="D12202" s="2"/>
      <c r="E12202" s="2"/>
      <c r="F12202" s="2"/>
      <c r="G12202" s="2"/>
      <c r="H12202" s="2"/>
    </row>
    <row r="12451" spans="3:8" ht="15.6" x14ac:dyDescent="0.25">
      <c r="C12451" s="2"/>
      <c r="D12451" s="2"/>
      <c r="E12451" s="2"/>
      <c r="F12451" s="2"/>
      <c r="G12451" s="2"/>
      <c r="H12451" s="2"/>
    </row>
    <row r="12700" spans="3:8" ht="15.6" x14ac:dyDescent="0.25">
      <c r="C12700" s="2"/>
      <c r="D12700" s="2"/>
      <c r="E12700" s="2"/>
      <c r="F12700" s="2"/>
      <c r="G12700" s="2"/>
      <c r="H12700" s="2"/>
    </row>
    <row r="12949" spans="3:8" ht="15.6" x14ac:dyDescent="0.25">
      <c r="C12949" s="2"/>
      <c r="D12949" s="2"/>
      <c r="E12949" s="2"/>
      <c r="F12949" s="2"/>
      <c r="G12949" s="2"/>
      <c r="H12949" s="2"/>
    </row>
    <row r="13198" spans="3:8" ht="15.6" x14ac:dyDescent="0.25">
      <c r="C13198" s="2"/>
      <c r="D13198" s="2"/>
      <c r="E13198" s="2"/>
      <c r="F13198" s="2"/>
      <c r="G13198" s="2"/>
      <c r="H13198" s="2"/>
    </row>
    <row r="13447" spans="3:8" ht="15.6" x14ac:dyDescent="0.25">
      <c r="C13447" s="2"/>
      <c r="D13447" s="2"/>
      <c r="E13447" s="2"/>
      <c r="F13447" s="2"/>
      <c r="G13447" s="2"/>
      <c r="H13447" s="2"/>
    </row>
    <row r="13696" spans="3:8" ht="15.6" x14ac:dyDescent="0.25">
      <c r="C13696" s="2"/>
      <c r="D13696" s="2"/>
      <c r="E13696" s="2"/>
      <c r="F13696" s="2"/>
      <c r="G13696" s="2"/>
      <c r="H13696" s="2"/>
    </row>
    <row r="13945" spans="3:8" ht="15.6" x14ac:dyDescent="0.25">
      <c r="C13945" s="2"/>
      <c r="D13945" s="2"/>
      <c r="E13945" s="2"/>
      <c r="F13945" s="2"/>
      <c r="G13945" s="2"/>
      <c r="H13945" s="2"/>
    </row>
    <row r="14194" spans="3:8" ht="15.6" x14ac:dyDescent="0.25">
      <c r="C14194" s="2"/>
      <c r="D14194" s="2"/>
      <c r="E14194" s="2"/>
      <c r="F14194" s="2"/>
      <c r="G14194" s="2"/>
      <c r="H14194" s="2"/>
    </row>
    <row r="14443" spans="3:8" ht="15.6" x14ac:dyDescent="0.25">
      <c r="C14443" s="2"/>
      <c r="D14443" s="2"/>
      <c r="E14443" s="2"/>
      <c r="F14443" s="2"/>
      <c r="G14443" s="2"/>
      <c r="H14443" s="2"/>
    </row>
    <row r="14692" spans="3:8" ht="15.6" x14ac:dyDescent="0.25">
      <c r="C14692" s="2"/>
      <c r="D14692" s="2"/>
      <c r="E14692" s="2"/>
      <c r="F14692" s="2"/>
      <c r="G14692" s="2"/>
      <c r="H14692" s="2"/>
    </row>
    <row r="14941" spans="3:8" ht="15.6" x14ac:dyDescent="0.25">
      <c r="C14941" s="2"/>
      <c r="D14941" s="2"/>
      <c r="E14941" s="2"/>
      <c r="F14941" s="2"/>
      <c r="G14941" s="2"/>
      <c r="H14941" s="2"/>
    </row>
    <row r="15190" spans="3:8" ht="15.6" x14ac:dyDescent="0.25">
      <c r="C15190" s="2"/>
      <c r="D15190" s="2"/>
      <c r="E15190" s="2"/>
      <c r="F15190" s="2"/>
      <c r="G15190" s="2"/>
      <c r="H15190" s="2"/>
    </row>
    <row r="15439" spans="3:8" ht="15.6" x14ac:dyDescent="0.25">
      <c r="C15439" s="2"/>
      <c r="D15439" s="2"/>
      <c r="E15439" s="2"/>
      <c r="F15439" s="2"/>
      <c r="G15439" s="2"/>
      <c r="H15439" s="2"/>
    </row>
    <row r="15688" spans="3:8" ht="15.6" x14ac:dyDescent="0.25">
      <c r="C15688" s="2"/>
      <c r="D15688" s="2"/>
      <c r="E15688" s="2"/>
      <c r="F15688" s="2"/>
      <c r="G15688" s="2"/>
      <c r="H15688" s="2"/>
    </row>
    <row r="15937" spans="3:8" ht="15.6" x14ac:dyDescent="0.25">
      <c r="C15937" s="2"/>
      <c r="D15937" s="2"/>
      <c r="E15937" s="2"/>
      <c r="F15937" s="2"/>
      <c r="G15937" s="2"/>
      <c r="H15937" s="2"/>
    </row>
    <row r="16186" spans="3:8" ht="15.6" x14ac:dyDescent="0.25">
      <c r="C16186" s="2"/>
      <c r="D16186" s="2"/>
      <c r="E16186" s="2"/>
      <c r="F16186" s="2"/>
      <c r="G16186" s="2"/>
      <c r="H16186" s="2"/>
    </row>
    <row r="16435" spans="3:8" ht="15.6" x14ac:dyDescent="0.25">
      <c r="C16435" s="2"/>
      <c r="D16435" s="2"/>
      <c r="E16435" s="2"/>
      <c r="F16435" s="2"/>
      <c r="G16435" s="2"/>
      <c r="H16435" s="2"/>
    </row>
    <row r="16684" spans="3:8" ht="15.6" x14ac:dyDescent="0.25">
      <c r="C16684" s="2"/>
      <c r="D16684" s="2"/>
      <c r="E16684" s="2"/>
      <c r="F16684" s="2"/>
      <c r="G16684" s="2"/>
      <c r="H16684" s="2"/>
    </row>
    <row r="16933" spans="3:8" ht="15.6" x14ac:dyDescent="0.25">
      <c r="C16933" s="2"/>
      <c r="D16933" s="2"/>
      <c r="E16933" s="2"/>
      <c r="F16933" s="2"/>
      <c r="G16933" s="2"/>
      <c r="H16933" s="2"/>
    </row>
    <row r="17182" spans="3:8" ht="15.6" x14ac:dyDescent="0.25">
      <c r="C17182" s="2"/>
      <c r="D17182" s="2"/>
      <c r="E17182" s="2"/>
      <c r="F17182" s="2"/>
      <c r="G17182" s="2"/>
      <c r="H17182" s="2"/>
    </row>
    <row r="17431" spans="3:8" ht="15.6" x14ac:dyDescent="0.25">
      <c r="C17431" s="2"/>
      <c r="D17431" s="2"/>
      <c r="E17431" s="2"/>
      <c r="F17431" s="2"/>
      <c r="G17431" s="2"/>
      <c r="H17431" s="2"/>
    </row>
    <row r="17680" spans="3:8" ht="15.6" x14ac:dyDescent="0.25">
      <c r="C17680" s="2"/>
      <c r="D17680" s="2"/>
      <c r="E17680" s="2"/>
      <c r="F17680" s="2"/>
      <c r="G17680" s="2"/>
      <c r="H17680" s="2"/>
    </row>
    <row r="17929" spans="3:8" ht="15.6" x14ac:dyDescent="0.25">
      <c r="C17929" s="2"/>
      <c r="D17929" s="2"/>
      <c r="E17929" s="2"/>
      <c r="F17929" s="2"/>
      <c r="G17929" s="2"/>
      <c r="H17929" s="2"/>
    </row>
    <row r="18178" spans="3:8" ht="15.6" x14ac:dyDescent="0.25">
      <c r="C18178" s="2"/>
      <c r="D18178" s="2"/>
      <c r="E18178" s="2"/>
      <c r="F18178" s="2"/>
      <c r="G18178" s="2"/>
      <c r="H18178" s="2"/>
    </row>
    <row r="18427" spans="3:8" ht="15.6" x14ac:dyDescent="0.25">
      <c r="C18427" s="2"/>
      <c r="D18427" s="2"/>
      <c r="E18427" s="2"/>
      <c r="F18427" s="2"/>
      <c r="G18427" s="2"/>
      <c r="H18427" s="2"/>
    </row>
    <row r="18676" spans="3:8" ht="15.6" x14ac:dyDescent="0.25">
      <c r="C18676" s="2"/>
      <c r="D18676" s="2"/>
      <c r="E18676" s="2"/>
      <c r="F18676" s="2"/>
      <c r="G18676" s="2"/>
      <c r="H18676" s="2"/>
    </row>
    <row r="18925" spans="3:8" ht="15.6" x14ac:dyDescent="0.25">
      <c r="C18925" s="2"/>
      <c r="D18925" s="2"/>
      <c r="E18925" s="2"/>
      <c r="F18925" s="2"/>
      <c r="G18925" s="2"/>
      <c r="H18925" s="2"/>
    </row>
    <row r="19174" spans="3:8" ht="15.6" x14ac:dyDescent="0.25">
      <c r="C19174" s="2"/>
      <c r="D19174" s="2"/>
      <c r="E19174" s="2"/>
      <c r="F19174" s="2"/>
      <c r="G19174" s="2"/>
      <c r="H19174" s="2"/>
    </row>
    <row r="19423" spans="3:8" ht="15.6" x14ac:dyDescent="0.25">
      <c r="C19423" s="2"/>
      <c r="D19423" s="2"/>
      <c r="E19423" s="2"/>
      <c r="F19423" s="2"/>
      <c r="G19423" s="2"/>
      <c r="H19423" s="2"/>
    </row>
    <row r="19672" spans="3:8" ht="15.6" x14ac:dyDescent="0.25">
      <c r="C19672" s="2"/>
      <c r="D19672" s="2"/>
      <c r="E19672" s="2"/>
      <c r="F19672" s="2"/>
      <c r="G19672" s="2"/>
      <c r="H19672" s="2"/>
    </row>
    <row r="19921" spans="3:8" ht="15.6" x14ac:dyDescent="0.25">
      <c r="C19921" s="2"/>
      <c r="D19921" s="2"/>
      <c r="E19921" s="2"/>
      <c r="F19921" s="2"/>
      <c r="G19921" s="2"/>
      <c r="H19921" s="2"/>
    </row>
    <row r="20170" spans="3:8" ht="15.6" x14ac:dyDescent="0.25">
      <c r="C20170" s="2"/>
      <c r="D20170" s="2"/>
      <c r="E20170" s="2"/>
      <c r="F20170" s="2"/>
      <c r="G20170" s="2"/>
      <c r="H20170" s="2"/>
    </row>
    <row r="20419" spans="3:8" ht="15.6" x14ac:dyDescent="0.25">
      <c r="C20419" s="2"/>
      <c r="D20419" s="2"/>
      <c r="E20419" s="2"/>
      <c r="F20419" s="2"/>
      <c r="G20419" s="2"/>
      <c r="H20419" s="2"/>
    </row>
    <row r="20668" spans="3:8" ht="15.6" x14ac:dyDescent="0.25">
      <c r="C20668" s="2"/>
      <c r="D20668" s="2"/>
      <c r="E20668" s="2"/>
      <c r="F20668" s="2"/>
      <c r="G20668" s="2"/>
      <c r="H20668" s="2"/>
    </row>
    <row r="20917" spans="3:8" ht="15.6" x14ac:dyDescent="0.25">
      <c r="C20917" s="2"/>
      <c r="D20917" s="2"/>
      <c r="E20917" s="2"/>
      <c r="F20917" s="2"/>
      <c r="G20917" s="2"/>
      <c r="H20917" s="2"/>
    </row>
    <row r="21166" spans="3:8" ht="15.6" x14ac:dyDescent="0.25">
      <c r="C21166" s="2"/>
      <c r="D21166" s="2"/>
      <c r="E21166" s="2"/>
      <c r="F21166" s="2"/>
      <c r="G21166" s="2"/>
      <c r="H21166" s="2"/>
    </row>
    <row r="21415" spans="3:8" ht="15.6" x14ac:dyDescent="0.25">
      <c r="C21415" s="2"/>
      <c r="D21415" s="2"/>
      <c r="E21415" s="2"/>
      <c r="F21415" s="2"/>
      <c r="G21415" s="2"/>
      <c r="H21415" s="2"/>
    </row>
    <row r="21664" spans="3:8" ht="15.6" x14ac:dyDescent="0.25">
      <c r="C21664" s="2"/>
      <c r="D21664" s="2"/>
      <c r="E21664" s="2"/>
      <c r="F21664" s="2"/>
      <c r="G21664" s="2"/>
      <c r="H21664" s="2"/>
    </row>
    <row r="21913" spans="3:8" ht="15.6" x14ac:dyDescent="0.25">
      <c r="C21913" s="2"/>
      <c r="D21913" s="2"/>
      <c r="E21913" s="2"/>
      <c r="F21913" s="2"/>
      <c r="G21913" s="2"/>
      <c r="H21913" s="2"/>
    </row>
    <row r="22162" spans="3:8" ht="15.6" x14ac:dyDescent="0.25">
      <c r="C22162" s="2"/>
      <c r="D22162" s="2"/>
      <c r="E22162" s="2"/>
      <c r="F22162" s="2"/>
      <c r="G22162" s="2"/>
      <c r="H22162" s="2"/>
    </row>
    <row r="22411" spans="3:8" ht="15.6" x14ac:dyDescent="0.25">
      <c r="C22411" s="2"/>
      <c r="D22411" s="2"/>
      <c r="E22411" s="2"/>
      <c r="F22411" s="2"/>
      <c r="G22411" s="2"/>
      <c r="H22411" s="2"/>
    </row>
    <row r="22660" spans="3:8" ht="15.6" x14ac:dyDescent="0.25">
      <c r="C22660" s="2"/>
      <c r="D22660" s="2"/>
      <c r="E22660" s="2"/>
      <c r="F22660" s="2"/>
      <c r="G22660" s="2"/>
      <c r="H22660" s="2"/>
    </row>
    <row r="22909" spans="3:8" ht="15.6" x14ac:dyDescent="0.25">
      <c r="C22909" s="2"/>
      <c r="D22909" s="2"/>
      <c r="E22909" s="2"/>
      <c r="F22909" s="2"/>
      <c r="G22909" s="2"/>
      <c r="H22909" s="2"/>
    </row>
    <row r="23158" spans="3:8" ht="15.6" x14ac:dyDescent="0.25">
      <c r="C23158" s="2"/>
      <c r="D23158" s="2"/>
      <c r="E23158" s="2"/>
      <c r="F23158" s="2"/>
      <c r="G23158" s="2"/>
      <c r="H23158" s="2"/>
    </row>
    <row r="23407" spans="3:8" ht="15.6" x14ac:dyDescent="0.25">
      <c r="C23407" s="2"/>
      <c r="D23407" s="2"/>
      <c r="E23407" s="2"/>
      <c r="F23407" s="2"/>
      <c r="G23407" s="2"/>
      <c r="H23407" s="2"/>
    </row>
    <row r="23656" spans="3:8" ht="15.6" x14ac:dyDescent="0.25">
      <c r="C23656" s="2"/>
      <c r="D23656" s="2"/>
      <c r="E23656" s="2"/>
      <c r="F23656" s="2"/>
      <c r="G23656" s="2"/>
      <c r="H23656" s="2"/>
    </row>
    <row r="23905" spans="3:8" ht="15.6" x14ac:dyDescent="0.25">
      <c r="C23905" s="2"/>
      <c r="D23905" s="2"/>
      <c r="E23905" s="2"/>
      <c r="F23905" s="2"/>
      <c r="G23905" s="2"/>
      <c r="H23905" s="2"/>
    </row>
    <row r="24154" spans="3:8" ht="15.6" x14ac:dyDescent="0.25">
      <c r="C24154" s="2"/>
      <c r="D24154" s="2"/>
      <c r="E24154" s="2"/>
      <c r="F24154" s="2"/>
      <c r="G24154" s="2"/>
      <c r="H24154" s="2"/>
    </row>
    <row r="24403" spans="3:8" ht="15.6" x14ac:dyDescent="0.25">
      <c r="C24403" s="2"/>
      <c r="D24403" s="2"/>
      <c r="E24403" s="2"/>
      <c r="F24403" s="2"/>
      <c r="G24403" s="2"/>
      <c r="H24403" s="2"/>
    </row>
    <row r="24652" spans="3:8" ht="15.6" x14ac:dyDescent="0.25">
      <c r="C24652" s="2"/>
      <c r="D24652" s="2"/>
      <c r="E24652" s="2"/>
      <c r="F24652" s="2"/>
      <c r="G24652" s="2"/>
      <c r="H24652" s="2"/>
    </row>
    <row r="24901" spans="3:8" ht="15.6" x14ac:dyDescent="0.25">
      <c r="C24901" s="2"/>
      <c r="D24901" s="2"/>
      <c r="E24901" s="2"/>
      <c r="F24901" s="2"/>
      <c r="G24901" s="2"/>
      <c r="H24901" s="2"/>
    </row>
    <row r="25150" spans="3:8" ht="15.6" x14ac:dyDescent="0.25">
      <c r="C25150" s="2"/>
      <c r="D25150" s="2"/>
      <c r="E25150" s="2"/>
      <c r="F25150" s="2"/>
      <c r="G25150" s="2"/>
      <c r="H25150" s="2"/>
    </row>
    <row r="25399" spans="3:8" ht="15.6" x14ac:dyDescent="0.25">
      <c r="C25399" s="2"/>
      <c r="D25399" s="2"/>
      <c r="E25399" s="2"/>
      <c r="F25399" s="2"/>
      <c r="G25399" s="2"/>
      <c r="H25399" s="2"/>
    </row>
    <row r="25648" spans="3:8" ht="15.6" x14ac:dyDescent="0.25">
      <c r="C25648" s="2"/>
      <c r="D25648" s="2"/>
      <c r="E25648" s="2"/>
      <c r="F25648" s="2"/>
      <c r="G25648" s="2"/>
      <c r="H25648" s="2"/>
    </row>
    <row r="25897" spans="3:8" ht="15.6" x14ac:dyDescent="0.25">
      <c r="C25897" s="2"/>
      <c r="D25897" s="2"/>
      <c r="E25897" s="2"/>
      <c r="F25897" s="2"/>
      <c r="G25897" s="2"/>
      <c r="H25897" s="2"/>
    </row>
    <row r="26146" spans="3:8" ht="15.6" x14ac:dyDescent="0.25">
      <c r="C26146" s="2"/>
      <c r="D26146" s="2"/>
      <c r="E26146" s="2"/>
      <c r="F26146" s="2"/>
      <c r="G26146" s="2"/>
      <c r="H26146" s="2"/>
    </row>
    <row r="26395" spans="3:8" ht="15.6" x14ac:dyDescent="0.25">
      <c r="C26395" s="2"/>
      <c r="D26395" s="2"/>
      <c r="E26395" s="2"/>
      <c r="F26395" s="2"/>
      <c r="G26395" s="2"/>
      <c r="H26395" s="2"/>
    </row>
    <row r="26644" spans="3:8" ht="15.6" x14ac:dyDescent="0.25">
      <c r="C26644" s="2"/>
      <c r="D26644" s="2"/>
      <c r="E26644" s="2"/>
      <c r="F26644" s="2"/>
      <c r="G26644" s="2"/>
      <c r="H26644" s="2"/>
    </row>
    <row r="26893" spans="3:8" ht="15.6" x14ac:dyDescent="0.25">
      <c r="C26893" s="2"/>
      <c r="D26893" s="2"/>
      <c r="E26893" s="2"/>
      <c r="F26893" s="2"/>
      <c r="G26893" s="2"/>
      <c r="H26893" s="2"/>
    </row>
    <row r="27142" spans="3:8" ht="15.6" x14ac:dyDescent="0.25">
      <c r="C27142" s="2"/>
      <c r="D27142" s="2"/>
      <c r="E27142" s="2"/>
      <c r="F27142" s="2"/>
      <c r="G27142" s="2"/>
      <c r="H27142" s="2"/>
    </row>
    <row r="27391" spans="3:8" ht="15.6" x14ac:dyDescent="0.25">
      <c r="C27391" s="2"/>
      <c r="D27391" s="2"/>
      <c r="E27391" s="2"/>
      <c r="F27391" s="2"/>
      <c r="G27391" s="2"/>
      <c r="H27391" s="2"/>
    </row>
    <row r="27640" spans="3:8" ht="15.6" x14ac:dyDescent="0.25">
      <c r="C27640" s="2"/>
      <c r="D27640" s="2"/>
      <c r="E27640" s="2"/>
      <c r="F27640" s="2"/>
      <c r="G27640" s="2"/>
      <c r="H27640" s="2"/>
    </row>
    <row r="27889" spans="3:8" ht="15.6" x14ac:dyDescent="0.25">
      <c r="C27889" s="2"/>
      <c r="D27889" s="2"/>
      <c r="E27889" s="2"/>
      <c r="F27889" s="2"/>
      <c r="G27889" s="2"/>
      <c r="H27889" s="2"/>
    </row>
    <row r="28138" spans="3:8" ht="15.6" x14ac:dyDescent="0.25">
      <c r="C28138" s="2"/>
      <c r="D28138" s="2"/>
      <c r="E28138" s="2"/>
      <c r="F28138" s="2"/>
      <c r="G28138" s="2"/>
      <c r="H28138" s="2"/>
    </row>
    <row r="28387" spans="3:8" ht="15.6" x14ac:dyDescent="0.25">
      <c r="C28387" s="2"/>
      <c r="D28387" s="2"/>
      <c r="E28387" s="2"/>
      <c r="F28387" s="2"/>
      <c r="G28387" s="2"/>
      <c r="H28387" s="2"/>
    </row>
    <row r="28636" spans="3:8" ht="15.6" x14ac:dyDescent="0.25">
      <c r="C28636" s="2"/>
      <c r="D28636" s="2"/>
      <c r="E28636" s="2"/>
      <c r="F28636" s="2"/>
      <c r="G28636" s="2"/>
      <c r="H28636" s="2"/>
    </row>
    <row r="28885" spans="3:8" ht="15.6" x14ac:dyDescent="0.25">
      <c r="C28885" s="2"/>
      <c r="D28885" s="2"/>
      <c r="E28885" s="2"/>
      <c r="F28885" s="2"/>
      <c r="G28885" s="2"/>
      <c r="H28885" s="2"/>
    </row>
    <row r="29134" spans="3:8" ht="15.6" x14ac:dyDescent="0.25">
      <c r="C29134" s="2"/>
      <c r="D29134" s="2"/>
      <c r="E29134" s="2"/>
      <c r="F29134" s="2"/>
      <c r="G29134" s="2"/>
      <c r="H29134" s="2"/>
    </row>
    <row r="29383" spans="3:8" ht="15.6" x14ac:dyDescent="0.25">
      <c r="C29383" s="2"/>
      <c r="D29383" s="2"/>
      <c r="E29383" s="2"/>
      <c r="F29383" s="2"/>
      <c r="G29383" s="2"/>
      <c r="H29383" s="2"/>
    </row>
    <row r="29632" spans="3:8" ht="15.6" x14ac:dyDescent="0.25">
      <c r="C29632" s="2"/>
      <c r="D29632" s="2"/>
      <c r="E29632" s="2"/>
      <c r="F29632" s="2"/>
      <c r="G29632" s="2"/>
      <c r="H29632" s="2"/>
    </row>
    <row r="29881" spans="3:8" ht="15.6" x14ac:dyDescent="0.25">
      <c r="C29881" s="2"/>
      <c r="D29881" s="2"/>
      <c r="E29881" s="2"/>
      <c r="F29881" s="2"/>
      <c r="G29881" s="2"/>
      <c r="H29881" s="2"/>
    </row>
    <row r="30130" spans="3:8" ht="15.6" x14ac:dyDescent="0.25">
      <c r="C30130" s="2"/>
      <c r="D30130" s="2"/>
      <c r="E30130" s="2"/>
      <c r="F30130" s="2"/>
      <c r="G30130" s="2"/>
      <c r="H30130" s="2"/>
    </row>
    <row r="30379" spans="3:8" ht="15.6" x14ac:dyDescent="0.25">
      <c r="C30379" s="2"/>
      <c r="D30379" s="2"/>
      <c r="E30379" s="2"/>
      <c r="F30379" s="2"/>
      <c r="G30379" s="2"/>
      <c r="H30379" s="2"/>
    </row>
    <row r="30628" spans="3:8" ht="15.6" x14ac:dyDescent="0.25">
      <c r="C30628" s="2"/>
      <c r="D30628" s="2"/>
      <c r="E30628" s="2"/>
      <c r="F30628" s="2"/>
      <c r="G30628" s="2"/>
      <c r="H30628" s="2"/>
    </row>
    <row r="30877" spans="3:8" ht="15.6" x14ac:dyDescent="0.25">
      <c r="C30877" s="2"/>
      <c r="D30877" s="2"/>
      <c r="E30877" s="2"/>
      <c r="F30877" s="2"/>
      <c r="G30877" s="2"/>
      <c r="H30877" s="2"/>
    </row>
    <row r="31126" spans="3:8" ht="15.6" x14ac:dyDescent="0.25">
      <c r="C31126" s="2"/>
      <c r="D31126" s="2"/>
      <c r="E31126" s="2"/>
      <c r="F31126" s="2"/>
      <c r="G31126" s="2"/>
      <c r="H31126" s="2"/>
    </row>
    <row r="31375" spans="3:8" ht="15.6" x14ac:dyDescent="0.25">
      <c r="C31375" s="2"/>
      <c r="D31375" s="2"/>
      <c r="E31375" s="2"/>
      <c r="F31375" s="2"/>
      <c r="G31375" s="2"/>
      <c r="H31375" s="2"/>
    </row>
    <row r="31624" spans="3:8" ht="15.6" x14ac:dyDescent="0.25">
      <c r="C31624" s="2"/>
      <c r="D31624" s="2"/>
      <c r="E31624" s="2"/>
      <c r="F31624" s="2"/>
      <c r="G31624" s="2"/>
      <c r="H31624" s="2"/>
    </row>
    <row r="31873" spans="3:8" ht="15.6" x14ac:dyDescent="0.25">
      <c r="C31873" s="2"/>
      <c r="D31873" s="2"/>
      <c r="E31873" s="2"/>
      <c r="F31873" s="2"/>
      <c r="G31873" s="2"/>
      <c r="H31873" s="2"/>
    </row>
    <row r="32122" spans="3:8" ht="15.6" x14ac:dyDescent="0.25">
      <c r="C32122" s="2"/>
      <c r="D32122" s="2"/>
      <c r="E32122" s="2"/>
      <c r="F32122" s="2"/>
      <c r="G32122" s="2"/>
      <c r="H32122" s="2"/>
    </row>
    <row r="32371" spans="3:8" ht="15.6" x14ac:dyDescent="0.25">
      <c r="C32371" s="2"/>
      <c r="D32371" s="2"/>
      <c r="E32371" s="2"/>
      <c r="F32371" s="2"/>
      <c r="G32371" s="2"/>
      <c r="H32371" s="2"/>
    </row>
    <row r="32620" spans="3:8" ht="15.6" x14ac:dyDescent="0.25">
      <c r="C32620" s="2"/>
      <c r="D32620" s="2"/>
      <c r="E32620" s="2"/>
      <c r="F32620" s="2"/>
      <c r="G32620" s="2"/>
      <c r="H32620" s="2"/>
    </row>
    <row r="32869" spans="3:8" ht="15.6" x14ac:dyDescent="0.25">
      <c r="C32869" s="2"/>
      <c r="D32869" s="2"/>
      <c r="E32869" s="2"/>
      <c r="F32869" s="2"/>
      <c r="G32869" s="2"/>
      <c r="H32869" s="2"/>
    </row>
    <row r="33118" spans="3:8" ht="15.6" x14ac:dyDescent="0.25">
      <c r="C33118" s="2"/>
      <c r="D33118" s="2"/>
      <c r="E33118" s="2"/>
      <c r="F33118" s="2"/>
      <c r="G33118" s="2"/>
      <c r="H33118" s="2"/>
    </row>
    <row r="33367" spans="3:8" ht="15.6" x14ac:dyDescent="0.25">
      <c r="C33367" s="2"/>
      <c r="D33367" s="2"/>
      <c r="E33367" s="2"/>
      <c r="F33367" s="2"/>
      <c r="G33367" s="2"/>
      <c r="H33367" s="2"/>
    </row>
    <row r="33616" spans="3:8" ht="15.6" x14ac:dyDescent="0.25">
      <c r="C33616" s="2"/>
      <c r="D33616" s="2"/>
      <c r="E33616" s="2"/>
      <c r="F33616" s="2"/>
      <c r="G33616" s="2"/>
      <c r="H33616" s="2"/>
    </row>
    <row r="33865" spans="3:8" ht="15.6" x14ac:dyDescent="0.25">
      <c r="C33865" s="2"/>
      <c r="D33865" s="2"/>
      <c r="E33865" s="2"/>
      <c r="F33865" s="2"/>
      <c r="G33865" s="2"/>
      <c r="H33865" s="2"/>
    </row>
    <row r="34114" spans="3:8" ht="15.6" x14ac:dyDescent="0.25">
      <c r="C34114" s="2"/>
      <c r="D34114" s="2"/>
      <c r="E34114" s="2"/>
      <c r="F34114" s="2"/>
      <c r="G34114" s="2"/>
      <c r="H34114" s="2"/>
    </row>
    <row r="34363" spans="3:8" ht="15.6" x14ac:dyDescent="0.25">
      <c r="C34363" s="2"/>
      <c r="D34363" s="2"/>
      <c r="E34363" s="2"/>
      <c r="F34363" s="2"/>
      <c r="G34363" s="2"/>
      <c r="H34363" s="2"/>
    </row>
    <row r="34612" spans="3:8" ht="15.6" x14ac:dyDescent="0.25">
      <c r="C34612" s="2"/>
      <c r="D34612" s="2"/>
      <c r="E34612" s="2"/>
      <c r="F34612" s="2"/>
      <c r="G34612" s="2"/>
      <c r="H34612" s="2"/>
    </row>
    <row r="34861" spans="3:8" ht="15.6" x14ac:dyDescent="0.25">
      <c r="C34861" s="2"/>
      <c r="D34861" s="2"/>
      <c r="E34861" s="2"/>
      <c r="F34861" s="2"/>
      <c r="G34861" s="2"/>
      <c r="H34861" s="2"/>
    </row>
    <row r="35110" spans="3:8" ht="15.6" x14ac:dyDescent="0.25">
      <c r="C35110" s="2"/>
      <c r="D35110" s="2"/>
      <c r="E35110" s="2"/>
      <c r="F35110" s="2"/>
      <c r="G35110" s="2"/>
      <c r="H35110" s="2"/>
    </row>
    <row r="35359" spans="3:8" ht="15.6" x14ac:dyDescent="0.25">
      <c r="C35359" s="2"/>
      <c r="D35359" s="2"/>
      <c r="E35359" s="2"/>
      <c r="F35359" s="2"/>
      <c r="G35359" s="2"/>
      <c r="H35359" s="2"/>
    </row>
    <row r="35608" spans="3:8" ht="15.6" x14ac:dyDescent="0.25">
      <c r="C35608" s="2"/>
      <c r="D35608" s="2"/>
      <c r="E35608" s="2"/>
      <c r="F35608" s="2"/>
      <c r="G35608" s="2"/>
      <c r="H35608" s="2"/>
    </row>
    <row r="35857" spans="3:8" ht="15.6" x14ac:dyDescent="0.25">
      <c r="C35857" s="2"/>
      <c r="D35857" s="2"/>
      <c r="E35857" s="2"/>
      <c r="F35857" s="2"/>
      <c r="G35857" s="2"/>
      <c r="H35857" s="2"/>
    </row>
    <row r="36106" spans="3:8" ht="15.6" x14ac:dyDescent="0.25">
      <c r="C36106" s="2"/>
      <c r="D36106" s="2"/>
      <c r="E36106" s="2"/>
      <c r="F36106" s="2"/>
      <c r="G36106" s="2"/>
      <c r="H36106" s="2"/>
    </row>
    <row r="36355" spans="3:8" ht="15.6" x14ac:dyDescent="0.25">
      <c r="C36355" s="2"/>
      <c r="D36355" s="2"/>
      <c r="E36355" s="2"/>
      <c r="F36355" s="2"/>
      <c r="G36355" s="2"/>
      <c r="H36355" s="2"/>
    </row>
    <row r="36604" spans="3:8" ht="15.6" x14ac:dyDescent="0.25">
      <c r="C36604" s="2"/>
      <c r="D36604" s="2"/>
      <c r="E36604" s="2"/>
      <c r="F36604" s="2"/>
      <c r="G36604" s="2"/>
      <c r="H36604" s="2"/>
    </row>
    <row r="36853" spans="3:8" ht="15.6" x14ac:dyDescent="0.25">
      <c r="C36853" s="2"/>
      <c r="D36853" s="2"/>
      <c r="E36853" s="2"/>
      <c r="F36853" s="2"/>
      <c r="G36853" s="2"/>
      <c r="H36853" s="2"/>
    </row>
    <row r="37102" spans="3:8" ht="15.6" x14ac:dyDescent="0.25">
      <c r="C37102" s="2"/>
      <c r="D37102" s="2"/>
      <c r="E37102" s="2"/>
      <c r="F37102" s="2"/>
      <c r="G37102" s="2"/>
      <c r="H37102" s="2"/>
    </row>
    <row r="37351" spans="3:8" ht="15.6" x14ac:dyDescent="0.25">
      <c r="C37351" s="2"/>
      <c r="D37351" s="2"/>
      <c r="E37351" s="2"/>
      <c r="F37351" s="2"/>
      <c r="G37351" s="2"/>
      <c r="H37351" s="2"/>
    </row>
    <row r="37600" spans="3:8" ht="15.6" x14ac:dyDescent="0.25">
      <c r="C37600" s="2"/>
      <c r="D37600" s="2"/>
      <c r="E37600" s="2"/>
      <c r="F37600" s="2"/>
      <c r="G37600" s="2"/>
      <c r="H37600" s="2"/>
    </row>
    <row r="37849" spans="3:8" ht="15.6" x14ac:dyDescent="0.25">
      <c r="C37849" s="2"/>
      <c r="D37849" s="2"/>
      <c r="E37849" s="2"/>
      <c r="F37849" s="2"/>
      <c r="G37849" s="2"/>
      <c r="H37849" s="2"/>
    </row>
    <row r="38098" spans="3:8" ht="15.6" x14ac:dyDescent="0.25">
      <c r="C38098" s="2"/>
      <c r="D38098" s="2"/>
      <c r="E38098" s="2"/>
      <c r="F38098" s="2"/>
      <c r="G38098" s="2"/>
      <c r="H38098" s="2"/>
    </row>
    <row r="38347" spans="3:8" ht="15.6" x14ac:dyDescent="0.25">
      <c r="C38347" s="2"/>
      <c r="D38347" s="2"/>
      <c r="E38347" s="2"/>
      <c r="F38347" s="2"/>
      <c r="G38347" s="2"/>
      <c r="H38347" s="2"/>
    </row>
    <row r="38596" spans="3:8" ht="15.6" x14ac:dyDescent="0.25">
      <c r="C38596" s="2"/>
      <c r="D38596" s="2"/>
      <c r="E38596" s="2"/>
      <c r="F38596" s="2"/>
      <c r="G38596" s="2"/>
      <c r="H38596" s="2"/>
    </row>
    <row r="38845" spans="3:8" ht="15.6" x14ac:dyDescent="0.25">
      <c r="C38845" s="2"/>
      <c r="D38845" s="2"/>
      <c r="E38845" s="2"/>
      <c r="F38845" s="2"/>
      <c r="G38845" s="2"/>
      <c r="H38845" s="2"/>
    </row>
    <row r="39094" spans="3:8" ht="15.6" x14ac:dyDescent="0.25">
      <c r="C39094" s="2"/>
      <c r="D39094" s="2"/>
      <c r="E39094" s="2"/>
      <c r="F39094" s="2"/>
      <c r="G39094" s="2"/>
      <c r="H39094" s="2"/>
    </row>
    <row r="39343" spans="3:8" ht="15.6" x14ac:dyDescent="0.25">
      <c r="C39343" s="2"/>
      <c r="D39343" s="2"/>
      <c r="E39343" s="2"/>
      <c r="F39343" s="2"/>
      <c r="G39343" s="2"/>
      <c r="H39343" s="2"/>
    </row>
    <row r="39592" spans="3:8" ht="15.6" x14ac:dyDescent="0.25">
      <c r="C39592" s="2"/>
      <c r="D39592" s="2"/>
      <c r="E39592" s="2"/>
      <c r="F39592" s="2"/>
      <c r="G39592" s="2"/>
      <c r="H39592" s="2"/>
    </row>
    <row r="39841" spans="3:8" ht="15.6" x14ac:dyDescent="0.25">
      <c r="C39841" s="2"/>
      <c r="D39841" s="2"/>
      <c r="E39841" s="2"/>
      <c r="F39841" s="2"/>
      <c r="G39841" s="2"/>
      <c r="H39841" s="2"/>
    </row>
    <row r="40090" spans="3:8" ht="15.6" x14ac:dyDescent="0.25">
      <c r="C40090" s="2"/>
      <c r="D40090" s="2"/>
      <c r="E40090" s="2"/>
      <c r="F40090" s="2"/>
      <c r="G40090" s="2"/>
      <c r="H40090" s="2"/>
    </row>
    <row r="40339" spans="3:8" ht="15.6" x14ac:dyDescent="0.25">
      <c r="C40339" s="2"/>
      <c r="D40339" s="2"/>
      <c r="E40339" s="2"/>
      <c r="F40339" s="2"/>
      <c r="G40339" s="2"/>
      <c r="H40339" s="2"/>
    </row>
    <row r="40588" spans="3:8" ht="15.6" x14ac:dyDescent="0.25">
      <c r="C40588" s="2"/>
      <c r="D40588" s="2"/>
      <c r="E40588" s="2"/>
      <c r="F40588" s="2"/>
      <c r="G40588" s="2"/>
      <c r="H40588" s="2"/>
    </row>
    <row r="40837" spans="3:8" ht="15.6" x14ac:dyDescent="0.25">
      <c r="C40837" s="2"/>
      <c r="D40837" s="2"/>
      <c r="E40837" s="2"/>
      <c r="F40837" s="2"/>
      <c r="G40837" s="2"/>
      <c r="H40837" s="2"/>
    </row>
    <row r="41086" spans="3:8" ht="15.6" x14ac:dyDescent="0.25">
      <c r="C41086" s="2"/>
      <c r="D41086" s="2"/>
      <c r="E41086" s="2"/>
      <c r="F41086" s="2"/>
      <c r="G41086" s="2"/>
      <c r="H41086" s="2"/>
    </row>
    <row r="41335" spans="3:8" ht="15.6" x14ac:dyDescent="0.25">
      <c r="C41335" s="2"/>
      <c r="D41335" s="2"/>
      <c r="E41335" s="2"/>
      <c r="F41335" s="2"/>
      <c r="G41335" s="2"/>
      <c r="H41335" s="2"/>
    </row>
    <row r="41584" spans="3:8" ht="15.6" x14ac:dyDescent="0.25">
      <c r="C41584" s="2"/>
      <c r="D41584" s="2"/>
      <c r="E41584" s="2"/>
      <c r="F41584" s="2"/>
      <c r="G41584" s="2"/>
      <c r="H41584" s="2"/>
    </row>
    <row r="41833" spans="3:8" ht="15.6" x14ac:dyDescent="0.25">
      <c r="C41833" s="2"/>
      <c r="D41833" s="2"/>
      <c r="E41833" s="2"/>
      <c r="F41833" s="2"/>
      <c r="G41833" s="2"/>
      <c r="H41833" s="2"/>
    </row>
    <row r="42082" spans="3:8" ht="15.6" x14ac:dyDescent="0.25">
      <c r="C42082" s="2"/>
      <c r="D42082" s="2"/>
      <c r="E42082" s="2"/>
      <c r="F42082" s="2"/>
      <c r="G42082" s="2"/>
      <c r="H42082" s="2"/>
    </row>
    <row r="42331" spans="3:8" ht="15.6" x14ac:dyDescent="0.25">
      <c r="C42331" s="2"/>
      <c r="D42331" s="2"/>
      <c r="E42331" s="2"/>
      <c r="F42331" s="2"/>
      <c r="G42331" s="2"/>
      <c r="H42331" s="2"/>
    </row>
    <row r="42580" spans="3:8" ht="15.6" x14ac:dyDescent="0.25">
      <c r="C42580" s="2"/>
      <c r="D42580" s="2"/>
      <c r="E42580" s="2"/>
      <c r="F42580" s="2"/>
      <c r="G42580" s="2"/>
      <c r="H42580" s="2"/>
    </row>
    <row r="42829" spans="3:8" ht="15.6" x14ac:dyDescent="0.25">
      <c r="C42829" s="2"/>
      <c r="D42829" s="2"/>
      <c r="E42829" s="2"/>
      <c r="F42829" s="2"/>
      <c r="G42829" s="2"/>
      <c r="H42829" s="2"/>
    </row>
    <row r="43078" spans="3:8" ht="15.6" x14ac:dyDescent="0.25">
      <c r="C43078" s="2"/>
      <c r="D43078" s="2"/>
      <c r="E43078" s="2"/>
      <c r="F43078" s="2"/>
      <c r="G43078" s="2"/>
      <c r="H43078" s="2"/>
    </row>
    <row r="43327" spans="3:8" ht="15.6" x14ac:dyDescent="0.25">
      <c r="C43327" s="2"/>
      <c r="D43327" s="2"/>
      <c r="E43327" s="2"/>
      <c r="F43327" s="2"/>
      <c r="G43327" s="2"/>
      <c r="H43327" s="2"/>
    </row>
    <row r="43576" spans="3:8" ht="15.6" x14ac:dyDescent="0.25">
      <c r="C43576" s="2"/>
      <c r="D43576" s="2"/>
      <c r="E43576" s="2"/>
      <c r="F43576" s="2"/>
      <c r="G43576" s="2"/>
      <c r="H43576" s="2"/>
    </row>
    <row r="43825" spans="3:8" ht="15.6" x14ac:dyDescent="0.25">
      <c r="C43825" s="2"/>
      <c r="D43825" s="2"/>
      <c r="E43825" s="2"/>
      <c r="F43825" s="2"/>
      <c r="G43825" s="2"/>
      <c r="H43825" s="2"/>
    </row>
    <row r="44074" spans="3:8" ht="15.6" x14ac:dyDescent="0.25">
      <c r="C44074" s="2"/>
      <c r="D44074" s="2"/>
      <c r="E44074" s="2"/>
      <c r="F44074" s="2"/>
      <c r="G44074" s="2"/>
      <c r="H44074" s="2"/>
    </row>
    <row r="44323" spans="3:8" ht="15.6" x14ac:dyDescent="0.25">
      <c r="C44323" s="2"/>
      <c r="D44323" s="2"/>
      <c r="E44323" s="2"/>
      <c r="F44323" s="2"/>
      <c r="G44323" s="2"/>
      <c r="H44323" s="2"/>
    </row>
    <row r="44572" spans="3:8" ht="15.6" x14ac:dyDescent="0.25">
      <c r="C44572" s="2"/>
      <c r="D44572" s="2"/>
      <c r="E44572" s="2"/>
      <c r="F44572" s="2"/>
      <c r="G44572" s="2"/>
      <c r="H44572" s="2"/>
    </row>
    <row r="44821" spans="3:8" ht="15.6" x14ac:dyDescent="0.25">
      <c r="C44821" s="2"/>
      <c r="D44821" s="2"/>
      <c r="E44821" s="2"/>
      <c r="F44821" s="2"/>
      <c r="G44821" s="2"/>
      <c r="H44821" s="2"/>
    </row>
    <row r="45070" spans="3:8" ht="15.6" x14ac:dyDescent="0.25">
      <c r="C45070" s="2"/>
      <c r="D45070" s="2"/>
      <c r="E45070" s="2"/>
      <c r="F45070" s="2"/>
      <c r="G45070" s="2"/>
      <c r="H45070" s="2"/>
    </row>
    <row r="45319" spans="3:8" ht="15.6" x14ac:dyDescent="0.25">
      <c r="C45319" s="2"/>
      <c r="D45319" s="2"/>
      <c r="E45319" s="2"/>
      <c r="F45319" s="2"/>
      <c r="G45319" s="2"/>
      <c r="H45319" s="2"/>
    </row>
    <row r="45568" spans="3:8" ht="15.6" x14ac:dyDescent="0.25">
      <c r="C45568" s="2"/>
      <c r="D45568" s="2"/>
      <c r="E45568" s="2"/>
      <c r="F45568" s="2"/>
      <c r="G45568" s="2"/>
      <c r="H45568" s="2"/>
    </row>
    <row r="45817" spans="3:8" ht="15.6" x14ac:dyDescent="0.25">
      <c r="C45817" s="2"/>
      <c r="D45817" s="2"/>
      <c r="E45817" s="2"/>
      <c r="F45817" s="2"/>
      <c r="G45817" s="2"/>
      <c r="H45817" s="2"/>
    </row>
    <row r="46066" spans="3:8" ht="15.6" x14ac:dyDescent="0.25">
      <c r="C46066" s="2"/>
      <c r="D46066" s="2"/>
      <c r="E46066" s="2"/>
      <c r="F46066" s="2"/>
      <c r="G46066" s="2"/>
      <c r="H46066" s="2"/>
    </row>
    <row r="46315" spans="3:8" ht="15.6" x14ac:dyDescent="0.25">
      <c r="C46315" s="2"/>
      <c r="D46315" s="2"/>
      <c r="E46315" s="2"/>
      <c r="F46315" s="2"/>
      <c r="G46315" s="2"/>
      <c r="H46315" s="2"/>
    </row>
    <row r="46564" spans="3:8" ht="15.6" x14ac:dyDescent="0.25">
      <c r="C46564" s="2"/>
      <c r="D46564" s="2"/>
      <c r="E46564" s="2"/>
      <c r="F46564" s="2"/>
      <c r="G46564" s="2"/>
      <c r="H46564" s="2"/>
    </row>
    <row r="46813" spans="3:8" ht="15.6" x14ac:dyDescent="0.25">
      <c r="C46813" s="2"/>
      <c r="D46813" s="2"/>
      <c r="E46813" s="2"/>
      <c r="F46813" s="2"/>
      <c r="G46813" s="2"/>
      <c r="H46813" s="2"/>
    </row>
    <row r="47062" spans="3:8" ht="15.6" x14ac:dyDescent="0.25">
      <c r="C47062" s="2"/>
      <c r="D47062" s="2"/>
      <c r="E47062" s="2"/>
      <c r="F47062" s="2"/>
      <c r="G47062" s="2"/>
      <c r="H47062" s="2"/>
    </row>
    <row r="47311" spans="3:8" ht="15.6" x14ac:dyDescent="0.25">
      <c r="C47311" s="2"/>
      <c r="D47311" s="2"/>
      <c r="E47311" s="2"/>
      <c r="F47311" s="2"/>
      <c r="G47311" s="2"/>
      <c r="H47311" s="2"/>
    </row>
    <row r="47560" spans="3:8" ht="15.6" x14ac:dyDescent="0.25">
      <c r="C47560" s="2"/>
      <c r="D47560" s="2"/>
      <c r="E47560" s="2"/>
      <c r="F47560" s="2"/>
      <c r="G47560" s="2"/>
      <c r="H47560" s="2"/>
    </row>
    <row r="47809" spans="3:8" ht="15.6" x14ac:dyDescent="0.25">
      <c r="C47809" s="2"/>
      <c r="D47809" s="2"/>
      <c r="E47809" s="2"/>
      <c r="F47809" s="2"/>
      <c r="G47809" s="2"/>
      <c r="H47809" s="2"/>
    </row>
    <row r="48058" spans="3:8" ht="15.6" x14ac:dyDescent="0.25">
      <c r="C48058" s="2"/>
      <c r="D48058" s="2"/>
      <c r="E48058" s="2"/>
      <c r="F48058" s="2"/>
      <c r="G48058" s="2"/>
      <c r="H48058" s="2"/>
    </row>
    <row r="48307" spans="3:8" ht="15.6" x14ac:dyDescent="0.25">
      <c r="C48307" s="2"/>
      <c r="D48307" s="2"/>
      <c r="E48307" s="2"/>
      <c r="F48307" s="2"/>
      <c r="G48307" s="2"/>
      <c r="H48307" s="2"/>
    </row>
    <row r="48556" spans="3:8" ht="15.6" x14ac:dyDescent="0.25">
      <c r="C48556" s="2"/>
      <c r="D48556" s="2"/>
      <c r="E48556" s="2"/>
      <c r="F48556" s="2"/>
      <c r="G48556" s="2"/>
      <c r="H48556" s="2"/>
    </row>
    <row r="48805" spans="3:8" ht="15.6" x14ac:dyDescent="0.25">
      <c r="C48805" s="2"/>
      <c r="D48805" s="2"/>
      <c r="E48805" s="2"/>
      <c r="F48805" s="2"/>
      <c r="G48805" s="2"/>
      <c r="H48805" s="2"/>
    </row>
    <row r="49054" spans="3:8" ht="15.6" x14ac:dyDescent="0.25">
      <c r="C49054" s="2"/>
      <c r="D49054" s="2"/>
      <c r="E49054" s="2"/>
      <c r="F49054" s="2"/>
      <c r="G49054" s="2"/>
      <c r="H49054" s="2"/>
    </row>
    <row r="49303" spans="3:8" ht="15.6" x14ac:dyDescent="0.25">
      <c r="C49303" s="2"/>
      <c r="D49303" s="2"/>
      <c r="E49303" s="2"/>
      <c r="F49303" s="2"/>
      <c r="G49303" s="2"/>
      <c r="H49303" s="2"/>
    </row>
    <row r="49552" spans="3:8" ht="15.6" x14ac:dyDescent="0.25">
      <c r="C49552" s="2"/>
      <c r="D49552" s="2"/>
      <c r="E49552" s="2"/>
      <c r="F49552" s="2"/>
      <c r="G49552" s="2"/>
      <c r="H49552" s="2"/>
    </row>
    <row r="49801" spans="3:8" ht="15.6" x14ac:dyDescent="0.25">
      <c r="C49801" s="2"/>
      <c r="D49801" s="2"/>
      <c r="E49801" s="2"/>
      <c r="F49801" s="2"/>
      <c r="G49801" s="2"/>
      <c r="H49801" s="2"/>
    </row>
    <row r="50050" spans="3:8" ht="15.6" x14ac:dyDescent="0.25">
      <c r="C50050" s="2"/>
      <c r="D50050" s="2"/>
      <c r="E50050" s="2"/>
      <c r="F50050" s="2"/>
      <c r="G50050" s="2"/>
      <c r="H50050" s="2"/>
    </row>
    <row r="50299" spans="3:8" ht="15.6" x14ac:dyDescent="0.25">
      <c r="C50299" s="2"/>
      <c r="D50299" s="2"/>
      <c r="E50299" s="2"/>
      <c r="F50299" s="2"/>
      <c r="G50299" s="2"/>
      <c r="H50299" s="2"/>
    </row>
    <row r="50548" spans="3:8" ht="15.6" x14ac:dyDescent="0.25">
      <c r="C50548" s="2"/>
      <c r="D50548" s="2"/>
      <c r="E50548" s="2"/>
      <c r="F50548" s="2"/>
      <c r="G50548" s="2"/>
      <c r="H50548" s="2"/>
    </row>
    <row r="50797" spans="3:8" ht="15.6" x14ac:dyDescent="0.25">
      <c r="C50797" s="2"/>
      <c r="D50797" s="2"/>
      <c r="E50797" s="2"/>
      <c r="F50797" s="2"/>
      <c r="G50797" s="2"/>
      <c r="H50797" s="2"/>
    </row>
    <row r="51046" spans="3:8" ht="15.6" x14ac:dyDescent="0.25">
      <c r="C51046" s="2"/>
      <c r="D51046" s="2"/>
      <c r="E51046" s="2"/>
      <c r="F51046" s="2"/>
      <c r="G51046" s="2"/>
      <c r="H51046" s="2"/>
    </row>
    <row r="51295" spans="3:8" ht="15.6" x14ac:dyDescent="0.25">
      <c r="C51295" s="2"/>
      <c r="D51295" s="2"/>
      <c r="E51295" s="2"/>
      <c r="F51295" s="2"/>
      <c r="G51295" s="2"/>
      <c r="H51295" s="2"/>
    </row>
    <row r="51544" spans="3:8" ht="15.6" x14ac:dyDescent="0.25">
      <c r="C51544" s="2"/>
      <c r="D51544" s="2"/>
      <c r="E51544" s="2"/>
      <c r="F51544" s="2"/>
      <c r="G51544" s="2"/>
      <c r="H51544" s="2"/>
    </row>
    <row r="51793" spans="3:8" ht="15.6" x14ac:dyDescent="0.25">
      <c r="C51793" s="2"/>
      <c r="D51793" s="2"/>
      <c r="E51793" s="2"/>
      <c r="F51793" s="2"/>
      <c r="G51793" s="2"/>
      <c r="H51793" s="2"/>
    </row>
    <row r="52042" spans="3:8" ht="15.6" x14ac:dyDescent="0.25">
      <c r="C52042" s="2"/>
      <c r="D52042" s="2"/>
      <c r="E52042" s="2"/>
      <c r="F52042" s="2"/>
      <c r="G52042" s="2"/>
      <c r="H52042" s="2"/>
    </row>
    <row r="52291" spans="3:8" ht="15.6" x14ac:dyDescent="0.25">
      <c r="C52291" s="2"/>
      <c r="D52291" s="2"/>
      <c r="E52291" s="2"/>
      <c r="F52291" s="2"/>
      <c r="G52291" s="2"/>
      <c r="H52291" s="2"/>
    </row>
    <row r="52540" spans="3:8" ht="15.6" x14ac:dyDescent="0.25">
      <c r="C52540" s="2"/>
      <c r="D52540" s="2"/>
      <c r="E52540" s="2"/>
      <c r="F52540" s="2"/>
      <c r="G52540" s="2"/>
      <c r="H52540" s="2"/>
    </row>
    <row r="52789" spans="3:8" ht="15.6" x14ac:dyDescent="0.25">
      <c r="C52789" s="2"/>
      <c r="D52789" s="2"/>
      <c r="E52789" s="2"/>
      <c r="F52789" s="2"/>
      <c r="G52789" s="2"/>
      <c r="H52789" s="2"/>
    </row>
    <row r="53038" spans="3:8" ht="15.6" x14ac:dyDescent="0.25">
      <c r="C53038" s="2"/>
      <c r="D53038" s="2"/>
      <c r="E53038" s="2"/>
      <c r="F53038" s="2"/>
      <c r="G53038" s="2"/>
      <c r="H53038" s="2"/>
    </row>
    <row r="53287" spans="3:8" ht="15.6" x14ac:dyDescent="0.25">
      <c r="C53287" s="2"/>
      <c r="D53287" s="2"/>
      <c r="E53287" s="2"/>
      <c r="F53287" s="2"/>
      <c r="G53287" s="2"/>
      <c r="H53287" s="2"/>
    </row>
    <row r="53536" spans="3:8" ht="15.6" x14ac:dyDescent="0.25">
      <c r="C53536" s="2"/>
      <c r="D53536" s="2"/>
      <c r="E53536" s="2"/>
      <c r="F53536" s="2"/>
      <c r="G53536" s="2"/>
      <c r="H53536" s="2"/>
    </row>
    <row r="53785" spans="3:8" ht="15.6" x14ac:dyDescent="0.25">
      <c r="C53785" s="2"/>
      <c r="D53785" s="2"/>
      <c r="E53785" s="2"/>
      <c r="F53785" s="2"/>
      <c r="G53785" s="2"/>
      <c r="H53785" s="2"/>
    </row>
    <row r="54034" spans="3:8" ht="15.6" x14ac:dyDescent="0.25">
      <c r="C54034" s="2"/>
      <c r="D54034" s="2"/>
      <c r="E54034" s="2"/>
      <c r="F54034" s="2"/>
      <c r="G54034" s="2"/>
      <c r="H54034" s="2"/>
    </row>
    <row r="54283" spans="3:8" ht="15.6" x14ac:dyDescent="0.25">
      <c r="C54283" s="2"/>
      <c r="D54283" s="2"/>
      <c r="E54283" s="2"/>
      <c r="F54283" s="2"/>
      <c r="G54283" s="2"/>
      <c r="H54283" s="2"/>
    </row>
    <row r="54532" spans="3:8" ht="15.6" x14ac:dyDescent="0.25">
      <c r="C54532" s="2"/>
      <c r="D54532" s="2"/>
      <c r="E54532" s="2"/>
      <c r="F54532" s="2"/>
      <c r="G54532" s="2"/>
      <c r="H54532" s="2"/>
    </row>
    <row r="54781" spans="3:8" ht="15.6" x14ac:dyDescent="0.25">
      <c r="C54781" s="2"/>
      <c r="D54781" s="2"/>
      <c r="E54781" s="2"/>
      <c r="F54781" s="2"/>
      <c r="G54781" s="2"/>
      <c r="H54781" s="2"/>
    </row>
    <row r="55030" spans="3:8" ht="15.6" x14ac:dyDescent="0.25">
      <c r="C55030" s="2"/>
      <c r="D55030" s="2"/>
      <c r="E55030" s="2"/>
      <c r="F55030" s="2"/>
      <c r="G55030" s="2"/>
      <c r="H55030" s="2"/>
    </row>
    <row r="55279" spans="3:8" ht="15.6" x14ac:dyDescent="0.25">
      <c r="C55279" s="2"/>
      <c r="D55279" s="2"/>
      <c r="E55279" s="2"/>
      <c r="F55279" s="2"/>
      <c r="G55279" s="2"/>
      <c r="H55279" s="2"/>
    </row>
    <row r="55528" spans="3:8" ht="15.6" x14ac:dyDescent="0.25">
      <c r="C55528" s="2"/>
      <c r="D55528" s="2"/>
      <c r="E55528" s="2"/>
      <c r="F55528" s="2"/>
      <c r="G55528" s="2"/>
      <c r="H55528" s="2"/>
    </row>
    <row r="55777" spans="3:8" ht="15.6" x14ac:dyDescent="0.25">
      <c r="C55777" s="2"/>
      <c r="D55777" s="2"/>
      <c r="E55777" s="2"/>
      <c r="F55777" s="2"/>
      <c r="G55777" s="2"/>
      <c r="H55777" s="2"/>
    </row>
    <row r="56026" spans="3:8" ht="15.6" x14ac:dyDescent="0.25">
      <c r="C56026" s="2"/>
      <c r="D56026" s="2"/>
      <c r="E56026" s="2"/>
      <c r="F56026" s="2"/>
      <c r="G56026" s="2"/>
      <c r="H56026" s="2"/>
    </row>
    <row r="56275" spans="3:8" ht="15.6" x14ac:dyDescent="0.25">
      <c r="C56275" s="2"/>
      <c r="D56275" s="2"/>
      <c r="E56275" s="2"/>
      <c r="F56275" s="2"/>
      <c r="G56275" s="2"/>
      <c r="H56275" s="2"/>
    </row>
    <row r="56524" spans="3:8" ht="15.6" x14ac:dyDescent="0.25">
      <c r="C56524" s="2"/>
      <c r="D56524" s="2"/>
      <c r="E56524" s="2"/>
      <c r="F56524" s="2"/>
      <c r="G56524" s="2"/>
      <c r="H56524" s="2"/>
    </row>
    <row r="56773" spans="3:8" ht="15.6" x14ac:dyDescent="0.25">
      <c r="C56773" s="2"/>
      <c r="D56773" s="2"/>
      <c r="E56773" s="2"/>
      <c r="F56773" s="2"/>
      <c r="G56773" s="2"/>
      <c r="H56773" s="2"/>
    </row>
    <row r="57022" spans="3:8" ht="15.6" x14ac:dyDescent="0.25">
      <c r="C57022" s="2"/>
      <c r="D57022" s="2"/>
      <c r="E57022" s="2"/>
      <c r="F57022" s="2"/>
      <c r="G57022" s="2"/>
      <c r="H57022" s="2"/>
    </row>
    <row r="57271" spans="3:8" ht="15.6" x14ac:dyDescent="0.25">
      <c r="C57271" s="2"/>
      <c r="D57271" s="2"/>
      <c r="E57271" s="2"/>
      <c r="F57271" s="2"/>
      <c r="G57271" s="2"/>
      <c r="H57271" s="2"/>
    </row>
    <row r="57520" spans="3:8" ht="15.6" x14ac:dyDescent="0.25">
      <c r="C57520" s="2"/>
      <c r="D57520" s="2"/>
      <c r="E57520" s="2"/>
      <c r="F57520" s="2"/>
      <c r="G57520" s="2"/>
      <c r="H57520" s="2"/>
    </row>
    <row r="57769" spans="3:8" ht="15.6" x14ac:dyDescent="0.25">
      <c r="C57769" s="2"/>
      <c r="D57769" s="2"/>
      <c r="E57769" s="2"/>
      <c r="F57769" s="2"/>
      <c r="G57769" s="2"/>
      <c r="H57769" s="2"/>
    </row>
    <row r="58018" spans="3:8" ht="15.6" x14ac:dyDescent="0.25">
      <c r="C58018" s="2"/>
      <c r="D58018" s="2"/>
      <c r="E58018" s="2"/>
      <c r="F58018" s="2"/>
      <c r="G58018" s="2"/>
      <c r="H58018" s="2"/>
    </row>
    <row r="58267" spans="3:8" ht="15.6" x14ac:dyDescent="0.25">
      <c r="C58267" s="2"/>
      <c r="D58267" s="2"/>
      <c r="E58267" s="2"/>
      <c r="F58267" s="2"/>
      <c r="G58267" s="2"/>
      <c r="H58267" s="2"/>
    </row>
    <row r="58516" spans="3:8" ht="15.6" x14ac:dyDescent="0.25">
      <c r="C58516" s="2"/>
      <c r="D58516" s="2"/>
      <c r="E58516" s="2"/>
      <c r="F58516" s="2"/>
      <c r="G58516" s="2"/>
      <c r="H58516" s="2"/>
    </row>
    <row r="58765" spans="3:8" ht="15.6" x14ac:dyDescent="0.25">
      <c r="C58765" s="2"/>
      <c r="D58765" s="2"/>
      <c r="E58765" s="2"/>
      <c r="F58765" s="2"/>
      <c r="G58765" s="2"/>
      <c r="H58765" s="2"/>
    </row>
    <row r="59014" spans="3:8" ht="15.6" x14ac:dyDescent="0.25">
      <c r="C59014" s="2"/>
      <c r="D59014" s="2"/>
      <c r="E59014" s="2"/>
      <c r="F59014" s="2"/>
      <c r="G59014" s="2"/>
      <c r="H59014" s="2"/>
    </row>
    <row r="59263" spans="3:8" ht="15.6" x14ac:dyDescent="0.25">
      <c r="C59263" s="2"/>
      <c r="D59263" s="2"/>
      <c r="E59263" s="2"/>
      <c r="F59263" s="2"/>
      <c r="G59263" s="2"/>
      <c r="H59263" s="2"/>
    </row>
    <row r="59512" spans="3:8" ht="15.6" x14ac:dyDescent="0.25">
      <c r="C59512" s="2"/>
      <c r="D59512" s="2"/>
      <c r="E59512" s="2"/>
      <c r="F59512" s="2"/>
      <c r="G59512" s="2"/>
      <c r="H59512" s="2"/>
    </row>
    <row r="59761" spans="3:8" ht="15.6" x14ac:dyDescent="0.25">
      <c r="C59761" s="2"/>
      <c r="D59761" s="2"/>
      <c r="E59761" s="2"/>
      <c r="F59761" s="2"/>
      <c r="G59761" s="2"/>
      <c r="H59761" s="2"/>
    </row>
    <row r="60010" spans="3:8" ht="15.6" x14ac:dyDescent="0.25">
      <c r="C60010" s="2"/>
      <c r="D60010" s="2"/>
      <c r="E60010" s="2"/>
      <c r="F60010" s="2"/>
      <c r="G60010" s="2"/>
      <c r="H60010" s="2"/>
    </row>
    <row r="60259" spans="3:8" ht="15.6" x14ac:dyDescent="0.25">
      <c r="C60259" s="2"/>
      <c r="D60259" s="2"/>
      <c r="E60259" s="2"/>
      <c r="F60259" s="2"/>
      <c r="G60259" s="2"/>
      <c r="H60259" s="2"/>
    </row>
    <row r="60508" spans="3:8" ht="15.6" x14ac:dyDescent="0.25">
      <c r="C60508" s="2"/>
      <c r="D60508" s="2"/>
      <c r="E60508" s="2"/>
      <c r="F60508" s="2"/>
      <c r="G60508" s="2"/>
      <c r="H60508" s="2"/>
    </row>
    <row r="60757" spans="3:8" ht="15.6" x14ac:dyDescent="0.25">
      <c r="C60757" s="2"/>
      <c r="D60757" s="2"/>
      <c r="E60757" s="2"/>
      <c r="F60757" s="2"/>
      <c r="G60757" s="2"/>
      <c r="H60757" s="2"/>
    </row>
    <row r="61006" spans="3:8" ht="15.6" x14ac:dyDescent="0.25">
      <c r="C61006" s="2"/>
      <c r="D61006" s="2"/>
      <c r="E61006" s="2"/>
      <c r="F61006" s="2"/>
      <c r="G61006" s="2"/>
      <c r="H61006" s="2"/>
    </row>
    <row r="61255" spans="3:8" ht="15.6" x14ac:dyDescent="0.25">
      <c r="C61255" s="2"/>
      <c r="D61255" s="2"/>
      <c r="E61255" s="2"/>
      <c r="F61255" s="2"/>
      <c r="G61255" s="2"/>
      <c r="H61255" s="2"/>
    </row>
    <row r="61504" spans="3:8" ht="15.6" x14ac:dyDescent="0.25">
      <c r="C61504" s="2"/>
      <c r="D61504" s="2"/>
      <c r="E61504" s="2"/>
      <c r="F61504" s="2"/>
      <c r="G61504" s="2"/>
      <c r="H61504" s="2"/>
    </row>
    <row r="61753" spans="3:8" ht="15.6" x14ac:dyDescent="0.25">
      <c r="C61753" s="2"/>
      <c r="D61753" s="2"/>
      <c r="E61753" s="2"/>
      <c r="F61753" s="2"/>
      <c r="G61753" s="2"/>
      <c r="H61753" s="2"/>
    </row>
    <row r="62002" spans="3:8" ht="15.6" x14ac:dyDescent="0.25">
      <c r="C62002" s="2"/>
      <c r="D62002" s="2"/>
      <c r="E62002" s="2"/>
      <c r="F62002" s="2"/>
      <c r="G62002" s="2"/>
      <c r="H62002" s="2"/>
    </row>
    <row r="62251" spans="3:8" ht="15.6" x14ac:dyDescent="0.25">
      <c r="C62251" s="2"/>
      <c r="D62251" s="2"/>
      <c r="E62251" s="2"/>
      <c r="F62251" s="2"/>
      <c r="G62251" s="2"/>
      <c r="H62251" s="2"/>
    </row>
    <row r="62500" spans="3:8" ht="15.6" x14ac:dyDescent="0.25">
      <c r="C62500" s="2"/>
      <c r="D62500" s="2"/>
      <c r="E62500" s="2"/>
      <c r="F62500" s="2"/>
      <c r="G62500" s="2"/>
      <c r="H62500" s="2"/>
    </row>
    <row r="62749" spans="3:8" ht="15.6" x14ac:dyDescent="0.25">
      <c r="C62749" s="2"/>
      <c r="D62749" s="2"/>
      <c r="E62749" s="2"/>
      <c r="F62749" s="2"/>
      <c r="G62749" s="2"/>
      <c r="H62749" s="2"/>
    </row>
    <row r="62998" spans="3:8" ht="15.6" x14ac:dyDescent="0.25">
      <c r="C62998" s="2"/>
      <c r="D62998" s="2"/>
      <c r="E62998" s="2"/>
      <c r="F62998" s="2"/>
      <c r="G62998" s="2"/>
      <c r="H62998" s="2"/>
    </row>
    <row r="63247" spans="3:8" ht="15.6" x14ac:dyDescent="0.25">
      <c r="C63247" s="2"/>
      <c r="D63247" s="2"/>
      <c r="E63247" s="2"/>
      <c r="F63247" s="2"/>
      <c r="G63247" s="2"/>
      <c r="H63247" s="2"/>
    </row>
    <row r="63496" spans="3:8" ht="15.6" x14ac:dyDescent="0.25">
      <c r="C63496" s="2"/>
      <c r="D63496" s="2"/>
      <c r="E63496" s="2"/>
      <c r="F63496" s="2"/>
      <c r="G63496" s="2"/>
      <c r="H63496" s="2"/>
    </row>
    <row r="63745" spans="3:8" ht="15.6" x14ac:dyDescent="0.25">
      <c r="C63745" s="2"/>
      <c r="D63745" s="2"/>
      <c r="E63745" s="2"/>
      <c r="F63745" s="2"/>
      <c r="G63745" s="2"/>
      <c r="H63745" s="2"/>
    </row>
    <row r="63994" spans="3:8" ht="15.6" x14ac:dyDescent="0.25">
      <c r="C63994" s="2"/>
      <c r="D63994" s="2"/>
      <c r="E63994" s="2"/>
      <c r="F63994" s="2"/>
      <c r="G63994" s="2"/>
      <c r="H63994" s="2"/>
    </row>
    <row r="64243" spans="3:8" ht="15.6" x14ac:dyDescent="0.25">
      <c r="C64243" s="2"/>
      <c r="D64243" s="2"/>
      <c r="E64243" s="2"/>
      <c r="F64243" s="2"/>
      <c r="G64243" s="2"/>
      <c r="H64243" s="2"/>
    </row>
    <row r="64492" spans="3:8" ht="15.6" x14ac:dyDescent="0.25">
      <c r="C64492" s="2"/>
      <c r="D64492" s="2"/>
      <c r="E64492" s="2"/>
      <c r="F64492" s="2"/>
      <c r="G64492" s="2"/>
      <c r="H64492" s="2"/>
    </row>
    <row r="64741" spans="3:8" ht="15.6" x14ac:dyDescent="0.25">
      <c r="C64741" s="2"/>
      <c r="D64741" s="2"/>
      <c r="E64741" s="2"/>
      <c r="F64741" s="2"/>
      <c r="G64741" s="2"/>
      <c r="H64741" s="2"/>
    </row>
    <row r="64990" spans="3:8" ht="15.6" x14ac:dyDescent="0.25">
      <c r="C64990" s="2"/>
      <c r="D64990" s="2"/>
      <c r="E64990" s="2"/>
      <c r="F64990" s="2"/>
      <c r="G64990" s="2"/>
      <c r="H64990" s="2"/>
    </row>
    <row r="65239" spans="3:8" ht="15.6" x14ac:dyDescent="0.25">
      <c r="C65239" s="2"/>
      <c r="D65239" s="2"/>
      <c r="E65239" s="2"/>
      <c r="F65239" s="2"/>
      <c r="G65239" s="2"/>
      <c r="H65239" s="2"/>
    </row>
    <row r="65488" spans="3:8" ht="15.6" x14ac:dyDescent="0.25">
      <c r="C65488" s="2"/>
      <c r="D65488" s="2"/>
      <c r="E65488" s="2"/>
      <c r="F65488" s="2"/>
      <c r="G65488" s="2"/>
      <c r="H65488" s="2"/>
    </row>
    <row r="65737" spans="3:8" ht="15.6" x14ac:dyDescent="0.25">
      <c r="C65737" s="2"/>
      <c r="D65737" s="2"/>
      <c r="E65737" s="2"/>
      <c r="F65737" s="2"/>
      <c r="G65737" s="2"/>
      <c r="H65737" s="2"/>
    </row>
    <row r="65986" spans="3:8" ht="15.6" x14ac:dyDescent="0.25">
      <c r="C65986" s="2"/>
      <c r="D65986" s="2"/>
      <c r="E65986" s="2"/>
      <c r="F65986" s="2"/>
      <c r="G65986" s="2"/>
      <c r="H65986" s="2"/>
    </row>
    <row r="66235" spans="3:8" ht="15.6" x14ac:dyDescent="0.25">
      <c r="C66235" s="2"/>
      <c r="D66235" s="2"/>
      <c r="E66235" s="2"/>
      <c r="F66235" s="2"/>
      <c r="G66235" s="2"/>
      <c r="H66235" s="2"/>
    </row>
    <row r="66484" spans="3:8" ht="15.6" x14ac:dyDescent="0.25">
      <c r="C66484" s="2"/>
      <c r="D66484" s="2"/>
      <c r="E66484" s="2"/>
      <c r="F66484" s="2"/>
      <c r="G66484" s="2"/>
      <c r="H66484" s="2"/>
    </row>
    <row r="66733" spans="3:8" ht="15.6" x14ac:dyDescent="0.25">
      <c r="C66733" s="2"/>
      <c r="D66733" s="2"/>
      <c r="E66733" s="2"/>
      <c r="F66733" s="2"/>
      <c r="G66733" s="2"/>
      <c r="H66733" s="2"/>
    </row>
    <row r="66982" spans="3:8" ht="15.6" x14ac:dyDescent="0.25">
      <c r="C66982" s="2"/>
      <c r="D66982" s="2"/>
      <c r="E66982" s="2"/>
      <c r="F66982" s="2"/>
      <c r="G66982" s="2"/>
      <c r="H66982" s="2"/>
    </row>
    <row r="67231" spans="3:8" ht="15.6" x14ac:dyDescent="0.25">
      <c r="C67231" s="2"/>
      <c r="D67231" s="2"/>
      <c r="E67231" s="2"/>
      <c r="F67231" s="2"/>
      <c r="G67231" s="2"/>
      <c r="H67231" s="2"/>
    </row>
    <row r="67480" spans="3:8" ht="15.6" x14ac:dyDescent="0.25">
      <c r="C67480" s="2"/>
      <c r="D67480" s="2"/>
      <c r="E67480" s="2"/>
      <c r="F67480" s="2"/>
      <c r="G67480" s="2"/>
      <c r="H67480" s="2"/>
    </row>
    <row r="67729" spans="3:8" ht="15.6" x14ac:dyDescent="0.25">
      <c r="C67729" s="2"/>
      <c r="D67729" s="2"/>
      <c r="E67729" s="2"/>
      <c r="F67729" s="2"/>
      <c r="G67729" s="2"/>
      <c r="H67729" s="2"/>
    </row>
    <row r="67978" spans="3:8" ht="15.6" x14ac:dyDescent="0.25">
      <c r="C67978" s="2"/>
      <c r="D67978" s="2"/>
      <c r="E67978" s="2"/>
      <c r="F67978" s="2"/>
      <c r="G67978" s="2"/>
      <c r="H67978" s="2"/>
    </row>
    <row r="68227" spans="3:8" ht="15.6" x14ac:dyDescent="0.25">
      <c r="C68227" s="2"/>
      <c r="D68227" s="2"/>
      <c r="E68227" s="2"/>
      <c r="F68227" s="2"/>
      <c r="G68227" s="2"/>
      <c r="H68227" s="2"/>
    </row>
    <row r="68476" spans="3:8" ht="15.6" x14ac:dyDescent="0.25">
      <c r="C68476" s="2"/>
      <c r="D68476" s="2"/>
      <c r="E68476" s="2"/>
      <c r="F68476" s="2"/>
      <c r="G68476" s="2"/>
      <c r="H68476" s="2"/>
    </row>
    <row r="68725" spans="3:8" ht="15.6" x14ac:dyDescent="0.25">
      <c r="C68725" s="2"/>
      <c r="D68725" s="2"/>
      <c r="E68725" s="2"/>
      <c r="F68725" s="2"/>
      <c r="G68725" s="2"/>
      <c r="H68725" s="2"/>
    </row>
    <row r="68974" spans="3:8" ht="15.6" x14ac:dyDescent="0.25">
      <c r="C68974" s="2"/>
      <c r="D68974" s="2"/>
      <c r="E68974" s="2"/>
      <c r="F68974" s="2"/>
      <c r="G68974" s="2"/>
      <c r="H68974" s="2"/>
    </row>
    <row r="69223" spans="3:8" ht="15.6" x14ac:dyDescent="0.25">
      <c r="C69223" s="2"/>
      <c r="D69223" s="2"/>
      <c r="E69223" s="2"/>
      <c r="F69223" s="2"/>
      <c r="G69223" s="2"/>
      <c r="H69223" s="2"/>
    </row>
    <row r="69472" spans="3:8" ht="15.6" x14ac:dyDescent="0.25">
      <c r="C69472" s="2"/>
      <c r="D69472" s="2"/>
      <c r="E69472" s="2"/>
      <c r="F69472" s="2"/>
      <c r="G69472" s="2"/>
      <c r="H69472" s="2"/>
    </row>
    <row r="69721" spans="3:8" ht="15.6" x14ac:dyDescent="0.25">
      <c r="C69721" s="2"/>
      <c r="D69721" s="2"/>
      <c r="E69721" s="2"/>
      <c r="F69721" s="2"/>
      <c r="G69721" s="2"/>
      <c r="H69721" s="2"/>
    </row>
    <row r="69970" spans="3:8" ht="15.6" x14ac:dyDescent="0.25">
      <c r="C69970" s="2"/>
      <c r="D69970" s="2"/>
      <c r="E69970" s="2"/>
      <c r="F69970" s="2"/>
      <c r="G69970" s="2"/>
      <c r="H69970" s="2"/>
    </row>
    <row r="70219" spans="3:8" ht="15.6" x14ac:dyDescent="0.25">
      <c r="C70219" s="2"/>
      <c r="D70219" s="2"/>
      <c r="E70219" s="2"/>
      <c r="F70219" s="2"/>
      <c r="G70219" s="2"/>
      <c r="H70219" s="2"/>
    </row>
    <row r="70468" spans="3:8" ht="15.6" x14ac:dyDescent="0.25">
      <c r="C70468" s="2"/>
      <c r="D70468" s="2"/>
      <c r="E70468" s="2"/>
      <c r="F70468" s="2"/>
      <c r="G70468" s="2"/>
      <c r="H70468" s="2"/>
    </row>
    <row r="70717" spans="3:8" ht="15.6" x14ac:dyDescent="0.25">
      <c r="C70717" s="2"/>
      <c r="D70717" s="2"/>
      <c r="E70717" s="2"/>
      <c r="F70717" s="2"/>
      <c r="G70717" s="2"/>
      <c r="H70717" s="2"/>
    </row>
    <row r="70966" spans="3:8" ht="15.6" x14ac:dyDescent="0.25">
      <c r="C70966" s="2"/>
      <c r="D70966" s="2"/>
      <c r="E70966" s="2"/>
      <c r="F70966" s="2"/>
      <c r="G70966" s="2"/>
      <c r="H70966" s="2"/>
    </row>
    <row r="71215" spans="3:8" ht="15.6" x14ac:dyDescent="0.25">
      <c r="C71215" s="2"/>
      <c r="D71215" s="2"/>
      <c r="E71215" s="2"/>
      <c r="F71215" s="2"/>
      <c r="G71215" s="2"/>
      <c r="H71215" s="2"/>
    </row>
    <row r="71464" spans="3:8" ht="15.6" x14ac:dyDescent="0.25">
      <c r="C71464" s="2"/>
      <c r="D71464" s="2"/>
      <c r="E71464" s="2"/>
      <c r="F71464" s="2"/>
      <c r="G71464" s="2"/>
      <c r="H71464" s="2"/>
    </row>
    <row r="71713" spans="3:8" ht="15.6" x14ac:dyDescent="0.25">
      <c r="C71713" s="2"/>
      <c r="D71713" s="2"/>
      <c r="E71713" s="2"/>
      <c r="F71713" s="2"/>
      <c r="G71713" s="2"/>
      <c r="H71713" s="2"/>
    </row>
    <row r="71962" spans="3:8" ht="15.6" x14ac:dyDescent="0.25">
      <c r="C71962" s="2"/>
      <c r="D71962" s="2"/>
      <c r="E71962" s="2"/>
      <c r="F71962" s="2"/>
      <c r="G71962" s="2"/>
      <c r="H71962" s="2"/>
    </row>
    <row r="72211" spans="3:8" ht="15.6" x14ac:dyDescent="0.25">
      <c r="C72211" s="2"/>
      <c r="D72211" s="2"/>
      <c r="E72211" s="2"/>
      <c r="F72211" s="2"/>
      <c r="G72211" s="2"/>
      <c r="H72211" s="2"/>
    </row>
    <row r="72460" spans="3:8" ht="15.6" x14ac:dyDescent="0.25">
      <c r="C72460" s="2"/>
      <c r="D72460" s="2"/>
      <c r="E72460" s="2"/>
      <c r="F72460" s="2"/>
      <c r="G72460" s="2"/>
      <c r="H72460" s="2"/>
    </row>
    <row r="72709" spans="3:8" ht="15.6" x14ac:dyDescent="0.25">
      <c r="C72709" s="2"/>
      <c r="D72709" s="2"/>
      <c r="E72709" s="2"/>
      <c r="F72709" s="2"/>
      <c r="G72709" s="2"/>
      <c r="H72709" s="2"/>
    </row>
    <row r="72958" spans="3:8" ht="15.6" x14ac:dyDescent="0.25">
      <c r="C72958" s="2"/>
      <c r="D72958" s="2"/>
      <c r="E72958" s="2"/>
      <c r="F72958" s="2"/>
      <c r="G72958" s="2"/>
      <c r="H72958" s="2"/>
    </row>
    <row r="73207" spans="3:8" ht="15.6" x14ac:dyDescent="0.25">
      <c r="C73207" s="2"/>
      <c r="D73207" s="2"/>
      <c r="E73207" s="2"/>
      <c r="F73207" s="2"/>
      <c r="G73207" s="2"/>
      <c r="H73207" s="2"/>
    </row>
    <row r="73456" spans="3:8" ht="15.6" x14ac:dyDescent="0.25">
      <c r="C73456" s="2"/>
      <c r="D73456" s="2"/>
      <c r="E73456" s="2"/>
      <c r="F73456" s="2"/>
      <c r="G73456" s="2"/>
      <c r="H73456" s="2"/>
    </row>
    <row r="73705" spans="3:8" ht="15.6" x14ac:dyDescent="0.25">
      <c r="C73705" s="2"/>
      <c r="D73705" s="2"/>
      <c r="E73705" s="2"/>
      <c r="F73705" s="2"/>
      <c r="G73705" s="2"/>
      <c r="H73705" s="2"/>
    </row>
    <row r="73954" spans="3:8" ht="15.6" x14ac:dyDescent="0.25">
      <c r="C73954" s="2"/>
      <c r="D73954" s="2"/>
      <c r="E73954" s="2"/>
      <c r="F73954" s="2"/>
      <c r="G73954" s="2"/>
      <c r="H73954" s="2"/>
    </row>
    <row r="74203" spans="3:8" ht="15.6" x14ac:dyDescent="0.25">
      <c r="C74203" s="2"/>
      <c r="D74203" s="2"/>
      <c r="E74203" s="2"/>
      <c r="F74203" s="2"/>
      <c r="G74203" s="2"/>
      <c r="H74203" s="2"/>
    </row>
    <row r="74452" spans="3:8" ht="15.6" x14ac:dyDescent="0.25">
      <c r="C74452" s="2"/>
      <c r="D74452" s="2"/>
      <c r="E74452" s="2"/>
      <c r="F74452" s="2"/>
      <c r="G74452" s="2"/>
      <c r="H74452" s="2"/>
    </row>
    <row r="74701" spans="3:8" ht="15.6" x14ac:dyDescent="0.25">
      <c r="C74701" s="2"/>
      <c r="D74701" s="2"/>
      <c r="E74701" s="2"/>
      <c r="F74701" s="2"/>
      <c r="G74701" s="2"/>
      <c r="H74701" s="2"/>
    </row>
    <row r="74950" spans="3:8" ht="15.6" x14ac:dyDescent="0.25">
      <c r="C74950" s="2"/>
      <c r="D74950" s="2"/>
      <c r="E74950" s="2"/>
      <c r="F74950" s="2"/>
      <c r="G74950" s="2"/>
      <c r="H74950" s="2"/>
    </row>
    <row r="75199" spans="3:8" ht="15.6" x14ac:dyDescent="0.25">
      <c r="C75199" s="2"/>
      <c r="D75199" s="2"/>
      <c r="E75199" s="2"/>
      <c r="F75199" s="2"/>
      <c r="G75199" s="2"/>
      <c r="H75199" s="2"/>
    </row>
    <row r="75448" spans="3:8" ht="15.6" x14ac:dyDescent="0.25">
      <c r="C75448" s="2"/>
      <c r="D75448" s="2"/>
      <c r="E75448" s="2"/>
      <c r="F75448" s="2"/>
      <c r="G75448" s="2"/>
      <c r="H75448" s="2"/>
    </row>
    <row r="75697" spans="3:8" ht="15.6" x14ac:dyDescent="0.25">
      <c r="C75697" s="2"/>
      <c r="D75697" s="2"/>
      <c r="E75697" s="2"/>
      <c r="F75697" s="2"/>
      <c r="G75697" s="2"/>
      <c r="H75697" s="2"/>
    </row>
    <row r="75946" spans="3:8" ht="15.6" x14ac:dyDescent="0.25">
      <c r="C75946" s="2"/>
      <c r="D75946" s="2"/>
      <c r="E75946" s="2"/>
      <c r="F75946" s="2"/>
      <c r="G75946" s="2"/>
      <c r="H75946" s="2"/>
    </row>
    <row r="76195" spans="3:8" ht="15.6" x14ac:dyDescent="0.25">
      <c r="C76195" s="2"/>
      <c r="D76195" s="2"/>
      <c r="E76195" s="2"/>
      <c r="F76195" s="2"/>
      <c r="G76195" s="2"/>
      <c r="H76195" s="2"/>
    </row>
    <row r="76444" spans="3:8" ht="15.6" x14ac:dyDescent="0.25">
      <c r="C76444" s="2"/>
      <c r="D76444" s="2"/>
      <c r="E76444" s="2"/>
      <c r="F76444" s="2"/>
      <c r="G76444" s="2"/>
      <c r="H76444" s="2"/>
    </row>
    <row r="76693" spans="3:8" ht="15.6" x14ac:dyDescent="0.25">
      <c r="C76693" s="2"/>
      <c r="D76693" s="2"/>
      <c r="E76693" s="2"/>
      <c r="F76693" s="2"/>
      <c r="G76693" s="2"/>
      <c r="H76693" s="2"/>
    </row>
    <row r="76942" spans="3:8" ht="15.6" x14ac:dyDescent="0.25">
      <c r="C76942" s="2"/>
      <c r="D76942" s="2"/>
      <c r="E76942" s="2"/>
      <c r="F76942" s="2"/>
      <c r="G76942" s="2"/>
      <c r="H76942" s="2"/>
    </row>
    <row r="77191" spans="3:8" ht="15.6" x14ac:dyDescent="0.25">
      <c r="C77191" s="2"/>
      <c r="D77191" s="2"/>
      <c r="E77191" s="2"/>
      <c r="F77191" s="2"/>
      <c r="G77191" s="2"/>
      <c r="H77191" s="2"/>
    </row>
    <row r="77440" spans="3:8" ht="15.6" x14ac:dyDescent="0.25">
      <c r="C77440" s="2"/>
      <c r="D77440" s="2"/>
      <c r="E77440" s="2"/>
      <c r="F77440" s="2"/>
      <c r="G77440" s="2"/>
      <c r="H77440" s="2"/>
    </row>
    <row r="77689" spans="3:8" ht="15.6" x14ac:dyDescent="0.25">
      <c r="C77689" s="2"/>
      <c r="D77689" s="2"/>
      <c r="E77689" s="2"/>
      <c r="F77689" s="2"/>
      <c r="G77689" s="2"/>
      <c r="H77689" s="2"/>
    </row>
    <row r="77938" spans="3:8" ht="15.6" x14ac:dyDescent="0.25">
      <c r="C77938" s="2"/>
      <c r="D77938" s="2"/>
      <c r="E77938" s="2"/>
      <c r="F77938" s="2"/>
      <c r="G77938" s="2"/>
      <c r="H77938" s="2"/>
    </row>
    <row r="78187" spans="3:8" ht="15.6" x14ac:dyDescent="0.25">
      <c r="C78187" s="2"/>
      <c r="D78187" s="2"/>
      <c r="E78187" s="2"/>
      <c r="F78187" s="2"/>
      <c r="G78187" s="2"/>
      <c r="H78187" s="2"/>
    </row>
    <row r="78436" spans="3:8" ht="15.6" x14ac:dyDescent="0.25">
      <c r="C78436" s="2"/>
      <c r="D78436" s="2"/>
      <c r="E78436" s="2"/>
      <c r="F78436" s="2"/>
      <c r="G78436" s="2"/>
      <c r="H78436" s="2"/>
    </row>
    <row r="78685" spans="3:8" ht="15.6" x14ac:dyDescent="0.25">
      <c r="C78685" s="2"/>
      <c r="D78685" s="2"/>
      <c r="E78685" s="2"/>
      <c r="F78685" s="2"/>
      <c r="G78685" s="2"/>
      <c r="H78685" s="2"/>
    </row>
    <row r="78934" spans="3:8" ht="15.6" x14ac:dyDescent="0.25">
      <c r="C78934" s="2"/>
      <c r="D78934" s="2"/>
      <c r="E78934" s="2"/>
      <c r="F78934" s="2"/>
      <c r="G78934" s="2"/>
      <c r="H78934" s="2"/>
    </row>
    <row r="79183" spans="3:8" ht="15.6" x14ac:dyDescent="0.25">
      <c r="C79183" s="2"/>
      <c r="D79183" s="2"/>
      <c r="E79183" s="2"/>
      <c r="F79183" s="2"/>
      <c r="G79183" s="2"/>
      <c r="H79183" s="2"/>
    </row>
    <row r="79432" spans="3:8" ht="15.6" x14ac:dyDescent="0.25">
      <c r="C79432" s="2"/>
      <c r="D79432" s="2"/>
      <c r="E79432" s="2"/>
      <c r="F79432" s="2"/>
      <c r="G79432" s="2"/>
      <c r="H79432" s="2"/>
    </row>
    <row r="79681" spans="3:8" ht="15.6" x14ac:dyDescent="0.25">
      <c r="C79681" s="2"/>
      <c r="D79681" s="2"/>
      <c r="E79681" s="2"/>
      <c r="F79681" s="2"/>
      <c r="G79681" s="2"/>
      <c r="H79681" s="2"/>
    </row>
    <row r="79930" spans="3:8" ht="15.6" x14ac:dyDescent="0.25">
      <c r="C79930" s="2"/>
      <c r="D79930" s="2"/>
      <c r="E79930" s="2"/>
      <c r="F79930" s="2"/>
      <c r="G79930" s="2"/>
      <c r="H79930" s="2"/>
    </row>
    <row r="80179" spans="3:8" ht="15.6" x14ac:dyDescent="0.25">
      <c r="C80179" s="2"/>
      <c r="D80179" s="2"/>
      <c r="E80179" s="2"/>
      <c r="F80179" s="2"/>
      <c r="G80179" s="2"/>
      <c r="H80179" s="2"/>
    </row>
    <row r="80428" spans="3:8" ht="15.6" x14ac:dyDescent="0.25">
      <c r="C80428" s="2"/>
      <c r="D80428" s="2"/>
      <c r="E80428" s="2"/>
      <c r="F80428" s="2"/>
      <c r="G80428" s="2"/>
      <c r="H80428" s="2"/>
    </row>
    <row r="80677" spans="3:8" ht="15.6" x14ac:dyDescent="0.25">
      <c r="C80677" s="2"/>
      <c r="D80677" s="2"/>
      <c r="E80677" s="2"/>
      <c r="F80677" s="2"/>
      <c r="G80677" s="2"/>
      <c r="H80677" s="2"/>
    </row>
    <row r="80926" spans="3:8" ht="15.6" x14ac:dyDescent="0.25">
      <c r="C80926" s="2"/>
      <c r="D80926" s="2"/>
      <c r="E80926" s="2"/>
      <c r="F80926" s="2"/>
      <c r="G80926" s="2"/>
      <c r="H80926" s="2"/>
    </row>
    <row r="81175" spans="3:8" ht="15.6" x14ac:dyDescent="0.25">
      <c r="C81175" s="2"/>
      <c r="D81175" s="2"/>
      <c r="E81175" s="2"/>
      <c r="F81175" s="2"/>
      <c r="G81175" s="2"/>
      <c r="H81175" s="2"/>
    </row>
    <row r="81424" spans="3:8" ht="15.6" x14ac:dyDescent="0.25">
      <c r="C81424" s="2"/>
      <c r="D81424" s="2"/>
      <c r="E81424" s="2"/>
      <c r="F81424" s="2"/>
      <c r="G81424" s="2"/>
      <c r="H81424" s="2"/>
    </row>
    <row r="81673" spans="3:8" ht="15.6" x14ac:dyDescent="0.25">
      <c r="C81673" s="2"/>
      <c r="D81673" s="2"/>
      <c r="E81673" s="2"/>
      <c r="F81673" s="2"/>
      <c r="G81673" s="2"/>
      <c r="H81673" s="2"/>
    </row>
    <row r="81922" spans="3:8" ht="15.6" x14ac:dyDescent="0.25">
      <c r="C81922" s="2"/>
      <c r="D81922" s="2"/>
      <c r="E81922" s="2"/>
      <c r="F81922" s="2"/>
      <c r="G81922" s="2"/>
      <c r="H81922" s="2"/>
    </row>
    <row r="82171" spans="3:8" ht="15.6" x14ac:dyDescent="0.25">
      <c r="C82171" s="2"/>
      <c r="D82171" s="2"/>
      <c r="E82171" s="2"/>
      <c r="F82171" s="2"/>
      <c r="G82171" s="2"/>
      <c r="H82171" s="2"/>
    </row>
    <row r="82420" spans="3:8" ht="15.6" x14ac:dyDescent="0.25">
      <c r="C82420" s="2"/>
      <c r="D82420" s="2"/>
      <c r="E82420" s="2"/>
      <c r="F82420" s="2"/>
      <c r="G82420" s="2"/>
      <c r="H82420" s="2"/>
    </row>
    <row r="82669" spans="3:8" ht="15.6" x14ac:dyDescent="0.25">
      <c r="C82669" s="2"/>
      <c r="D82669" s="2"/>
      <c r="E82669" s="2"/>
      <c r="F82669" s="2"/>
      <c r="G82669" s="2"/>
      <c r="H82669" s="2"/>
    </row>
    <row r="82918" spans="3:8" ht="15.6" x14ac:dyDescent="0.25">
      <c r="C82918" s="2"/>
      <c r="D82918" s="2"/>
      <c r="E82918" s="2"/>
      <c r="F82918" s="2"/>
      <c r="G82918" s="2"/>
      <c r="H82918" s="2"/>
    </row>
    <row r="83167" spans="3:8" ht="15.6" x14ac:dyDescent="0.25">
      <c r="C83167" s="2"/>
      <c r="D83167" s="2"/>
      <c r="E83167" s="2"/>
      <c r="F83167" s="2"/>
      <c r="G83167" s="2"/>
      <c r="H83167" s="2"/>
    </row>
    <row r="83416" spans="3:8" ht="15.6" x14ac:dyDescent="0.25">
      <c r="C83416" s="2"/>
      <c r="D83416" s="2"/>
      <c r="E83416" s="2"/>
      <c r="F83416" s="2"/>
      <c r="G83416" s="2"/>
      <c r="H83416" s="2"/>
    </row>
    <row r="83665" spans="3:8" ht="15.6" x14ac:dyDescent="0.25">
      <c r="C83665" s="2"/>
      <c r="D83665" s="2"/>
      <c r="E83665" s="2"/>
      <c r="F83665" s="2"/>
      <c r="G83665" s="2"/>
      <c r="H83665" s="2"/>
    </row>
    <row r="83914" spans="3:8" ht="15.6" x14ac:dyDescent="0.25">
      <c r="C83914" s="2"/>
      <c r="D83914" s="2"/>
      <c r="E83914" s="2"/>
      <c r="F83914" s="2"/>
      <c r="G83914" s="2"/>
      <c r="H83914" s="2"/>
    </row>
    <row r="84163" spans="3:8" ht="15.6" x14ac:dyDescent="0.25">
      <c r="C84163" s="2"/>
      <c r="D84163" s="2"/>
      <c r="E84163" s="2"/>
      <c r="F84163" s="2"/>
      <c r="G84163" s="2"/>
      <c r="H84163" s="2"/>
    </row>
    <row r="84412" spans="3:8" ht="15.6" x14ac:dyDescent="0.25">
      <c r="C84412" s="2"/>
      <c r="D84412" s="2"/>
      <c r="E84412" s="2"/>
      <c r="F84412" s="2"/>
      <c r="G84412" s="2"/>
      <c r="H84412" s="2"/>
    </row>
    <row r="84661" spans="3:8" ht="15.6" x14ac:dyDescent="0.25">
      <c r="C84661" s="2"/>
      <c r="D84661" s="2"/>
      <c r="E84661" s="2"/>
      <c r="F84661" s="2"/>
      <c r="G84661" s="2"/>
      <c r="H84661" s="2"/>
    </row>
    <row r="84910" spans="3:8" ht="15.6" x14ac:dyDescent="0.25">
      <c r="C84910" s="2"/>
      <c r="D84910" s="2"/>
      <c r="E84910" s="2"/>
      <c r="F84910" s="2"/>
      <c r="G84910" s="2"/>
      <c r="H84910" s="2"/>
    </row>
    <row r="85159" spans="3:8" ht="15.6" x14ac:dyDescent="0.25">
      <c r="C85159" s="2"/>
      <c r="D85159" s="2"/>
      <c r="E85159" s="2"/>
      <c r="F85159" s="2"/>
      <c r="G85159" s="2"/>
      <c r="H85159" s="2"/>
    </row>
    <row r="85408" spans="3:8" ht="15.6" x14ac:dyDescent="0.25">
      <c r="C85408" s="2"/>
      <c r="D85408" s="2"/>
      <c r="E85408" s="2"/>
      <c r="F85408" s="2"/>
      <c r="G85408" s="2"/>
      <c r="H85408" s="2"/>
    </row>
    <row r="85657" spans="3:8" ht="15.6" x14ac:dyDescent="0.25">
      <c r="C85657" s="2"/>
      <c r="D85657" s="2"/>
      <c r="E85657" s="2"/>
      <c r="F85657" s="2"/>
      <c r="G85657" s="2"/>
      <c r="H85657" s="2"/>
    </row>
    <row r="85906" spans="3:8" ht="15.6" x14ac:dyDescent="0.25">
      <c r="C85906" s="2"/>
      <c r="D85906" s="2"/>
      <c r="E85906" s="2"/>
      <c r="F85906" s="2"/>
      <c r="G85906" s="2"/>
      <c r="H85906" s="2"/>
    </row>
    <row r="86155" spans="3:8" ht="15.6" x14ac:dyDescent="0.25">
      <c r="C86155" s="2"/>
      <c r="D86155" s="2"/>
      <c r="E86155" s="2"/>
      <c r="F86155" s="2"/>
      <c r="G86155" s="2"/>
      <c r="H86155" s="2"/>
    </row>
    <row r="86404" spans="3:8" ht="15.6" x14ac:dyDescent="0.25">
      <c r="C86404" s="2"/>
      <c r="D86404" s="2"/>
      <c r="E86404" s="2"/>
      <c r="F86404" s="2"/>
      <c r="G86404" s="2"/>
      <c r="H86404" s="2"/>
    </row>
    <row r="86653" spans="3:8" ht="15.6" x14ac:dyDescent="0.25">
      <c r="C86653" s="2"/>
      <c r="D86653" s="2"/>
      <c r="E86653" s="2"/>
      <c r="F86653" s="2"/>
      <c r="G86653" s="2"/>
      <c r="H86653" s="2"/>
    </row>
    <row r="86902" spans="3:8" ht="15.6" x14ac:dyDescent="0.25">
      <c r="C86902" s="2"/>
      <c r="D86902" s="2"/>
      <c r="E86902" s="2"/>
      <c r="F86902" s="2"/>
      <c r="G86902" s="2"/>
      <c r="H86902" s="2"/>
    </row>
    <row r="87151" spans="3:8" ht="15.6" x14ac:dyDescent="0.25">
      <c r="C87151" s="2"/>
      <c r="D87151" s="2"/>
      <c r="E87151" s="2"/>
      <c r="F87151" s="2"/>
      <c r="G87151" s="2"/>
      <c r="H87151" s="2"/>
    </row>
    <row r="87400" spans="3:8" ht="15.6" x14ac:dyDescent="0.25">
      <c r="C87400" s="2"/>
      <c r="D87400" s="2"/>
      <c r="E87400" s="2"/>
      <c r="F87400" s="2"/>
      <c r="G87400" s="2"/>
      <c r="H87400" s="2"/>
    </row>
    <row r="87649" spans="3:8" ht="15.6" x14ac:dyDescent="0.25">
      <c r="C87649" s="2"/>
      <c r="D87649" s="2"/>
      <c r="E87649" s="2"/>
      <c r="F87649" s="2"/>
      <c r="G87649" s="2"/>
      <c r="H87649" s="2"/>
    </row>
    <row r="87898" spans="3:8" ht="15.6" x14ac:dyDescent="0.25">
      <c r="C87898" s="2"/>
      <c r="D87898" s="2"/>
      <c r="E87898" s="2"/>
      <c r="F87898" s="2"/>
      <c r="G87898" s="2"/>
      <c r="H87898" s="2"/>
    </row>
    <row r="88147" spans="3:8" ht="15.6" x14ac:dyDescent="0.25">
      <c r="C88147" s="2"/>
      <c r="D88147" s="2"/>
      <c r="E88147" s="2"/>
      <c r="F88147" s="2"/>
      <c r="G88147" s="2"/>
      <c r="H88147" s="2"/>
    </row>
    <row r="88396" spans="3:8" ht="15.6" x14ac:dyDescent="0.25">
      <c r="C88396" s="2"/>
      <c r="D88396" s="2"/>
      <c r="E88396" s="2"/>
      <c r="F88396" s="2"/>
      <c r="G88396" s="2"/>
      <c r="H88396" s="2"/>
    </row>
    <row r="88645" spans="3:8" ht="15.6" x14ac:dyDescent="0.25">
      <c r="C88645" s="2"/>
      <c r="D88645" s="2"/>
      <c r="E88645" s="2"/>
      <c r="F88645" s="2"/>
      <c r="G88645" s="2"/>
      <c r="H88645" s="2"/>
    </row>
    <row r="88894" spans="3:8" ht="15.6" x14ac:dyDescent="0.25">
      <c r="C88894" s="2"/>
      <c r="D88894" s="2"/>
      <c r="E88894" s="2"/>
      <c r="F88894" s="2"/>
      <c r="G88894" s="2"/>
      <c r="H88894" s="2"/>
    </row>
    <row r="89143" spans="3:8" ht="15.6" x14ac:dyDescent="0.25">
      <c r="C89143" s="2"/>
      <c r="D89143" s="2"/>
      <c r="E89143" s="2"/>
      <c r="F89143" s="2"/>
      <c r="G89143" s="2"/>
      <c r="H89143" s="2"/>
    </row>
    <row r="89392" spans="3:8" ht="15.6" x14ac:dyDescent="0.25">
      <c r="C89392" s="2"/>
      <c r="D89392" s="2"/>
      <c r="E89392" s="2"/>
      <c r="F89392" s="2"/>
      <c r="G89392" s="2"/>
      <c r="H89392" s="2"/>
    </row>
    <row r="89641" spans="3:8" ht="15.6" x14ac:dyDescent="0.25">
      <c r="C89641" s="2"/>
      <c r="D89641" s="2"/>
      <c r="E89641" s="2"/>
      <c r="F89641" s="2"/>
      <c r="G89641" s="2"/>
      <c r="H89641" s="2"/>
    </row>
    <row r="89890" spans="3:8" ht="15.6" x14ac:dyDescent="0.25">
      <c r="C89890" s="2"/>
      <c r="D89890" s="2"/>
      <c r="E89890" s="2"/>
      <c r="F89890" s="2"/>
      <c r="G89890" s="2"/>
      <c r="H89890" s="2"/>
    </row>
    <row r="90139" spans="3:8" ht="15.6" x14ac:dyDescent="0.25">
      <c r="C90139" s="2"/>
      <c r="D90139" s="2"/>
      <c r="E90139" s="2"/>
      <c r="F90139" s="2"/>
      <c r="G90139" s="2"/>
      <c r="H90139" s="2"/>
    </row>
    <row r="90388" spans="3:8" ht="15.6" x14ac:dyDescent="0.25">
      <c r="C90388" s="2"/>
      <c r="D90388" s="2"/>
      <c r="E90388" s="2"/>
      <c r="F90388" s="2"/>
      <c r="G90388" s="2"/>
      <c r="H90388" s="2"/>
    </row>
    <row r="90637" spans="3:8" ht="15.6" x14ac:dyDescent="0.25">
      <c r="C90637" s="2"/>
      <c r="D90637" s="2"/>
      <c r="E90637" s="2"/>
      <c r="F90637" s="2"/>
      <c r="G90637" s="2"/>
      <c r="H90637" s="2"/>
    </row>
    <row r="90886" spans="3:8" ht="15.6" x14ac:dyDescent="0.25">
      <c r="C90886" s="2"/>
      <c r="D90886" s="2"/>
      <c r="E90886" s="2"/>
      <c r="F90886" s="2"/>
      <c r="G90886" s="2"/>
      <c r="H90886" s="2"/>
    </row>
    <row r="91135" spans="3:8" ht="15.6" x14ac:dyDescent="0.25">
      <c r="C91135" s="2"/>
      <c r="D91135" s="2"/>
      <c r="E91135" s="2"/>
      <c r="F91135" s="2"/>
      <c r="G91135" s="2"/>
      <c r="H91135" s="2"/>
    </row>
    <row r="91384" spans="3:8" ht="15.6" x14ac:dyDescent="0.25">
      <c r="C91384" s="2"/>
      <c r="D91384" s="2"/>
      <c r="E91384" s="2"/>
      <c r="F91384" s="2"/>
      <c r="G91384" s="2"/>
      <c r="H91384" s="2"/>
    </row>
    <row r="91633" spans="3:8" ht="15.6" x14ac:dyDescent="0.25">
      <c r="C91633" s="2"/>
      <c r="D91633" s="2"/>
      <c r="E91633" s="2"/>
      <c r="F91633" s="2"/>
      <c r="G91633" s="2"/>
      <c r="H91633" s="2"/>
    </row>
    <row r="91882" spans="3:8" ht="15.6" x14ac:dyDescent="0.25">
      <c r="C91882" s="2"/>
      <c r="D91882" s="2"/>
      <c r="E91882" s="2"/>
      <c r="F91882" s="2"/>
      <c r="G91882" s="2"/>
      <c r="H91882" s="2"/>
    </row>
    <row r="92131" spans="3:8" ht="15.6" x14ac:dyDescent="0.25">
      <c r="C92131" s="2"/>
      <c r="D92131" s="2"/>
      <c r="E92131" s="2"/>
      <c r="F92131" s="2"/>
      <c r="G92131" s="2"/>
      <c r="H92131" s="2"/>
    </row>
    <row r="92380" spans="3:8" ht="15.6" x14ac:dyDescent="0.25">
      <c r="C92380" s="2"/>
      <c r="D92380" s="2"/>
      <c r="E92380" s="2"/>
      <c r="F92380" s="2"/>
      <c r="G92380" s="2"/>
      <c r="H92380" s="2"/>
    </row>
    <row r="92629" spans="3:8" ht="15.6" x14ac:dyDescent="0.25">
      <c r="C92629" s="2"/>
      <c r="D92629" s="2"/>
      <c r="E92629" s="2"/>
      <c r="F92629" s="2"/>
      <c r="G92629" s="2"/>
      <c r="H92629" s="2"/>
    </row>
    <row r="92878" spans="3:8" ht="15.6" x14ac:dyDescent="0.25">
      <c r="C92878" s="2"/>
      <c r="D92878" s="2"/>
      <c r="E92878" s="2"/>
      <c r="F92878" s="2"/>
      <c r="G92878" s="2"/>
      <c r="H92878" s="2"/>
    </row>
    <row r="93127" spans="3:8" ht="15.6" x14ac:dyDescent="0.25">
      <c r="C93127" s="2"/>
      <c r="D93127" s="2"/>
      <c r="E93127" s="2"/>
      <c r="F93127" s="2"/>
      <c r="G93127" s="2"/>
      <c r="H93127" s="2"/>
    </row>
    <row r="93376" spans="3:8" ht="15.6" x14ac:dyDescent="0.25">
      <c r="C93376" s="2"/>
      <c r="D93376" s="2"/>
      <c r="E93376" s="2"/>
      <c r="F93376" s="2"/>
      <c r="G93376" s="2"/>
      <c r="H93376" s="2"/>
    </row>
    <row r="93625" spans="3:8" ht="15.6" x14ac:dyDescent="0.25">
      <c r="C93625" s="2"/>
      <c r="D93625" s="2"/>
      <c r="E93625" s="2"/>
      <c r="F93625" s="2"/>
      <c r="G93625" s="2"/>
      <c r="H93625" s="2"/>
    </row>
    <row r="93874" spans="3:8" ht="15.6" x14ac:dyDescent="0.25">
      <c r="C93874" s="2"/>
      <c r="D93874" s="2"/>
      <c r="E93874" s="2"/>
      <c r="F93874" s="2"/>
      <c r="G93874" s="2"/>
      <c r="H93874" s="2"/>
    </row>
    <row r="94123" spans="3:8" ht="15.6" x14ac:dyDescent="0.25">
      <c r="C94123" s="2"/>
      <c r="D94123" s="2"/>
      <c r="E94123" s="2"/>
      <c r="F94123" s="2"/>
      <c r="G94123" s="2"/>
      <c r="H94123" s="2"/>
    </row>
    <row r="94372" spans="3:8" ht="15.6" x14ac:dyDescent="0.25">
      <c r="C94372" s="2"/>
      <c r="D94372" s="2"/>
      <c r="E94372" s="2"/>
      <c r="F94372" s="2"/>
      <c r="G94372" s="2"/>
      <c r="H94372" s="2"/>
    </row>
    <row r="94621" spans="3:8" ht="15.6" x14ac:dyDescent="0.25">
      <c r="C94621" s="2"/>
      <c r="D94621" s="2"/>
      <c r="E94621" s="2"/>
      <c r="F94621" s="2"/>
      <c r="G94621" s="2"/>
      <c r="H94621" s="2"/>
    </row>
    <row r="94870" spans="3:8" ht="15.6" x14ac:dyDescent="0.25">
      <c r="C94870" s="2"/>
      <c r="D94870" s="2"/>
      <c r="E94870" s="2"/>
      <c r="F94870" s="2"/>
      <c r="G94870" s="2"/>
      <c r="H94870" s="2"/>
    </row>
    <row r="95119" spans="3:8" ht="15.6" x14ac:dyDescent="0.25">
      <c r="C95119" s="2"/>
      <c r="D95119" s="2"/>
      <c r="E95119" s="2"/>
      <c r="F95119" s="2"/>
      <c r="G95119" s="2"/>
      <c r="H95119" s="2"/>
    </row>
    <row r="95368" spans="3:8" ht="15.6" x14ac:dyDescent="0.25">
      <c r="C95368" s="2"/>
      <c r="D95368" s="2"/>
      <c r="E95368" s="2"/>
      <c r="F95368" s="2"/>
      <c r="G95368" s="2"/>
      <c r="H95368" s="2"/>
    </row>
    <row r="95617" spans="3:8" ht="15.6" x14ac:dyDescent="0.25">
      <c r="C95617" s="2"/>
      <c r="D95617" s="2"/>
      <c r="E95617" s="2"/>
      <c r="F95617" s="2"/>
      <c r="G95617" s="2"/>
      <c r="H95617" s="2"/>
    </row>
    <row r="95866" spans="3:8" ht="15.6" x14ac:dyDescent="0.25">
      <c r="C95866" s="2"/>
      <c r="D95866" s="2"/>
      <c r="E95866" s="2"/>
      <c r="F95866" s="2"/>
      <c r="G95866" s="2"/>
      <c r="H95866" s="2"/>
    </row>
    <row r="96115" spans="3:8" ht="15.6" x14ac:dyDescent="0.25">
      <c r="C96115" s="2"/>
      <c r="D96115" s="2"/>
      <c r="E96115" s="2"/>
      <c r="F96115" s="2"/>
      <c r="G96115" s="2"/>
      <c r="H96115" s="2"/>
    </row>
    <row r="96364" spans="3:8" ht="15.6" x14ac:dyDescent="0.25">
      <c r="C96364" s="2"/>
      <c r="D96364" s="2"/>
      <c r="E96364" s="2"/>
      <c r="F96364" s="2"/>
      <c r="G96364" s="2"/>
      <c r="H96364" s="2"/>
    </row>
    <row r="96613" spans="3:8" ht="15.6" x14ac:dyDescent="0.25">
      <c r="C96613" s="2"/>
      <c r="D96613" s="2"/>
      <c r="E96613" s="2"/>
      <c r="F96613" s="2"/>
      <c r="G96613" s="2"/>
      <c r="H96613" s="2"/>
    </row>
    <row r="96862" spans="3:8" ht="15.6" x14ac:dyDescent="0.25">
      <c r="C96862" s="2"/>
      <c r="D96862" s="2"/>
      <c r="E96862" s="2"/>
      <c r="F96862" s="2"/>
      <c r="G96862" s="2"/>
      <c r="H96862" s="2"/>
    </row>
    <row r="97111" spans="3:8" ht="15.6" x14ac:dyDescent="0.25">
      <c r="C97111" s="2"/>
      <c r="D97111" s="2"/>
      <c r="E97111" s="2"/>
      <c r="F97111" s="2"/>
      <c r="G97111" s="2"/>
      <c r="H97111" s="2"/>
    </row>
    <row r="97360" spans="3:8" ht="15.6" x14ac:dyDescent="0.25">
      <c r="C97360" s="2"/>
      <c r="D97360" s="2"/>
      <c r="E97360" s="2"/>
      <c r="F97360" s="2"/>
      <c r="G97360" s="2"/>
      <c r="H97360" s="2"/>
    </row>
    <row r="97609" spans="3:8" ht="15.6" x14ac:dyDescent="0.25">
      <c r="C97609" s="2"/>
      <c r="D97609" s="2"/>
      <c r="E97609" s="2"/>
      <c r="F97609" s="2"/>
      <c r="G97609" s="2"/>
      <c r="H97609" s="2"/>
    </row>
    <row r="97858" spans="3:8" ht="15.6" x14ac:dyDescent="0.25">
      <c r="C97858" s="2"/>
      <c r="D97858" s="2"/>
      <c r="E97858" s="2"/>
      <c r="F97858" s="2"/>
      <c r="G97858" s="2"/>
      <c r="H97858" s="2"/>
    </row>
    <row r="98107" spans="3:8" ht="15.6" x14ac:dyDescent="0.25">
      <c r="C98107" s="2"/>
      <c r="D98107" s="2"/>
      <c r="E98107" s="2"/>
      <c r="F98107" s="2"/>
      <c r="G98107" s="2"/>
      <c r="H98107" s="2"/>
    </row>
    <row r="98356" spans="3:8" ht="15.6" x14ac:dyDescent="0.25">
      <c r="C98356" s="2"/>
      <c r="D98356" s="2"/>
      <c r="E98356" s="2"/>
      <c r="F98356" s="2"/>
      <c r="G98356" s="2"/>
      <c r="H98356" s="2"/>
    </row>
    <row r="98605" spans="3:8" ht="15.6" x14ac:dyDescent="0.25">
      <c r="C98605" s="2"/>
      <c r="D98605" s="2"/>
      <c r="E98605" s="2"/>
      <c r="F98605" s="2"/>
      <c r="G98605" s="2"/>
      <c r="H98605" s="2"/>
    </row>
    <row r="98854" spans="3:8" ht="15.6" x14ac:dyDescent="0.25">
      <c r="C98854" s="2"/>
      <c r="D98854" s="2"/>
      <c r="E98854" s="2"/>
      <c r="F98854" s="2"/>
      <c r="G98854" s="2"/>
      <c r="H98854" s="2"/>
    </row>
    <row r="99103" spans="3:8" ht="15.6" x14ac:dyDescent="0.25">
      <c r="C99103" s="2"/>
      <c r="D99103" s="2"/>
      <c r="E99103" s="2"/>
      <c r="F99103" s="2"/>
      <c r="G99103" s="2"/>
      <c r="H99103" s="2"/>
    </row>
    <row r="99352" spans="3:8" ht="15.6" x14ac:dyDescent="0.25">
      <c r="C99352" s="2"/>
      <c r="D99352" s="2"/>
      <c r="E99352" s="2"/>
      <c r="F99352" s="2"/>
      <c r="G99352" s="2"/>
      <c r="H99352" s="2"/>
    </row>
    <row r="99601" spans="3:8" ht="15.6" x14ac:dyDescent="0.25">
      <c r="C99601" s="2"/>
      <c r="D99601" s="2"/>
      <c r="E99601" s="2"/>
      <c r="F99601" s="2"/>
      <c r="G99601" s="2"/>
      <c r="H99601" s="2"/>
    </row>
    <row r="99850" spans="3:8" ht="15.6" x14ac:dyDescent="0.25">
      <c r="C99850" s="2"/>
      <c r="D99850" s="2"/>
      <c r="E99850" s="2"/>
      <c r="F99850" s="2"/>
      <c r="G99850" s="2"/>
      <c r="H99850" s="2"/>
    </row>
    <row r="100099" spans="3:8" ht="15.6" x14ac:dyDescent="0.25">
      <c r="C100099" s="2"/>
      <c r="D100099" s="2"/>
      <c r="E100099" s="2"/>
      <c r="F100099" s="2"/>
      <c r="G100099" s="2"/>
      <c r="H100099" s="2"/>
    </row>
    <row r="100348" spans="3:8" ht="15.6" x14ac:dyDescent="0.25">
      <c r="C100348" s="2"/>
      <c r="D100348" s="2"/>
      <c r="E100348" s="2"/>
      <c r="F100348" s="2"/>
      <c r="G100348" s="2"/>
      <c r="H100348" s="2"/>
    </row>
    <row r="100597" spans="3:8" ht="15.6" x14ac:dyDescent="0.25">
      <c r="C100597" s="2"/>
      <c r="D100597" s="2"/>
      <c r="E100597" s="2"/>
      <c r="F100597" s="2"/>
      <c r="G100597" s="2"/>
      <c r="H100597" s="2"/>
    </row>
    <row r="100846" spans="3:8" ht="15.6" x14ac:dyDescent="0.25">
      <c r="C100846" s="2"/>
      <c r="D100846" s="2"/>
      <c r="E100846" s="2"/>
      <c r="F100846" s="2"/>
      <c r="G100846" s="2"/>
      <c r="H100846" s="2"/>
    </row>
    <row r="101095" spans="3:8" ht="15.6" x14ac:dyDescent="0.25">
      <c r="C101095" s="2"/>
      <c r="D101095" s="2"/>
      <c r="E101095" s="2"/>
      <c r="F101095" s="2"/>
      <c r="G101095" s="2"/>
      <c r="H101095" s="2"/>
    </row>
    <row r="101344" spans="3:8" ht="15.6" x14ac:dyDescent="0.25">
      <c r="C101344" s="2"/>
      <c r="D101344" s="2"/>
      <c r="E101344" s="2"/>
      <c r="F101344" s="2"/>
      <c r="G101344" s="2"/>
      <c r="H101344" s="2"/>
    </row>
    <row r="101593" spans="3:8" ht="15.6" x14ac:dyDescent="0.25">
      <c r="C101593" s="2"/>
      <c r="D101593" s="2"/>
      <c r="E101593" s="2"/>
      <c r="F101593" s="2"/>
      <c r="G101593" s="2"/>
      <c r="H101593" s="2"/>
    </row>
    <row r="101842" spans="3:8" ht="15.6" x14ac:dyDescent="0.25">
      <c r="C101842" s="2"/>
      <c r="D101842" s="2"/>
      <c r="E101842" s="2"/>
      <c r="F101842" s="2"/>
      <c r="G101842" s="2"/>
      <c r="H101842" s="2"/>
    </row>
    <row r="102091" spans="3:8" ht="15.6" x14ac:dyDescent="0.25">
      <c r="C102091" s="2"/>
      <c r="D102091" s="2"/>
      <c r="E102091" s="2"/>
      <c r="F102091" s="2"/>
      <c r="G102091" s="2"/>
      <c r="H102091" s="2"/>
    </row>
    <row r="102340" spans="3:8" ht="15.6" x14ac:dyDescent="0.25">
      <c r="C102340" s="2"/>
      <c r="D102340" s="2"/>
      <c r="E102340" s="2"/>
      <c r="F102340" s="2"/>
      <c r="G102340" s="2"/>
      <c r="H102340" s="2"/>
    </row>
    <row r="102589" spans="3:8" ht="15.6" x14ac:dyDescent="0.25">
      <c r="C102589" s="2"/>
      <c r="D102589" s="2"/>
      <c r="E102589" s="2"/>
      <c r="F102589" s="2"/>
      <c r="G102589" s="2"/>
      <c r="H102589" s="2"/>
    </row>
    <row r="102838" spans="3:8" ht="15.6" x14ac:dyDescent="0.25">
      <c r="C102838" s="2"/>
      <c r="D102838" s="2"/>
      <c r="E102838" s="2"/>
      <c r="F102838" s="2"/>
      <c r="G102838" s="2"/>
      <c r="H102838" s="2"/>
    </row>
    <row r="103087" spans="3:8" ht="15.6" x14ac:dyDescent="0.25">
      <c r="C103087" s="2"/>
      <c r="D103087" s="2"/>
      <c r="E103087" s="2"/>
      <c r="F103087" s="2"/>
      <c r="G103087" s="2"/>
      <c r="H103087" s="2"/>
    </row>
    <row r="103336" spans="3:8" ht="15.6" x14ac:dyDescent="0.25">
      <c r="C103336" s="2"/>
      <c r="D103336" s="2"/>
      <c r="E103336" s="2"/>
      <c r="F103336" s="2"/>
      <c r="G103336" s="2"/>
      <c r="H103336" s="2"/>
    </row>
    <row r="103585" spans="3:8" ht="15.6" x14ac:dyDescent="0.25">
      <c r="C103585" s="2"/>
      <c r="D103585" s="2"/>
      <c r="E103585" s="2"/>
      <c r="F103585" s="2"/>
      <c r="G103585" s="2"/>
      <c r="H103585" s="2"/>
    </row>
    <row r="103834" spans="3:8" ht="15.6" x14ac:dyDescent="0.25">
      <c r="C103834" s="2"/>
      <c r="D103834" s="2"/>
      <c r="E103834" s="2"/>
      <c r="F103834" s="2"/>
      <c r="G103834" s="2"/>
      <c r="H103834" s="2"/>
    </row>
    <row r="104083" spans="3:8" ht="15.6" x14ac:dyDescent="0.25">
      <c r="C104083" s="2"/>
      <c r="D104083" s="2"/>
      <c r="E104083" s="2"/>
      <c r="F104083" s="2"/>
      <c r="G104083" s="2"/>
      <c r="H104083" s="2"/>
    </row>
    <row r="104332" spans="3:8" ht="15.6" x14ac:dyDescent="0.25">
      <c r="C104332" s="2"/>
      <c r="D104332" s="2"/>
      <c r="E104332" s="2"/>
      <c r="F104332" s="2"/>
      <c r="G104332" s="2"/>
      <c r="H104332" s="2"/>
    </row>
    <row r="104581" spans="3:8" ht="15.6" x14ac:dyDescent="0.25">
      <c r="C104581" s="2"/>
      <c r="D104581" s="2"/>
      <c r="E104581" s="2"/>
      <c r="F104581" s="2"/>
      <c r="G104581" s="2"/>
      <c r="H104581" s="2"/>
    </row>
    <row r="104830" spans="3:8" ht="15.6" x14ac:dyDescent="0.25">
      <c r="C104830" s="2"/>
      <c r="D104830" s="2"/>
      <c r="E104830" s="2"/>
      <c r="F104830" s="2"/>
      <c r="G104830" s="2"/>
      <c r="H104830" s="2"/>
    </row>
    <row r="105079" spans="3:8" ht="15.6" x14ac:dyDescent="0.25">
      <c r="C105079" s="2"/>
      <c r="D105079" s="2"/>
      <c r="E105079" s="2"/>
      <c r="F105079" s="2"/>
      <c r="G105079" s="2"/>
      <c r="H105079" s="2"/>
    </row>
    <row r="105328" spans="3:8" ht="15.6" x14ac:dyDescent="0.25">
      <c r="C105328" s="2"/>
      <c r="D105328" s="2"/>
      <c r="E105328" s="2"/>
      <c r="F105328" s="2"/>
      <c r="G105328" s="2"/>
      <c r="H105328" s="2"/>
    </row>
    <row r="105577" spans="3:8" ht="15.6" x14ac:dyDescent="0.25">
      <c r="C105577" s="2"/>
      <c r="D105577" s="2"/>
      <c r="E105577" s="2"/>
      <c r="F105577" s="2"/>
      <c r="G105577" s="2"/>
      <c r="H105577" s="2"/>
    </row>
    <row r="105826" spans="3:8" ht="15.6" x14ac:dyDescent="0.25">
      <c r="C105826" s="2"/>
      <c r="D105826" s="2"/>
      <c r="E105826" s="2"/>
      <c r="F105826" s="2"/>
      <c r="G105826" s="2"/>
      <c r="H105826" s="2"/>
    </row>
    <row r="106075" spans="3:8" ht="15.6" x14ac:dyDescent="0.25">
      <c r="C106075" s="2"/>
      <c r="D106075" s="2"/>
      <c r="E106075" s="2"/>
      <c r="F106075" s="2"/>
      <c r="G106075" s="2"/>
      <c r="H106075" s="2"/>
    </row>
    <row r="106324" spans="3:8" ht="15.6" x14ac:dyDescent="0.25">
      <c r="C106324" s="2"/>
      <c r="D106324" s="2"/>
      <c r="E106324" s="2"/>
      <c r="F106324" s="2"/>
      <c r="G106324" s="2"/>
      <c r="H106324" s="2"/>
    </row>
    <row r="106573" spans="3:8" ht="15.6" x14ac:dyDescent="0.25">
      <c r="C106573" s="2"/>
      <c r="D106573" s="2"/>
      <c r="E106573" s="2"/>
      <c r="F106573" s="2"/>
      <c r="G106573" s="2"/>
      <c r="H106573" s="2"/>
    </row>
    <row r="106822" spans="3:8" ht="15.6" x14ac:dyDescent="0.25">
      <c r="C106822" s="2"/>
      <c r="D106822" s="2"/>
      <c r="E106822" s="2"/>
      <c r="F106822" s="2"/>
      <c r="G106822" s="2"/>
      <c r="H106822" s="2"/>
    </row>
    <row r="107071" spans="3:8" ht="15.6" x14ac:dyDescent="0.25">
      <c r="C107071" s="2"/>
      <c r="D107071" s="2"/>
      <c r="E107071" s="2"/>
      <c r="F107071" s="2"/>
      <c r="G107071" s="2"/>
      <c r="H107071" s="2"/>
    </row>
    <row r="107320" spans="3:8" ht="15.6" x14ac:dyDescent="0.25">
      <c r="C107320" s="2"/>
      <c r="D107320" s="2"/>
      <c r="E107320" s="2"/>
      <c r="F107320" s="2"/>
      <c r="G107320" s="2"/>
      <c r="H107320" s="2"/>
    </row>
    <row r="107569" spans="3:8" ht="15.6" x14ac:dyDescent="0.25">
      <c r="C107569" s="2"/>
      <c r="D107569" s="2"/>
      <c r="E107569" s="2"/>
      <c r="F107569" s="2"/>
      <c r="G107569" s="2"/>
      <c r="H107569" s="2"/>
    </row>
    <row r="107818" spans="3:8" ht="15.6" x14ac:dyDescent="0.25">
      <c r="C107818" s="2"/>
      <c r="D107818" s="2"/>
      <c r="E107818" s="2"/>
      <c r="F107818" s="2"/>
      <c r="G107818" s="2"/>
      <c r="H107818" s="2"/>
    </row>
    <row r="108067" spans="3:8" ht="15.6" x14ac:dyDescent="0.25">
      <c r="C108067" s="2"/>
      <c r="D108067" s="2"/>
      <c r="E108067" s="2"/>
      <c r="F108067" s="2"/>
      <c r="G108067" s="2"/>
      <c r="H108067" s="2"/>
    </row>
    <row r="108316" spans="3:8" ht="15.6" x14ac:dyDescent="0.25">
      <c r="C108316" s="2"/>
      <c r="D108316" s="2"/>
      <c r="E108316" s="2"/>
      <c r="F108316" s="2"/>
      <c r="G108316" s="2"/>
      <c r="H108316" s="2"/>
    </row>
    <row r="108565" spans="3:8" ht="15.6" x14ac:dyDescent="0.25">
      <c r="C108565" s="2"/>
      <c r="D108565" s="2"/>
      <c r="E108565" s="2"/>
      <c r="F108565" s="2"/>
      <c r="G108565" s="2"/>
      <c r="H108565" s="2"/>
    </row>
    <row r="108814" spans="3:8" ht="15.6" x14ac:dyDescent="0.25">
      <c r="C108814" s="2"/>
      <c r="D108814" s="2"/>
      <c r="E108814" s="2"/>
      <c r="F108814" s="2"/>
      <c r="G108814" s="2"/>
      <c r="H108814" s="2"/>
    </row>
    <row r="109063" spans="3:8" ht="15.6" x14ac:dyDescent="0.25">
      <c r="C109063" s="2"/>
      <c r="D109063" s="2"/>
      <c r="E109063" s="2"/>
      <c r="F109063" s="2"/>
      <c r="G109063" s="2"/>
      <c r="H109063" s="2"/>
    </row>
    <row r="109312" spans="3:8" ht="15.6" x14ac:dyDescent="0.25">
      <c r="C109312" s="2"/>
      <c r="D109312" s="2"/>
      <c r="E109312" s="2"/>
      <c r="F109312" s="2"/>
      <c r="G109312" s="2"/>
      <c r="H109312" s="2"/>
    </row>
    <row r="109561" spans="3:8" ht="15.6" x14ac:dyDescent="0.25">
      <c r="C109561" s="2"/>
      <c r="D109561" s="2"/>
      <c r="E109561" s="2"/>
      <c r="F109561" s="2"/>
      <c r="G109561" s="2"/>
      <c r="H109561" s="2"/>
    </row>
    <row r="109810" spans="3:8" ht="15.6" x14ac:dyDescent="0.25">
      <c r="C109810" s="2"/>
      <c r="D109810" s="2"/>
      <c r="E109810" s="2"/>
      <c r="F109810" s="2"/>
      <c r="G109810" s="2"/>
      <c r="H109810" s="2"/>
    </row>
    <row r="110059" spans="3:8" ht="15.6" x14ac:dyDescent="0.25">
      <c r="C110059" s="2"/>
      <c r="D110059" s="2"/>
      <c r="E110059" s="2"/>
      <c r="F110059" s="2"/>
      <c r="G110059" s="2"/>
      <c r="H110059" s="2"/>
    </row>
    <row r="110308" spans="3:8" ht="15.6" x14ac:dyDescent="0.25">
      <c r="C110308" s="2"/>
      <c r="D110308" s="2"/>
      <c r="E110308" s="2"/>
      <c r="F110308" s="2"/>
      <c r="G110308" s="2"/>
      <c r="H110308" s="2"/>
    </row>
    <row r="110557" spans="3:8" ht="15.6" x14ac:dyDescent="0.25">
      <c r="C110557" s="2"/>
      <c r="D110557" s="2"/>
      <c r="E110557" s="2"/>
      <c r="F110557" s="2"/>
      <c r="G110557" s="2"/>
      <c r="H110557" s="2"/>
    </row>
    <row r="110806" spans="3:8" ht="15.6" x14ac:dyDescent="0.25">
      <c r="C110806" s="2"/>
      <c r="D110806" s="2"/>
      <c r="E110806" s="2"/>
      <c r="F110806" s="2"/>
      <c r="G110806" s="2"/>
      <c r="H110806" s="2"/>
    </row>
    <row r="111055" spans="3:8" ht="15.6" x14ac:dyDescent="0.25">
      <c r="C111055" s="2"/>
      <c r="D111055" s="2"/>
      <c r="E111055" s="2"/>
      <c r="F111055" s="2"/>
      <c r="G111055" s="2"/>
      <c r="H111055" s="2"/>
    </row>
    <row r="111304" spans="3:8" ht="15.6" x14ac:dyDescent="0.25">
      <c r="C111304" s="2"/>
      <c r="D111304" s="2"/>
      <c r="E111304" s="2"/>
      <c r="F111304" s="2"/>
      <c r="G111304" s="2"/>
      <c r="H111304" s="2"/>
    </row>
    <row r="111553" spans="3:8" ht="15.6" x14ac:dyDescent="0.25">
      <c r="C111553" s="2"/>
      <c r="D111553" s="2"/>
      <c r="E111553" s="2"/>
      <c r="F111553" s="2"/>
      <c r="G111553" s="2"/>
      <c r="H111553" s="2"/>
    </row>
    <row r="111802" spans="3:8" ht="15.6" x14ac:dyDescent="0.25">
      <c r="C111802" s="2"/>
      <c r="D111802" s="2"/>
      <c r="E111802" s="2"/>
      <c r="F111802" s="2"/>
      <c r="G111802" s="2"/>
      <c r="H111802" s="2"/>
    </row>
    <row r="112051" spans="3:8" ht="15.6" x14ac:dyDescent="0.25">
      <c r="C112051" s="2"/>
      <c r="D112051" s="2"/>
      <c r="E112051" s="2"/>
      <c r="F112051" s="2"/>
      <c r="G112051" s="2"/>
      <c r="H112051" s="2"/>
    </row>
    <row r="112300" spans="3:8" ht="15.6" x14ac:dyDescent="0.25">
      <c r="C112300" s="2"/>
      <c r="D112300" s="2"/>
      <c r="E112300" s="2"/>
      <c r="F112300" s="2"/>
      <c r="G112300" s="2"/>
      <c r="H112300" s="2"/>
    </row>
    <row r="112549" spans="3:8" ht="15.6" x14ac:dyDescent="0.25">
      <c r="C112549" s="2"/>
      <c r="D112549" s="2"/>
      <c r="E112549" s="2"/>
      <c r="F112549" s="2"/>
      <c r="G112549" s="2"/>
      <c r="H112549" s="2"/>
    </row>
    <row r="112798" spans="3:8" ht="15.6" x14ac:dyDescent="0.25">
      <c r="C112798" s="2"/>
      <c r="D112798" s="2"/>
      <c r="E112798" s="2"/>
      <c r="F112798" s="2"/>
      <c r="G112798" s="2"/>
      <c r="H112798" s="2"/>
    </row>
    <row r="113047" spans="3:8" ht="15.6" x14ac:dyDescent="0.25">
      <c r="C113047" s="2"/>
      <c r="D113047" s="2"/>
      <c r="E113047" s="2"/>
      <c r="F113047" s="2"/>
      <c r="G113047" s="2"/>
      <c r="H113047" s="2"/>
    </row>
    <row r="113296" spans="3:8" ht="15.6" x14ac:dyDescent="0.25">
      <c r="C113296" s="2"/>
      <c r="D113296" s="2"/>
      <c r="E113296" s="2"/>
      <c r="F113296" s="2"/>
      <c r="G113296" s="2"/>
      <c r="H113296" s="2"/>
    </row>
    <row r="113545" spans="3:8" ht="15.6" x14ac:dyDescent="0.25">
      <c r="C113545" s="2"/>
      <c r="D113545" s="2"/>
      <c r="E113545" s="2"/>
      <c r="F113545" s="2"/>
      <c r="G113545" s="2"/>
      <c r="H113545" s="2"/>
    </row>
    <row r="113794" spans="3:8" ht="15.6" x14ac:dyDescent="0.25">
      <c r="C113794" s="2"/>
      <c r="D113794" s="2"/>
      <c r="E113794" s="2"/>
      <c r="F113794" s="2"/>
      <c r="G113794" s="2"/>
      <c r="H113794" s="2"/>
    </row>
    <row r="114043" spans="3:8" ht="15.6" x14ac:dyDescent="0.25">
      <c r="C114043" s="2"/>
      <c r="D114043" s="2"/>
      <c r="E114043" s="2"/>
      <c r="F114043" s="2"/>
      <c r="G114043" s="2"/>
      <c r="H114043" s="2"/>
    </row>
    <row r="114292" spans="3:8" ht="15.6" x14ac:dyDescent="0.25">
      <c r="C114292" s="2"/>
      <c r="D114292" s="2"/>
      <c r="E114292" s="2"/>
      <c r="F114292" s="2"/>
      <c r="G114292" s="2"/>
      <c r="H114292" s="2"/>
    </row>
    <row r="114541" spans="3:8" ht="15.6" x14ac:dyDescent="0.25">
      <c r="C114541" s="2"/>
      <c r="D114541" s="2"/>
      <c r="E114541" s="2"/>
      <c r="F114541" s="2"/>
      <c r="G114541" s="2"/>
      <c r="H114541" s="2"/>
    </row>
    <row r="114790" spans="3:8" ht="15.6" x14ac:dyDescent="0.25">
      <c r="C114790" s="2"/>
      <c r="D114790" s="2"/>
      <c r="E114790" s="2"/>
      <c r="F114790" s="2"/>
      <c r="G114790" s="2"/>
      <c r="H114790" s="2"/>
    </row>
    <row r="115039" spans="3:8" ht="15.6" x14ac:dyDescent="0.25">
      <c r="C115039" s="2"/>
      <c r="D115039" s="2"/>
      <c r="E115039" s="2"/>
      <c r="F115039" s="2"/>
      <c r="G115039" s="2"/>
      <c r="H115039" s="2"/>
    </row>
    <row r="115288" spans="3:8" ht="15.6" x14ac:dyDescent="0.25">
      <c r="C115288" s="2"/>
      <c r="D115288" s="2"/>
      <c r="E115288" s="2"/>
      <c r="F115288" s="2"/>
      <c r="G115288" s="2"/>
      <c r="H115288" s="2"/>
    </row>
    <row r="115537" spans="3:8" ht="15.6" x14ac:dyDescent="0.25">
      <c r="C115537" s="2"/>
      <c r="D115537" s="2"/>
      <c r="E115537" s="2"/>
      <c r="F115537" s="2"/>
      <c r="G115537" s="2"/>
      <c r="H115537" s="2"/>
    </row>
    <row r="115786" spans="3:8" ht="15.6" x14ac:dyDescent="0.25">
      <c r="C115786" s="2"/>
      <c r="D115786" s="2"/>
      <c r="E115786" s="2"/>
      <c r="F115786" s="2"/>
      <c r="G115786" s="2"/>
      <c r="H115786" s="2"/>
    </row>
    <row r="116035" spans="3:8" ht="15.6" x14ac:dyDescent="0.25">
      <c r="C116035" s="2"/>
      <c r="D116035" s="2"/>
      <c r="E116035" s="2"/>
      <c r="F116035" s="2"/>
      <c r="G116035" s="2"/>
      <c r="H116035" s="2"/>
    </row>
    <row r="116284" spans="3:8" ht="15.6" x14ac:dyDescent="0.25">
      <c r="C116284" s="2"/>
      <c r="D116284" s="2"/>
      <c r="E116284" s="2"/>
      <c r="F116284" s="2"/>
      <c r="G116284" s="2"/>
      <c r="H116284" s="2"/>
    </row>
    <row r="116533" spans="3:8" ht="15.6" x14ac:dyDescent="0.25">
      <c r="C116533" s="2"/>
      <c r="D116533" s="2"/>
      <c r="E116533" s="2"/>
      <c r="F116533" s="2"/>
      <c r="G116533" s="2"/>
      <c r="H116533" s="2"/>
    </row>
    <row r="116782" spans="3:8" ht="15.6" x14ac:dyDescent="0.25">
      <c r="C116782" s="2"/>
      <c r="D116782" s="2"/>
      <c r="E116782" s="2"/>
      <c r="F116782" s="2"/>
      <c r="G116782" s="2"/>
      <c r="H116782" s="2"/>
    </row>
    <row r="117031" spans="3:8" ht="15.6" x14ac:dyDescent="0.25">
      <c r="C117031" s="2"/>
      <c r="D117031" s="2"/>
      <c r="E117031" s="2"/>
      <c r="F117031" s="2"/>
      <c r="G117031" s="2"/>
      <c r="H117031" s="2"/>
    </row>
    <row r="117280" spans="3:8" ht="15.6" x14ac:dyDescent="0.25">
      <c r="C117280" s="2"/>
      <c r="D117280" s="2"/>
      <c r="E117280" s="2"/>
      <c r="F117280" s="2"/>
      <c r="G117280" s="2"/>
      <c r="H117280" s="2"/>
    </row>
    <row r="117529" spans="3:8" ht="15.6" x14ac:dyDescent="0.25">
      <c r="C117529" s="2"/>
      <c r="D117529" s="2"/>
      <c r="E117529" s="2"/>
      <c r="F117529" s="2"/>
      <c r="G117529" s="2"/>
      <c r="H117529" s="2"/>
    </row>
    <row r="117778" spans="3:8" ht="15.6" x14ac:dyDescent="0.25">
      <c r="C117778" s="2"/>
      <c r="D117778" s="2"/>
      <c r="E117778" s="2"/>
      <c r="F117778" s="2"/>
      <c r="G117778" s="2"/>
      <c r="H117778" s="2"/>
    </row>
    <row r="118027" spans="3:8" ht="15.6" x14ac:dyDescent="0.25">
      <c r="C118027" s="2"/>
      <c r="D118027" s="2"/>
      <c r="E118027" s="2"/>
      <c r="F118027" s="2"/>
      <c r="G118027" s="2"/>
      <c r="H118027" s="2"/>
    </row>
    <row r="118276" spans="3:8" ht="15.6" x14ac:dyDescent="0.25">
      <c r="C118276" s="2"/>
      <c r="D118276" s="2"/>
      <c r="E118276" s="2"/>
      <c r="F118276" s="2"/>
      <c r="G118276" s="2"/>
      <c r="H118276" s="2"/>
    </row>
    <row r="118525" spans="3:8" ht="15.6" x14ac:dyDescent="0.25">
      <c r="C118525" s="2"/>
      <c r="D118525" s="2"/>
      <c r="E118525" s="2"/>
      <c r="F118525" s="2"/>
      <c r="G118525" s="2"/>
      <c r="H118525" s="2"/>
    </row>
    <row r="118774" spans="3:8" ht="15.6" x14ac:dyDescent="0.25">
      <c r="C118774" s="2"/>
      <c r="D118774" s="2"/>
      <c r="E118774" s="2"/>
      <c r="F118774" s="2"/>
      <c r="G118774" s="2"/>
      <c r="H118774" s="2"/>
    </row>
    <row r="119023" spans="3:8" ht="15.6" x14ac:dyDescent="0.25">
      <c r="C119023" s="2"/>
      <c r="D119023" s="2"/>
      <c r="E119023" s="2"/>
      <c r="F119023" s="2"/>
      <c r="G119023" s="2"/>
      <c r="H119023" s="2"/>
    </row>
    <row r="119272" spans="3:8" ht="15.6" x14ac:dyDescent="0.25">
      <c r="C119272" s="2"/>
      <c r="D119272" s="2"/>
      <c r="E119272" s="2"/>
      <c r="F119272" s="2"/>
      <c r="G119272" s="2"/>
      <c r="H119272" s="2"/>
    </row>
    <row r="119521" spans="3:8" ht="15.6" x14ac:dyDescent="0.25">
      <c r="C119521" s="2"/>
      <c r="D119521" s="2"/>
      <c r="E119521" s="2"/>
      <c r="F119521" s="2"/>
      <c r="G119521" s="2"/>
      <c r="H119521" s="2"/>
    </row>
    <row r="119770" spans="3:8" ht="15.6" x14ac:dyDescent="0.25">
      <c r="C119770" s="2"/>
      <c r="D119770" s="2"/>
      <c r="E119770" s="2"/>
      <c r="F119770" s="2"/>
      <c r="G119770" s="2"/>
      <c r="H119770" s="2"/>
    </row>
    <row r="120019" spans="3:8" ht="15.6" x14ac:dyDescent="0.25">
      <c r="C120019" s="2"/>
      <c r="D120019" s="2"/>
      <c r="E120019" s="2"/>
      <c r="F120019" s="2"/>
      <c r="G120019" s="2"/>
      <c r="H120019" s="2"/>
    </row>
    <row r="120268" spans="3:8" ht="15.6" x14ac:dyDescent="0.25">
      <c r="C120268" s="2"/>
      <c r="D120268" s="2"/>
      <c r="E120268" s="2"/>
      <c r="F120268" s="2"/>
      <c r="G120268" s="2"/>
      <c r="H120268" s="2"/>
    </row>
    <row r="120517" spans="3:8" ht="15.6" x14ac:dyDescent="0.25">
      <c r="C120517" s="2"/>
      <c r="D120517" s="2"/>
      <c r="E120517" s="2"/>
      <c r="F120517" s="2"/>
      <c r="G120517" s="2"/>
      <c r="H120517" s="2"/>
    </row>
    <row r="120766" spans="3:8" ht="15.6" x14ac:dyDescent="0.25">
      <c r="C120766" s="2"/>
      <c r="D120766" s="2"/>
      <c r="E120766" s="2"/>
      <c r="F120766" s="2"/>
      <c r="G120766" s="2"/>
      <c r="H120766" s="2"/>
    </row>
    <row r="121015" spans="3:8" ht="15.6" x14ac:dyDescent="0.25">
      <c r="C121015" s="2"/>
      <c r="D121015" s="2"/>
      <c r="E121015" s="2"/>
      <c r="F121015" s="2"/>
      <c r="G121015" s="2"/>
      <c r="H121015" s="2"/>
    </row>
    <row r="121264" spans="3:8" ht="15.6" x14ac:dyDescent="0.25">
      <c r="C121264" s="2"/>
      <c r="D121264" s="2"/>
      <c r="E121264" s="2"/>
      <c r="F121264" s="2"/>
      <c r="G121264" s="2"/>
      <c r="H121264" s="2"/>
    </row>
    <row r="121513" spans="3:8" ht="15.6" x14ac:dyDescent="0.25">
      <c r="C121513" s="2"/>
      <c r="D121513" s="2"/>
      <c r="E121513" s="2"/>
      <c r="F121513" s="2"/>
      <c r="G121513" s="2"/>
      <c r="H121513" s="2"/>
    </row>
    <row r="121762" spans="3:8" ht="15.6" x14ac:dyDescent="0.25">
      <c r="C121762" s="2"/>
      <c r="D121762" s="2"/>
      <c r="E121762" s="2"/>
      <c r="F121762" s="2"/>
      <c r="G121762" s="2"/>
      <c r="H121762" s="2"/>
    </row>
    <row r="122011" spans="3:8" ht="15.6" x14ac:dyDescent="0.25">
      <c r="C122011" s="2"/>
      <c r="D122011" s="2"/>
      <c r="E122011" s="2"/>
      <c r="F122011" s="2"/>
      <c r="G122011" s="2"/>
      <c r="H122011" s="2"/>
    </row>
    <row r="122260" spans="3:8" ht="15.6" x14ac:dyDescent="0.25">
      <c r="C122260" s="2"/>
      <c r="D122260" s="2"/>
      <c r="E122260" s="2"/>
      <c r="F122260" s="2"/>
      <c r="G122260" s="2"/>
      <c r="H122260" s="2"/>
    </row>
    <row r="122509" spans="3:8" ht="15.6" x14ac:dyDescent="0.25">
      <c r="C122509" s="2"/>
      <c r="D122509" s="2"/>
      <c r="E122509" s="2"/>
      <c r="F122509" s="2"/>
      <c r="G122509" s="2"/>
      <c r="H122509" s="2"/>
    </row>
    <row r="122758" spans="3:8" ht="15.6" x14ac:dyDescent="0.25">
      <c r="C122758" s="2"/>
      <c r="D122758" s="2"/>
      <c r="E122758" s="2"/>
      <c r="F122758" s="2"/>
      <c r="G122758" s="2"/>
      <c r="H122758" s="2"/>
    </row>
    <row r="123007" spans="3:8" ht="15.6" x14ac:dyDescent="0.25">
      <c r="C123007" s="2"/>
      <c r="D123007" s="2"/>
      <c r="E123007" s="2"/>
      <c r="F123007" s="2"/>
      <c r="G123007" s="2"/>
      <c r="H123007" s="2"/>
    </row>
    <row r="123256" spans="3:8" ht="15.6" x14ac:dyDescent="0.25">
      <c r="C123256" s="2"/>
      <c r="D123256" s="2"/>
      <c r="E123256" s="2"/>
      <c r="F123256" s="2"/>
      <c r="G123256" s="2"/>
      <c r="H123256" s="2"/>
    </row>
    <row r="123505" spans="3:8" ht="15.6" x14ac:dyDescent="0.25">
      <c r="C123505" s="2"/>
      <c r="D123505" s="2"/>
      <c r="E123505" s="2"/>
      <c r="F123505" s="2"/>
      <c r="G123505" s="2"/>
      <c r="H123505" s="2"/>
    </row>
    <row r="123754" spans="3:8" ht="15.6" x14ac:dyDescent="0.25">
      <c r="C123754" s="2"/>
      <c r="D123754" s="2"/>
      <c r="E123754" s="2"/>
      <c r="F123754" s="2"/>
      <c r="G123754" s="2"/>
      <c r="H123754" s="2"/>
    </row>
    <row r="124003" spans="3:8" ht="15.6" x14ac:dyDescent="0.25">
      <c r="C124003" s="2"/>
      <c r="D124003" s="2"/>
      <c r="E124003" s="2"/>
      <c r="F124003" s="2"/>
      <c r="G124003" s="2"/>
      <c r="H124003" s="2"/>
    </row>
    <row r="124252" spans="3:8" ht="15.6" x14ac:dyDescent="0.25">
      <c r="C124252" s="2"/>
      <c r="D124252" s="2"/>
      <c r="E124252" s="2"/>
      <c r="F124252" s="2"/>
      <c r="G124252" s="2"/>
      <c r="H124252" s="2"/>
    </row>
    <row r="124501" spans="3:8" ht="15.6" x14ac:dyDescent="0.25">
      <c r="C124501" s="2"/>
      <c r="D124501" s="2"/>
      <c r="E124501" s="2"/>
      <c r="F124501" s="2"/>
      <c r="G124501" s="2"/>
      <c r="H124501" s="2"/>
    </row>
    <row r="124750" spans="3:8" ht="15.6" x14ac:dyDescent="0.25">
      <c r="C124750" s="2"/>
      <c r="D124750" s="2"/>
      <c r="E124750" s="2"/>
      <c r="F124750" s="2"/>
      <c r="G124750" s="2"/>
      <c r="H124750" s="2"/>
    </row>
    <row r="124999" spans="3:8" ht="15.6" x14ac:dyDescent="0.25">
      <c r="C124999" s="2"/>
      <c r="D124999" s="2"/>
      <c r="E124999" s="2"/>
      <c r="F124999" s="2"/>
      <c r="G124999" s="2"/>
      <c r="H124999" s="2"/>
    </row>
    <row r="125248" spans="3:8" ht="15.6" x14ac:dyDescent="0.25">
      <c r="C125248" s="2"/>
      <c r="D125248" s="2"/>
      <c r="E125248" s="2"/>
      <c r="F125248" s="2"/>
      <c r="G125248" s="2"/>
      <c r="H125248" s="2"/>
    </row>
    <row r="125497" spans="3:8" ht="15.6" x14ac:dyDescent="0.25">
      <c r="C125497" s="2"/>
      <c r="D125497" s="2"/>
      <c r="E125497" s="2"/>
      <c r="F125497" s="2"/>
      <c r="G125497" s="2"/>
      <c r="H125497" s="2"/>
    </row>
    <row r="125746" spans="3:8" ht="15.6" x14ac:dyDescent="0.25">
      <c r="C125746" s="2"/>
      <c r="D125746" s="2"/>
      <c r="E125746" s="2"/>
      <c r="F125746" s="2"/>
      <c r="G125746" s="2"/>
      <c r="H125746" s="2"/>
    </row>
    <row r="125995" spans="3:8" ht="15.6" x14ac:dyDescent="0.25">
      <c r="C125995" s="2"/>
      <c r="D125995" s="2"/>
      <c r="E125995" s="2"/>
      <c r="F125995" s="2"/>
      <c r="G125995" s="2"/>
      <c r="H125995" s="2"/>
    </row>
    <row r="126244" spans="3:8" ht="15.6" x14ac:dyDescent="0.25">
      <c r="C126244" s="2"/>
      <c r="D126244" s="2"/>
      <c r="E126244" s="2"/>
      <c r="F126244" s="2"/>
      <c r="G126244" s="2"/>
      <c r="H126244" s="2"/>
    </row>
    <row r="126493" spans="3:8" ht="15.6" x14ac:dyDescent="0.25">
      <c r="C126493" s="2"/>
      <c r="D126493" s="2"/>
      <c r="E126493" s="2"/>
      <c r="F126493" s="2"/>
      <c r="G126493" s="2"/>
      <c r="H126493" s="2"/>
    </row>
    <row r="126742" spans="3:8" ht="15.6" x14ac:dyDescent="0.25">
      <c r="C126742" s="2"/>
      <c r="D126742" s="2"/>
      <c r="E126742" s="2"/>
      <c r="F126742" s="2"/>
      <c r="G126742" s="2"/>
      <c r="H126742" s="2"/>
    </row>
    <row r="126991" spans="3:8" ht="15.6" x14ac:dyDescent="0.25">
      <c r="C126991" s="2"/>
      <c r="D126991" s="2"/>
      <c r="E126991" s="2"/>
      <c r="F126991" s="2"/>
      <c r="G126991" s="2"/>
      <c r="H126991" s="2"/>
    </row>
    <row r="127240" spans="3:8" ht="15.6" x14ac:dyDescent="0.25">
      <c r="C127240" s="2"/>
      <c r="D127240" s="2"/>
      <c r="E127240" s="2"/>
      <c r="F127240" s="2"/>
      <c r="G127240" s="2"/>
      <c r="H127240" s="2"/>
    </row>
    <row r="127489" spans="3:8" ht="15.6" x14ac:dyDescent="0.25">
      <c r="C127489" s="2"/>
      <c r="D127489" s="2"/>
      <c r="E127489" s="2"/>
      <c r="F127489" s="2"/>
      <c r="G127489" s="2"/>
      <c r="H127489" s="2"/>
    </row>
    <row r="127738" spans="3:8" ht="15.6" x14ac:dyDescent="0.25">
      <c r="C127738" s="2"/>
      <c r="D127738" s="2"/>
      <c r="E127738" s="2"/>
      <c r="F127738" s="2"/>
      <c r="G127738" s="2"/>
      <c r="H127738" s="2"/>
    </row>
    <row r="127987" spans="3:8" ht="15.6" x14ac:dyDescent="0.25">
      <c r="C127987" s="2"/>
      <c r="D127987" s="2"/>
      <c r="E127987" s="2"/>
      <c r="F127987" s="2"/>
      <c r="G127987" s="2"/>
      <c r="H127987" s="2"/>
    </row>
    <row r="128236" spans="3:8" ht="15.6" x14ac:dyDescent="0.25">
      <c r="C128236" s="2"/>
      <c r="D128236" s="2"/>
      <c r="E128236" s="2"/>
      <c r="F128236" s="2"/>
      <c r="G128236" s="2"/>
      <c r="H128236" s="2"/>
    </row>
    <row r="128485" spans="3:8" ht="15.6" x14ac:dyDescent="0.25">
      <c r="C128485" s="2"/>
      <c r="D128485" s="2"/>
      <c r="E128485" s="2"/>
      <c r="F128485" s="2"/>
      <c r="G128485" s="2"/>
      <c r="H128485" s="2"/>
    </row>
    <row r="128734" spans="3:8" ht="15.6" x14ac:dyDescent="0.25">
      <c r="C128734" s="2"/>
      <c r="D128734" s="2"/>
      <c r="E128734" s="2"/>
      <c r="F128734" s="2"/>
      <c r="G128734" s="2"/>
      <c r="H128734" s="2"/>
    </row>
    <row r="128983" spans="3:8" ht="15.6" x14ac:dyDescent="0.25">
      <c r="C128983" s="2"/>
      <c r="D128983" s="2"/>
      <c r="E128983" s="2"/>
      <c r="F128983" s="2"/>
      <c r="G128983" s="2"/>
      <c r="H128983" s="2"/>
    </row>
    <row r="129232" spans="3:8" ht="15.6" x14ac:dyDescent="0.25">
      <c r="C129232" s="2"/>
      <c r="D129232" s="2"/>
      <c r="E129232" s="2"/>
      <c r="F129232" s="2"/>
      <c r="G129232" s="2"/>
      <c r="H129232" s="2"/>
    </row>
    <row r="129481" spans="3:8" ht="15.6" x14ac:dyDescent="0.25">
      <c r="C129481" s="2"/>
      <c r="D129481" s="2"/>
      <c r="E129481" s="2"/>
      <c r="F129481" s="2"/>
      <c r="G129481" s="2"/>
      <c r="H129481" s="2"/>
    </row>
    <row r="129730" spans="3:8" ht="15.6" x14ac:dyDescent="0.25">
      <c r="C129730" s="2"/>
      <c r="D129730" s="2"/>
      <c r="E129730" s="2"/>
      <c r="F129730" s="2"/>
      <c r="G129730" s="2"/>
      <c r="H129730" s="2"/>
    </row>
    <row r="129979" spans="3:8" ht="15.6" x14ac:dyDescent="0.25">
      <c r="C129979" s="2"/>
      <c r="D129979" s="2"/>
      <c r="E129979" s="2"/>
      <c r="F129979" s="2"/>
      <c r="G129979" s="2"/>
      <c r="H129979" s="2"/>
    </row>
    <row r="130228" spans="3:8" ht="15.6" x14ac:dyDescent="0.25">
      <c r="C130228" s="2"/>
      <c r="D130228" s="2"/>
      <c r="E130228" s="2"/>
      <c r="F130228" s="2"/>
      <c r="G130228" s="2"/>
      <c r="H130228" s="2"/>
    </row>
    <row r="130477" spans="3:8" ht="15.6" x14ac:dyDescent="0.25">
      <c r="C130477" s="2"/>
      <c r="D130477" s="2"/>
      <c r="E130477" s="2"/>
      <c r="F130477" s="2"/>
      <c r="G130477" s="2"/>
      <c r="H130477" s="2"/>
    </row>
    <row r="130726" spans="3:8" ht="15.6" x14ac:dyDescent="0.25">
      <c r="C130726" s="2"/>
      <c r="D130726" s="2"/>
      <c r="E130726" s="2"/>
      <c r="F130726" s="2"/>
      <c r="G130726" s="2"/>
      <c r="H130726" s="2"/>
    </row>
    <row r="130975" spans="3:8" ht="15.6" x14ac:dyDescent="0.25">
      <c r="C130975" s="2"/>
      <c r="D130975" s="2"/>
      <c r="E130975" s="2"/>
      <c r="F130975" s="2"/>
      <c r="G130975" s="2"/>
      <c r="H130975" s="2"/>
    </row>
    <row r="131224" spans="3:8" ht="15.6" x14ac:dyDescent="0.25">
      <c r="C131224" s="2"/>
      <c r="D131224" s="2"/>
      <c r="E131224" s="2"/>
      <c r="F131224" s="2"/>
      <c r="G131224" s="2"/>
      <c r="H131224" s="2"/>
    </row>
    <row r="131473" spans="3:8" ht="15.6" x14ac:dyDescent="0.25">
      <c r="C131473" s="2"/>
      <c r="D131473" s="2"/>
      <c r="E131473" s="2"/>
      <c r="F131473" s="2"/>
      <c r="G131473" s="2"/>
      <c r="H131473" s="2"/>
    </row>
    <row r="131722" spans="3:8" ht="15.6" x14ac:dyDescent="0.25">
      <c r="C131722" s="2"/>
      <c r="D131722" s="2"/>
      <c r="E131722" s="2"/>
      <c r="F131722" s="2"/>
      <c r="G131722" s="2"/>
      <c r="H131722" s="2"/>
    </row>
    <row r="131971" spans="3:8" ht="15.6" x14ac:dyDescent="0.25">
      <c r="C131971" s="2"/>
      <c r="D131971" s="2"/>
      <c r="E131971" s="2"/>
      <c r="F131971" s="2"/>
      <c r="G131971" s="2"/>
      <c r="H131971" s="2"/>
    </row>
    <row r="132220" spans="3:8" ht="15.6" x14ac:dyDescent="0.25">
      <c r="C132220" s="2"/>
      <c r="D132220" s="2"/>
      <c r="E132220" s="2"/>
      <c r="F132220" s="2"/>
      <c r="G132220" s="2"/>
      <c r="H132220" s="2"/>
    </row>
    <row r="132469" spans="3:8" ht="15.6" x14ac:dyDescent="0.25">
      <c r="C132469" s="2"/>
      <c r="D132469" s="2"/>
      <c r="E132469" s="2"/>
      <c r="F132469" s="2"/>
      <c r="G132469" s="2"/>
      <c r="H132469" s="2"/>
    </row>
    <row r="132718" spans="3:8" ht="15.6" x14ac:dyDescent="0.25">
      <c r="C132718" s="2"/>
      <c r="D132718" s="2"/>
      <c r="E132718" s="2"/>
      <c r="F132718" s="2"/>
      <c r="G132718" s="2"/>
      <c r="H132718" s="2"/>
    </row>
    <row r="132967" spans="3:8" ht="15.6" x14ac:dyDescent="0.25">
      <c r="C132967" s="2"/>
      <c r="D132967" s="2"/>
      <c r="E132967" s="2"/>
      <c r="F132967" s="2"/>
      <c r="G132967" s="2"/>
      <c r="H132967" s="2"/>
    </row>
    <row r="133216" spans="3:8" ht="15.6" x14ac:dyDescent="0.25">
      <c r="C133216" s="2"/>
      <c r="D133216" s="2"/>
      <c r="E133216" s="2"/>
      <c r="F133216" s="2"/>
      <c r="G133216" s="2"/>
      <c r="H133216" s="2"/>
    </row>
    <row r="133465" spans="3:8" ht="15.6" x14ac:dyDescent="0.25">
      <c r="C133465" s="2"/>
      <c r="D133465" s="2"/>
      <c r="E133465" s="2"/>
      <c r="F133465" s="2"/>
      <c r="G133465" s="2"/>
      <c r="H133465" s="2"/>
    </row>
    <row r="133714" spans="3:8" ht="15.6" x14ac:dyDescent="0.25">
      <c r="C133714" s="2"/>
      <c r="D133714" s="2"/>
      <c r="E133714" s="2"/>
      <c r="F133714" s="2"/>
      <c r="G133714" s="2"/>
      <c r="H133714" s="2"/>
    </row>
    <row r="133963" spans="3:8" ht="15.6" x14ac:dyDescent="0.25">
      <c r="C133963" s="2"/>
      <c r="D133963" s="2"/>
      <c r="E133963" s="2"/>
      <c r="F133963" s="2"/>
      <c r="G133963" s="2"/>
      <c r="H133963" s="2"/>
    </row>
    <row r="134212" spans="3:8" ht="15.6" x14ac:dyDescent="0.25">
      <c r="C134212" s="2"/>
      <c r="D134212" s="2"/>
      <c r="E134212" s="2"/>
      <c r="F134212" s="2"/>
      <c r="G134212" s="2"/>
      <c r="H134212" s="2"/>
    </row>
    <row r="134461" spans="3:8" ht="15.6" x14ac:dyDescent="0.25">
      <c r="C134461" s="2"/>
      <c r="D134461" s="2"/>
      <c r="E134461" s="2"/>
      <c r="F134461" s="2"/>
      <c r="G134461" s="2"/>
      <c r="H134461" s="2"/>
    </row>
    <row r="134710" spans="3:8" ht="15.6" x14ac:dyDescent="0.25">
      <c r="C134710" s="2"/>
      <c r="D134710" s="2"/>
      <c r="E134710" s="2"/>
      <c r="F134710" s="2"/>
      <c r="G134710" s="2"/>
      <c r="H134710" s="2"/>
    </row>
    <row r="134959" spans="3:8" ht="15.6" x14ac:dyDescent="0.25">
      <c r="C134959" s="2"/>
      <c r="D134959" s="2"/>
      <c r="E134959" s="2"/>
      <c r="F134959" s="2"/>
      <c r="G134959" s="2"/>
      <c r="H134959" s="2"/>
    </row>
    <row r="135208" spans="3:8" ht="15.6" x14ac:dyDescent="0.25">
      <c r="C135208" s="2"/>
      <c r="D135208" s="2"/>
      <c r="E135208" s="2"/>
      <c r="F135208" s="2"/>
      <c r="G135208" s="2"/>
      <c r="H135208" s="2"/>
    </row>
    <row r="135457" spans="3:8" ht="15.6" x14ac:dyDescent="0.25">
      <c r="C135457" s="2"/>
      <c r="D135457" s="2"/>
      <c r="E135457" s="2"/>
      <c r="F135457" s="2"/>
      <c r="G135457" s="2"/>
      <c r="H135457" s="2"/>
    </row>
    <row r="135706" spans="3:8" ht="15.6" x14ac:dyDescent="0.25">
      <c r="C135706" s="2"/>
      <c r="D135706" s="2"/>
      <c r="E135706" s="2"/>
      <c r="F135706" s="2"/>
      <c r="G135706" s="2"/>
      <c r="H135706" s="2"/>
    </row>
    <row r="135955" spans="3:8" ht="15.6" x14ac:dyDescent="0.25">
      <c r="C135955" s="2"/>
      <c r="D135955" s="2"/>
      <c r="E135955" s="2"/>
      <c r="F135955" s="2"/>
      <c r="G135955" s="2"/>
      <c r="H135955" s="2"/>
    </row>
    <row r="136204" spans="3:8" ht="15.6" x14ac:dyDescent="0.25">
      <c r="C136204" s="2"/>
      <c r="D136204" s="2"/>
      <c r="E136204" s="2"/>
      <c r="F136204" s="2"/>
      <c r="G136204" s="2"/>
      <c r="H136204" s="2"/>
    </row>
    <row r="136453" spans="3:8" ht="15.6" x14ac:dyDescent="0.25">
      <c r="C136453" s="2"/>
      <c r="D136453" s="2"/>
      <c r="E136453" s="2"/>
      <c r="F136453" s="2"/>
      <c r="G136453" s="2"/>
      <c r="H136453" s="2"/>
    </row>
    <row r="136702" spans="3:8" ht="15.6" x14ac:dyDescent="0.25">
      <c r="C136702" s="2"/>
      <c r="D136702" s="2"/>
      <c r="E136702" s="2"/>
      <c r="F136702" s="2"/>
      <c r="G136702" s="2"/>
      <c r="H136702" s="2"/>
    </row>
    <row r="136951" spans="3:8" ht="15.6" x14ac:dyDescent="0.25">
      <c r="C136951" s="2"/>
      <c r="D136951" s="2"/>
      <c r="E136951" s="2"/>
      <c r="F136951" s="2"/>
      <c r="G136951" s="2"/>
      <c r="H136951" s="2"/>
    </row>
    <row r="137200" spans="3:8" ht="15.6" x14ac:dyDescent="0.25">
      <c r="C137200" s="2"/>
      <c r="D137200" s="2"/>
      <c r="E137200" s="2"/>
      <c r="F137200" s="2"/>
      <c r="G137200" s="2"/>
      <c r="H137200" s="2"/>
    </row>
    <row r="137449" spans="3:8" ht="15.6" x14ac:dyDescent="0.25">
      <c r="C137449" s="2"/>
      <c r="D137449" s="2"/>
      <c r="E137449" s="2"/>
      <c r="F137449" s="2"/>
      <c r="G137449" s="2"/>
      <c r="H137449" s="2"/>
    </row>
    <row r="137698" spans="3:8" ht="15.6" x14ac:dyDescent="0.25">
      <c r="C137698" s="2"/>
      <c r="D137698" s="2"/>
      <c r="E137698" s="2"/>
      <c r="F137698" s="2"/>
      <c r="G137698" s="2"/>
      <c r="H137698" s="2"/>
    </row>
    <row r="137947" spans="3:8" ht="15.6" x14ac:dyDescent="0.25">
      <c r="C137947" s="2"/>
      <c r="D137947" s="2"/>
      <c r="E137947" s="2"/>
      <c r="F137947" s="2"/>
      <c r="G137947" s="2"/>
      <c r="H137947" s="2"/>
    </row>
    <row r="138196" spans="3:8" ht="15.6" x14ac:dyDescent="0.25">
      <c r="C138196" s="2"/>
      <c r="D138196" s="2"/>
      <c r="E138196" s="2"/>
      <c r="F138196" s="2"/>
      <c r="G138196" s="2"/>
      <c r="H138196" s="2"/>
    </row>
    <row r="138445" spans="3:8" ht="15.6" x14ac:dyDescent="0.25">
      <c r="C138445" s="2"/>
      <c r="D138445" s="2"/>
      <c r="E138445" s="2"/>
      <c r="F138445" s="2"/>
      <c r="G138445" s="2"/>
      <c r="H138445" s="2"/>
    </row>
    <row r="138694" spans="3:8" ht="15.6" x14ac:dyDescent="0.25">
      <c r="C138694" s="2"/>
      <c r="D138694" s="2"/>
      <c r="E138694" s="2"/>
      <c r="F138694" s="2"/>
      <c r="G138694" s="2"/>
      <c r="H138694" s="2"/>
    </row>
    <row r="138943" spans="3:8" ht="15.6" x14ac:dyDescent="0.25">
      <c r="C138943" s="2"/>
      <c r="D138943" s="2"/>
      <c r="E138943" s="2"/>
      <c r="F138943" s="2"/>
      <c r="G138943" s="2"/>
      <c r="H138943" s="2"/>
    </row>
    <row r="139192" spans="3:8" ht="15.6" x14ac:dyDescent="0.25">
      <c r="C139192" s="2"/>
      <c r="D139192" s="2"/>
      <c r="E139192" s="2"/>
      <c r="F139192" s="2"/>
      <c r="G139192" s="2"/>
      <c r="H139192" s="2"/>
    </row>
    <row r="139441" spans="3:8" ht="15.6" x14ac:dyDescent="0.25">
      <c r="C139441" s="2"/>
      <c r="D139441" s="2"/>
      <c r="E139441" s="2"/>
      <c r="F139441" s="2"/>
      <c r="G139441" s="2"/>
      <c r="H139441" s="2"/>
    </row>
    <row r="139690" spans="3:8" ht="15.6" x14ac:dyDescent="0.25">
      <c r="C139690" s="2"/>
      <c r="D139690" s="2"/>
      <c r="E139690" s="2"/>
      <c r="F139690" s="2"/>
      <c r="G139690" s="2"/>
      <c r="H139690" s="2"/>
    </row>
    <row r="139939" spans="3:8" ht="15.6" x14ac:dyDescent="0.25">
      <c r="C139939" s="2"/>
      <c r="D139939" s="2"/>
      <c r="E139939" s="2"/>
      <c r="F139939" s="2"/>
      <c r="G139939" s="2"/>
      <c r="H139939" s="2"/>
    </row>
    <row r="140188" spans="3:8" ht="15.6" x14ac:dyDescent="0.25">
      <c r="C140188" s="2"/>
      <c r="D140188" s="2"/>
      <c r="E140188" s="2"/>
      <c r="F140188" s="2"/>
      <c r="G140188" s="2"/>
      <c r="H140188" s="2"/>
    </row>
    <row r="140437" spans="3:8" ht="15.6" x14ac:dyDescent="0.25">
      <c r="C140437" s="2"/>
      <c r="D140437" s="2"/>
      <c r="E140437" s="2"/>
      <c r="F140437" s="2"/>
      <c r="G140437" s="2"/>
      <c r="H140437" s="2"/>
    </row>
    <row r="140686" spans="3:8" ht="15.6" x14ac:dyDescent="0.25">
      <c r="C140686" s="2"/>
      <c r="D140686" s="2"/>
      <c r="E140686" s="2"/>
      <c r="F140686" s="2"/>
      <c r="G140686" s="2"/>
      <c r="H140686" s="2"/>
    </row>
    <row r="140935" spans="3:8" ht="15.6" x14ac:dyDescent="0.25">
      <c r="C140935" s="2"/>
      <c r="D140935" s="2"/>
      <c r="E140935" s="2"/>
      <c r="F140935" s="2"/>
      <c r="G140935" s="2"/>
      <c r="H140935" s="2"/>
    </row>
    <row r="141184" spans="3:8" ht="15.6" x14ac:dyDescent="0.25">
      <c r="C141184" s="2"/>
      <c r="D141184" s="2"/>
      <c r="E141184" s="2"/>
      <c r="F141184" s="2"/>
      <c r="G141184" s="2"/>
      <c r="H141184" s="2"/>
    </row>
    <row r="141433" spans="3:8" ht="15.6" x14ac:dyDescent="0.25">
      <c r="C141433" s="2"/>
      <c r="D141433" s="2"/>
      <c r="E141433" s="2"/>
      <c r="F141433" s="2"/>
      <c r="G141433" s="2"/>
      <c r="H141433" s="2"/>
    </row>
    <row r="141682" spans="3:8" ht="15.6" x14ac:dyDescent="0.25">
      <c r="C141682" s="2"/>
      <c r="D141682" s="2"/>
      <c r="E141682" s="2"/>
      <c r="F141682" s="2"/>
      <c r="G141682" s="2"/>
      <c r="H141682" s="2"/>
    </row>
    <row r="141931" spans="3:8" ht="15.6" x14ac:dyDescent="0.25">
      <c r="C141931" s="2"/>
      <c r="D141931" s="2"/>
      <c r="E141931" s="2"/>
      <c r="F141931" s="2"/>
      <c r="G141931" s="2"/>
      <c r="H141931" s="2"/>
    </row>
    <row r="142180" spans="3:8" ht="15.6" x14ac:dyDescent="0.25">
      <c r="C142180" s="2"/>
      <c r="D142180" s="2"/>
      <c r="E142180" s="2"/>
      <c r="F142180" s="2"/>
      <c r="G142180" s="2"/>
      <c r="H142180" s="2"/>
    </row>
    <row r="142429" spans="3:8" ht="15.6" x14ac:dyDescent="0.25">
      <c r="C142429" s="2"/>
      <c r="D142429" s="2"/>
      <c r="E142429" s="2"/>
      <c r="F142429" s="2"/>
      <c r="G142429" s="2"/>
      <c r="H142429" s="2"/>
    </row>
    <row r="142678" spans="3:8" ht="15.6" x14ac:dyDescent="0.25">
      <c r="C142678" s="2"/>
      <c r="D142678" s="2"/>
      <c r="E142678" s="2"/>
      <c r="F142678" s="2"/>
      <c r="G142678" s="2"/>
      <c r="H142678" s="2"/>
    </row>
    <row r="142927" spans="3:8" ht="15.6" x14ac:dyDescent="0.25">
      <c r="C142927" s="2"/>
      <c r="D142927" s="2"/>
      <c r="E142927" s="2"/>
      <c r="F142927" s="2"/>
      <c r="G142927" s="2"/>
      <c r="H142927" s="2"/>
    </row>
    <row r="143176" spans="3:8" ht="15.6" x14ac:dyDescent="0.25">
      <c r="C143176" s="2"/>
      <c r="D143176" s="2"/>
      <c r="E143176" s="2"/>
      <c r="F143176" s="2"/>
      <c r="G143176" s="2"/>
      <c r="H143176" s="2"/>
    </row>
    <row r="143425" spans="3:8" ht="15.6" x14ac:dyDescent="0.25">
      <c r="C143425" s="2"/>
      <c r="D143425" s="2"/>
      <c r="E143425" s="2"/>
      <c r="F143425" s="2"/>
      <c r="G143425" s="2"/>
      <c r="H143425" s="2"/>
    </row>
    <row r="143674" spans="3:8" ht="15.6" x14ac:dyDescent="0.25">
      <c r="C143674" s="2"/>
      <c r="D143674" s="2"/>
      <c r="E143674" s="2"/>
      <c r="F143674" s="2"/>
      <c r="G143674" s="2"/>
      <c r="H143674" s="2"/>
    </row>
    <row r="143923" spans="3:8" ht="15.6" x14ac:dyDescent="0.25">
      <c r="C143923" s="2"/>
      <c r="D143923" s="2"/>
      <c r="E143923" s="2"/>
      <c r="F143923" s="2"/>
      <c r="G143923" s="2"/>
      <c r="H143923" s="2"/>
    </row>
    <row r="144172" spans="3:8" ht="15.6" x14ac:dyDescent="0.25">
      <c r="C144172" s="2"/>
      <c r="D144172" s="2"/>
      <c r="E144172" s="2"/>
      <c r="F144172" s="2"/>
      <c r="G144172" s="2"/>
      <c r="H144172" s="2"/>
    </row>
    <row r="144421" spans="3:8" ht="15.6" x14ac:dyDescent="0.25">
      <c r="C144421" s="2"/>
      <c r="D144421" s="2"/>
      <c r="E144421" s="2"/>
      <c r="F144421" s="2"/>
      <c r="G144421" s="2"/>
      <c r="H144421" s="2"/>
    </row>
    <row r="144670" spans="3:8" ht="15.6" x14ac:dyDescent="0.25">
      <c r="C144670" s="2"/>
      <c r="D144670" s="2"/>
      <c r="E144670" s="2"/>
      <c r="F144670" s="2"/>
      <c r="G144670" s="2"/>
      <c r="H144670" s="2"/>
    </row>
    <row r="144919" spans="3:8" ht="15.6" x14ac:dyDescent="0.25">
      <c r="C144919" s="2"/>
      <c r="D144919" s="2"/>
      <c r="E144919" s="2"/>
      <c r="F144919" s="2"/>
      <c r="G144919" s="2"/>
      <c r="H144919" s="2"/>
    </row>
    <row r="145168" spans="3:8" ht="15.6" x14ac:dyDescent="0.25">
      <c r="C145168" s="2"/>
      <c r="D145168" s="2"/>
      <c r="E145168" s="2"/>
      <c r="F145168" s="2"/>
      <c r="G145168" s="2"/>
      <c r="H145168" s="2"/>
    </row>
    <row r="145417" spans="3:8" ht="15.6" x14ac:dyDescent="0.25">
      <c r="C145417" s="2"/>
      <c r="D145417" s="2"/>
      <c r="E145417" s="2"/>
      <c r="F145417" s="2"/>
      <c r="G145417" s="2"/>
      <c r="H145417" s="2"/>
    </row>
    <row r="145666" spans="3:8" ht="15.6" x14ac:dyDescent="0.25">
      <c r="C145666" s="2"/>
      <c r="D145666" s="2"/>
      <c r="E145666" s="2"/>
      <c r="F145666" s="2"/>
      <c r="G145666" s="2"/>
      <c r="H145666" s="2"/>
    </row>
    <row r="145915" spans="3:8" ht="15.6" x14ac:dyDescent="0.25">
      <c r="C145915" s="2"/>
      <c r="D145915" s="2"/>
      <c r="E145915" s="2"/>
      <c r="F145915" s="2"/>
      <c r="G145915" s="2"/>
      <c r="H145915" s="2"/>
    </row>
    <row r="146164" spans="3:8" ht="15.6" x14ac:dyDescent="0.25">
      <c r="C146164" s="2"/>
      <c r="D146164" s="2"/>
      <c r="E146164" s="2"/>
      <c r="F146164" s="2"/>
      <c r="G146164" s="2"/>
      <c r="H146164" s="2"/>
    </row>
    <row r="146413" spans="3:8" ht="15.6" x14ac:dyDescent="0.25">
      <c r="C146413" s="2"/>
      <c r="D146413" s="2"/>
      <c r="E146413" s="2"/>
      <c r="F146413" s="2"/>
      <c r="G146413" s="2"/>
      <c r="H146413" s="2"/>
    </row>
    <row r="146662" spans="3:8" ht="15.6" x14ac:dyDescent="0.25">
      <c r="C146662" s="2"/>
      <c r="D146662" s="2"/>
      <c r="E146662" s="2"/>
      <c r="F146662" s="2"/>
      <c r="G146662" s="2"/>
      <c r="H146662" s="2"/>
    </row>
    <row r="146911" spans="3:8" ht="15.6" x14ac:dyDescent="0.25">
      <c r="C146911" s="2"/>
      <c r="D146911" s="2"/>
      <c r="E146911" s="2"/>
      <c r="F146911" s="2"/>
      <c r="G146911" s="2"/>
      <c r="H146911" s="2"/>
    </row>
    <row r="147160" spans="3:8" ht="15.6" x14ac:dyDescent="0.25">
      <c r="C147160" s="2"/>
      <c r="D147160" s="2"/>
      <c r="E147160" s="2"/>
      <c r="F147160" s="2"/>
      <c r="G147160" s="2"/>
      <c r="H147160" s="2"/>
    </row>
    <row r="147409" spans="3:8" ht="15.6" x14ac:dyDescent="0.25">
      <c r="C147409" s="2"/>
      <c r="D147409" s="2"/>
      <c r="E147409" s="2"/>
      <c r="F147409" s="2"/>
      <c r="G147409" s="2"/>
      <c r="H147409" s="2"/>
    </row>
    <row r="147658" spans="3:8" ht="15.6" x14ac:dyDescent="0.25">
      <c r="C147658" s="2"/>
      <c r="D147658" s="2"/>
      <c r="E147658" s="2"/>
      <c r="F147658" s="2"/>
      <c r="G147658" s="2"/>
      <c r="H147658" s="2"/>
    </row>
    <row r="147907" spans="3:8" ht="15.6" x14ac:dyDescent="0.25">
      <c r="C147907" s="2"/>
      <c r="D147907" s="2"/>
      <c r="E147907" s="2"/>
      <c r="F147907" s="2"/>
      <c r="G147907" s="2"/>
      <c r="H147907" s="2"/>
    </row>
    <row r="148156" spans="3:8" ht="15.6" x14ac:dyDescent="0.25">
      <c r="C148156" s="2"/>
      <c r="D148156" s="2"/>
      <c r="E148156" s="2"/>
      <c r="F148156" s="2"/>
      <c r="G148156" s="2"/>
      <c r="H148156" s="2"/>
    </row>
    <row r="148405" spans="3:8" ht="15.6" x14ac:dyDescent="0.25">
      <c r="C148405" s="2"/>
      <c r="D148405" s="2"/>
      <c r="E148405" s="2"/>
      <c r="F148405" s="2"/>
      <c r="G148405" s="2"/>
      <c r="H148405" s="2"/>
    </row>
    <row r="148654" spans="3:8" ht="15.6" x14ac:dyDescent="0.25">
      <c r="C148654" s="2"/>
      <c r="D148654" s="2"/>
      <c r="E148654" s="2"/>
      <c r="F148654" s="2"/>
      <c r="G148654" s="2"/>
      <c r="H148654" s="2"/>
    </row>
    <row r="148903" spans="3:8" ht="15.6" x14ac:dyDescent="0.25">
      <c r="C148903" s="2"/>
      <c r="D148903" s="2"/>
      <c r="E148903" s="2"/>
      <c r="F148903" s="2"/>
      <c r="G148903" s="2"/>
      <c r="H148903" s="2"/>
    </row>
    <row r="149152" spans="3:8" ht="15.6" x14ac:dyDescent="0.25">
      <c r="C149152" s="2"/>
      <c r="D149152" s="2"/>
      <c r="E149152" s="2"/>
      <c r="F149152" s="2"/>
      <c r="G149152" s="2"/>
      <c r="H149152" s="2"/>
    </row>
    <row r="149401" spans="3:8" ht="15.6" x14ac:dyDescent="0.25">
      <c r="C149401" s="2"/>
      <c r="D149401" s="2"/>
      <c r="E149401" s="2"/>
      <c r="F149401" s="2"/>
      <c r="G149401" s="2"/>
      <c r="H149401" s="2"/>
    </row>
    <row r="149650" spans="3:8" ht="15.6" x14ac:dyDescent="0.25">
      <c r="C149650" s="2"/>
      <c r="D149650" s="2"/>
      <c r="E149650" s="2"/>
      <c r="F149650" s="2"/>
      <c r="G149650" s="2"/>
      <c r="H149650" s="2"/>
    </row>
    <row r="149899" spans="3:8" ht="15.6" x14ac:dyDescent="0.25">
      <c r="C149899" s="2"/>
      <c r="D149899" s="2"/>
      <c r="E149899" s="2"/>
      <c r="F149899" s="2"/>
      <c r="G149899" s="2"/>
      <c r="H149899" s="2"/>
    </row>
    <row r="150148" spans="3:8" ht="15.6" x14ac:dyDescent="0.25">
      <c r="C150148" s="2"/>
      <c r="D150148" s="2"/>
      <c r="E150148" s="2"/>
      <c r="F150148" s="2"/>
      <c r="G150148" s="2"/>
      <c r="H150148" s="2"/>
    </row>
    <row r="150397" spans="3:8" ht="15.6" x14ac:dyDescent="0.25">
      <c r="C150397" s="2"/>
      <c r="D150397" s="2"/>
      <c r="E150397" s="2"/>
      <c r="F150397" s="2"/>
      <c r="G150397" s="2"/>
      <c r="H150397" s="2"/>
    </row>
    <row r="150646" spans="3:8" ht="15.6" x14ac:dyDescent="0.25">
      <c r="C150646" s="2"/>
      <c r="D150646" s="2"/>
      <c r="E150646" s="2"/>
      <c r="F150646" s="2"/>
      <c r="G150646" s="2"/>
      <c r="H150646" s="2"/>
    </row>
    <row r="150895" spans="3:8" ht="15.6" x14ac:dyDescent="0.25">
      <c r="C150895" s="2"/>
      <c r="D150895" s="2"/>
      <c r="E150895" s="2"/>
      <c r="F150895" s="2"/>
      <c r="G150895" s="2"/>
      <c r="H150895" s="2"/>
    </row>
    <row r="151144" spans="3:8" ht="15.6" x14ac:dyDescent="0.25">
      <c r="C151144" s="2"/>
      <c r="D151144" s="2"/>
      <c r="E151144" s="2"/>
      <c r="F151144" s="2"/>
      <c r="G151144" s="2"/>
      <c r="H151144" s="2"/>
    </row>
    <row r="151393" spans="3:8" ht="15.6" x14ac:dyDescent="0.25">
      <c r="C151393" s="2"/>
      <c r="D151393" s="2"/>
      <c r="E151393" s="2"/>
      <c r="F151393" s="2"/>
      <c r="G151393" s="2"/>
      <c r="H151393" s="2"/>
    </row>
    <row r="151642" spans="3:8" ht="15.6" x14ac:dyDescent="0.25">
      <c r="C151642" s="2"/>
      <c r="D151642" s="2"/>
      <c r="E151642" s="2"/>
      <c r="F151642" s="2"/>
      <c r="G151642" s="2"/>
      <c r="H151642" s="2"/>
    </row>
    <row r="151891" spans="3:8" ht="15.6" x14ac:dyDescent="0.25">
      <c r="C151891" s="2"/>
      <c r="D151891" s="2"/>
      <c r="E151891" s="2"/>
      <c r="F151891" s="2"/>
      <c r="G151891" s="2"/>
      <c r="H151891" s="2"/>
    </row>
    <row r="152140" spans="3:8" ht="15.6" x14ac:dyDescent="0.25">
      <c r="C152140" s="2"/>
      <c r="D152140" s="2"/>
      <c r="E152140" s="2"/>
      <c r="F152140" s="2"/>
      <c r="G152140" s="2"/>
      <c r="H152140" s="2"/>
    </row>
    <row r="152389" spans="3:8" ht="15.6" x14ac:dyDescent="0.25">
      <c r="C152389" s="2"/>
      <c r="D152389" s="2"/>
      <c r="E152389" s="2"/>
      <c r="F152389" s="2"/>
      <c r="G152389" s="2"/>
      <c r="H152389" s="2"/>
    </row>
    <row r="152638" spans="3:8" ht="15.6" x14ac:dyDescent="0.25">
      <c r="C152638" s="2"/>
      <c r="D152638" s="2"/>
      <c r="E152638" s="2"/>
      <c r="F152638" s="2"/>
      <c r="G152638" s="2"/>
      <c r="H152638" s="2"/>
    </row>
    <row r="152887" spans="3:8" ht="15.6" x14ac:dyDescent="0.25">
      <c r="C152887" s="2"/>
      <c r="D152887" s="2"/>
      <c r="E152887" s="2"/>
      <c r="F152887" s="2"/>
      <c r="G152887" s="2"/>
      <c r="H152887" s="2"/>
    </row>
    <row r="153136" spans="3:8" ht="15.6" x14ac:dyDescent="0.25">
      <c r="C153136" s="2"/>
      <c r="D153136" s="2"/>
      <c r="E153136" s="2"/>
      <c r="F153136" s="2"/>
      <c r="G153136" s="2"/>
      <c r="H153136" s="2"/>
    </row>
    <row r="153385" spans="3:8" ht="15.6" x14ac:dyDescent="0.25">
      <c r="C153385" s="2"/>
      <c r="D153385" s="2"/>
      <c r="E153385" s="2"/>
      <c r="F153385" s="2"/>
      <c r="G153385" s="2"/>
      <c r="H153385" s="2"/>
    </row>
    <row r="153634" spans="3:8" ht="15.6" x14ac:dyDescent="0.25">
      <c r="C153634" s="2"/>
      <c r="D153634" s="2"/>
      <c r="E153634" s="2"/>
      <c r="F153634" s="2"/>
      <c r="G153634" s="2"/>
      <c r="H153634" s="2"/>
    </row>
    <row r="153883" spans="3:8" ht="15.6" x14ac:dyDescent="0.25">
      <c r="C153883" s="2"/>
      <c r="D153883" s="2"/>
      <c r="E153883" s="2"/>
      <c r="F153883" s="2"/>
      <c r="G153883" s="2"/>
      <c r="H153883" s="2"/>
    </row>
    <row r="154132" spans="3:8" ht="15.6" x14ac:dyDescent="0.25">
      <c r="C154132" s="2"/>
      <c r="D154132" s="2"/>
      <c r="E154132" s="2"/>
      <c r="F154132" s="2"/>
      <c r="G154132" s="2"/>
      <c r="H154132" s="2"/>
    </row>
    <row r="154381" spans="3:8" ht="15.6" x14ac:dyDescent="0.25">
      <c r="C154381" s="2"/>
      <c r="D154381" s="2"/>
      <c r="E154381" s="2"/>
      <c r="F154381" s="2"/>
      <c r="G154381" s="2"/>
      <c r="H154381" s="2"/>
    </row>
    <row r="154630" spans="3:8" ht="15.6" x14ac:dyDescent="0.25">
      <c r="C154630" s="2"/>
      <c r="D154630" s="2"/>
      <c r="E154630" s="2"/>
      <c r="F154630" s="2"/>
      <c r="G154630" s="2"/>
      <c r="H154630" s="2"/>
    </row>
    <row r="154879" spans="3:8" ht="15.6" x14ac:dyDescent="0.25">
      <c r="C154879" s="2"/>
      <c r="D154879" s="2"/>
      <c r="E154879" s="2"/>
      <c r="F154879" s="2"/>
      <c r="G154879" s="2"/>
      <c r="H154879" s="2"/>
    </row>
    <row r="155128" spans="3:8" ht="15.6" x14ac:dyDescent="0.25">
      <c r="C155128" s="2"/>
      <c r="D155128" s="2"/>
      <c r="E155128" s="2"/>
      <c r="F155128" s="2"/>
      <c r="G155128" s="2"/>
      <c r="H155128" s="2"/>
    </row>
    <row r="155377" spans="3:8" ht="15.6" x14ac:dyDescent="0.25">
      <c r="C155377" s="2"/>
      <c r="D155377" s="2"/>
      <c r="E155377" s="2"/>
      <c r="F155377" s="2"/>
      <c r="G155377" s="2"/>
      <c r="H155377" s="2"/>
    </row>
    <row r="155626" spans="3:8" ht="15.6" x14ac:dyDescent="0.25">
      <c r="C155626" s="2"/>
      <c r="D155626" s="2"/>
      <c r="E155626" s="2"/>
      <c r="F155626" s="2"/>
      <c r="G155626" s="2"/>
      <c r="H155626" s="2"/>
    </row>
    <row r="155875" spans="3:8" ht="15.6" x14ac:dyDescent="0.25">
      <c r="C155875" s="2"/>
      <c r="D155875" s="2"/>
      <c r="E155875" s="2"/>
      <c r="F155875" s="2"/>
      <c r="G155875" s="2"/>
      <c r="H155875" s="2"/>
    </row>
    <row r="156124" spans="3:8" ht="15.6" x14ac:dyDescent="0.25">
      <c r="C156124" s="2"/>
      <c r="D156124" s="2"/>
      <c r="E156124" s="2"/>
      <c r="F156124" s="2"/>
      <c r="G156124" s="2"/>
      <c r="H156124" s="2"/>
    </row>
    <row r="156373" spans="3:8" ht="15.6" x14ac:dyDescent="0.25">
      <c r="C156373" s="2"/>
      <c r="D156373" s="2"/>
      <c r="E156373" s="2"/>
      <c r="F156373" s="2"/>
      <c r="G156373" s="2"/>
      <c r="H156373" s="2"/>
    </row>
    <row r="156622" spans="3:8" ht="15.6" x14ac:dyDescent="0.25">
      <c r="C156622" s="2"/>
      <c r="D156622" s="2"/>
      <c r="E156622" s="2"/>
      <c r="F156622" s="2"/>
      <c r="G156622" s="2"/>
      <c r="H156622" s="2"/>
    </row>
    <row r="156871" spans="3:8" ht="15.6" x14ac:dyDescent="0.25">
      <c r="C156871" s="2"/>
      <c r="D156871" s="2"/>
      <c r="E156871" s="2"/>
      <c r="F156871" s="2"/>
      <c r="G156871" s="2"/>
      <c r="H156871" s="2"/>
    </row>
    <row r="157120" spans="3:8" ht="15.6" x14ac:dyDescent="0.25">
      <c r="C157120" s="2"/>
      <c r="D157120" s="2"/>
      <c r="E157120" s="2"/>
      <c r="F157120" s="2"/>
      <c r="G157120" s="2"/>
      <c r="H157120" s="2"/>
    </row>
    <row r="157369" spans="3:8" ht="15.6" x14ac:dyDescent="0.25">
      <c r="C157369" s="2"/>
      <c r="D157369" s="2"/>
      <c r="E157369" s="2"/>
      <c r="F157369" s="2"/>
      <c r="G157369" s="2"/>
      <c r="H157369" s="2"/>
    </row>
    <row r="157618" spans="3:8" ht="15.6" x14ac:dyDescent="0.25">
      <c r="C157618" s="2"/>
      <c r="D157618" s="2"/>
      <c r="E157618" s="2"/>
      <c r="F157618" s="2"/>
      <c r="G157618" s="2"/>
      <c r="H157618" s="2"/>
    </row>
    <row r="157867" spans="3:8" ht="15.6" x14ac:dyDescent="0.25">
      <c r="C157867" s="2"/>
      <c r="D157867" s="2"/>
      <c r="E157867" s="2"/>
      <c r="F157867" s="2"/>
      <c r="G157867" s="2"/>
      <c r="H157867" s="2"/>
    </row>
    <row r="158116" spans="3:8" ht="15.6" x14ac:dyDescent="0.25">
      <c r="C158116" s="2"/>
      <c r="D158116" s="2"/>
      <c r="E158116" s="2"/>
      <c r="F158116" s="2"/>
      <c r="G158116" s="2"/>
      <c r="H158116" s="2"/>
    </row>
    <row r="158365" spans="3:8" ht="15.6" x14ac:dyDescent="0.25">
      <c r="C158365" s="2"/>
      <c r="D158365" s="2"/>
      <c r="E158365" s="2"/>
      <c r="F158365" s="2"/>
      <c r="G158365" s="2"/>
      <c r="H158365" s="2"/>
    </row>
    <row r="158614" spans="3:8" ht="15.6" x14ac:dyDescent="0.25">
      <c r="C158614" s="2"/>
      <c r="D158614" s="2"/>
      <c r="E158614" s="2"/>
      <c r="F158614" s="2"/>
      <c r="G158614" s="2"/>
      <c r="H158614" s="2"/>
    </row>
    <row r="158863" spans="3:8" ht="15.6" x14ac:dyDescent="0.25">
      <c r="C158863" s="2"/>
      <c r="D158863" s="2"/>
      <c r="E158863" s="2"/>
      <c r="F158863" s="2"/>
      <c r="G158863" s="2"/>
      <c r="H158863" s="2"/>
    </row>
    <row r="159112" spans="3:8" ht="15.6" x14ac:dyDescent="0.25">
      <c r="C159112" s="2"/>
      <c r="D159112" s="2"/>
      <c r="E159112" s="2"/>
      <c r="F159112" s="2"/>
      <c r="G159112" s="2"/>
      <c r="H159112" s="2"/>
    </row>
    <row r="159361" spans="3:8" ht="15.6" x14ac:dyDescent="0.25">
      <c r="C159361" s="2"/>
      <c r="D159361" s="2"/>
      <c r="E159361" s="2"/>
      <c r="F159361" s="2"/>
      <c r="G159361" s="2"/>
      <c r="H159361" s="2"/>
    </row>
    <row r="159610" spans="3:8" ht="15.6" x14ac:dyDescent="0.25">
      <c r="C159610" s="2"/>
      <c r="D159610" s="2"/>
      <c r="E159610" s="2"/>
      <c r="F159610" s="2"/>
      <c r="G159610" s="2"/>
      <c r="H159610" s="2"/>
    </row>
    <row r="159859" spans="3:8" ht="15.6" x14ac:dyDescent="0.25">
      <c r="C159859" s="2"/>
      <c r="D159859" s="2"/>
      <c r="E159859" s="2"/>
      <c r="F159859" s="2"/>
      <c r="G159859" s="2"/>
      <c r="H159859" s="2"/>
    </row>
    <row r="160108" spans="3:8" ht="15.6" x14ac:dyDescent="0.25">
      <c r="C160108" s="2"/>
      <c r="D160108" s="2"/>
      <c r="E160108" s="2"/>
      <c r="F160108" s="2"/>
      <c r="G160108" s="2"/>
      <c r="H160108" s="2"/>
    </row>
    <row r="160357" spans="3:8" ht="15.6" x14ac:dyDescent="0.25">
      <c r="C160357" s="2"/>
      <c r="D160357" s="2"/>
      <c r="E160357" s="2"/>
      <c r="F160357" s="2"/>
      <c r="G160357" s="2"/>
      <c r="H160357" s="2"/>
    </row>
    <row r="160606" spans="3:8" ht="15.6" x14ac:dyDescent="0.25">
      <c r="C160606" s="2"/>
      <c r="D160606" s="2"/>
      <c r="E160606" s="2"/>
      <c r="F160606" s="2"/>
      <c r="G160606" s="2"/>
      <c r="H160606" s="2"/>
    </row>
    <row r="160855" spans="3:8" ht="15.6" x14ac:dyDescent="0.25">
      <c r="C160855" s="2"/>
      <c r="D160855" s="2"/>
      <c r="E160855" s="2"/>
      <c r="F160855" s="2"/>
      <c r="G160855" s="2"/>
      <c r="H160855" s="2"/>
    </row>
    <row r="161104" spans="3:8" ht="15.6" x14ac:dyDescent="0.25">
      <c r="C161104" s="2"/>
      <c r="D161104" s="2"/>
      <c r="E161104" s="2"/>
      <c r="F161104" s="2"/>
      <c r="G161104" s="2"/>
      <c r="H161104" s="2"/>
    </row>
    <row r="161353" spans="3:8" ht="15.6" x14ac:dyDescent="0.25">
      <c r="C161353" s="2"/>
      <c r="D161353" s="2"/>
      <c r="E161353" s="2"/>
      <c r="F161353" s="2"/>
      <c r="G161353" s="2"/>
      <c r="H161353" s="2"/>
    </row>
    <row r="161602" spans="3:8" ht="15.6" x14ac:dyDescent="0.25">
      <c r="C161602" s="2"/>
      <c r="D161602" s="2"/>
      <c r="E161602" s="2"/>
      <c r="F161602" s="2"/>
      <c r="G161602" s="2"/>
      <c r="H161602" s="2"/>
    </row>
    <row r="161851" spans="3:8" ht="15.6" x14ac:dyDescent="0.25">
      <c r="C161851" s="2"/>
      <c r="D161851" s="2"/>
      <c r="E161851" s="2"/>
      <c r="F161851" s="2"/>
      <c r="G161851" s="2"/>
      <c r="H161851" s="2"/>
    </row>
    <row r="162100" spans="3:8" ht="15.6" x14ac:dyDescent="0.25">
      <c r="C162100" s="2"/>
      <c r="D162100" s="2"/>
      <c r="E162100" s="2"/>
      <c r="F162100" s="2"/>
      <c r="G162100" s="2"/>
      <c r="H162100" s="2"/>
    </row>
    <row r="162349" spans="3:8" ht="15.6" x14ac:dyDescent="0.25">
      <c r="C162349" s="2"/>
      <c r="D162349" s="2"/>
      <c r="E162349" s="2"/>
      <c r="F162349" s="2"/>
      <c r="G162349" s="2"/>
      <c r="H162349" s="2"/>
    </row>
    <row r="162598" spans="3:8" ht="15.6" x14ac:dyDescent="0.25">
      <c r="C162598" s="2"/>
      <c r="D162598" s="2"/>
      <c r="E162598" s="2"/>
      <c r="F162598" s="2"/>
      <c r="G162598" s="2"/>
      <c r="H162598" s="2"/>
    </row>
    <row r="162847" spans="3:8" ht="15.6" x14ac:dyDescent="0.25">
      <c r="C162847" s="2"/>
      <c r="D162847" s="2"/>
      <c r="E162847" s="2"/>
      <c r="F162847" s="2"/>
      <c r="G162847" s="2"/>
      <c r="H162847" s="2"/>
    </row>
    <row r="163096" spans="3:8" ht="15.6" x14ac:dyDescent="0.25">
      <c r="C163096" s="2"/>
      <c r="D163096" s="2"/>
      <c r="E163096" s="2"/>
      <c r="F163096" s="2"/>
      <c r="G163096" s="2"/>
      <c r="H163096" s="2"/>
    </row>
    <row r="163345" spans="3:8" ht="15.6" x14ac:dyDescent="0.25">
      <c r="C163345" s="2"/>
      <c r="D163345" s="2"/>
      <c r="E163345" s="2"/>
      <c r="F163345" s="2"/>
      <c r="G163345" s="2"/>
      <c r="H163345" s="2"/>
    </row>
    <row r="163594" spans="3:8" ht="15.6" x14ac:dyDescent="0.25">
      <c r="C163594" s="2"/>
      <c r="D163594" s="2"/>
      <c r="E163594" s="2"/>
      <c r="F163594" s="2"/>
      <c r="G163594" s="2"/>
      <c r="H163594" s="2"/>
    </row>
    <row r="163843" spans="3:8" ht="15.6" x14ac:dyDescent="0.25">
      <c r="C163843" s="2"/>
      <c r="D163843" s="2"/>
      <c r="E163843" s="2"/>
      <c r="F163843" s="2"/>
      <c r="G163843" s="2"/>
      <c r="H163843" s="2"/>
    </row>
    <row r="164092" spans="3:8" ht="15.6" x14ac:dyDescent="0.25">
      <c r="C164092" s="2"/>
      <c r="D164092" s="2"/>
      <c r="E164092" s="2"/>
      <c r="F164092" s="2"/>
      <c r="G164092" s="2"/>
      <c r="H164092" s="2"/>
    </row>
    <row r="164341" spans="3:8" ht="15.6" x14ac:dyDescent="0.25">
      <c r="C164341" s="2"/>
      <c r="D164341" s="2"/>
      <c r="E164341" s="2"/>
      <c r="F164341" s="2"/>
      <c r="G164341" s="2"/>
      <c r="H164341" s="2"/>
    </row>
    <row r="164590" spans="3:8" ht="15.6" x14ac:dyDescent="0.25">
      <c r="C164590" s="2"/>
      <c r="D164590" s="2"/>
      <c r="E164590" s="2"/>
      <c r="F164590" s="2"/>
      <c r="G164590" s="2"/>
      <c r="H164590" s="2"/>
    </row>
    <row r="164839" spans="3:8" ht="15.6" x14ac:dyDescent="0.25">
      <c r="C164839" s="2"/>
      <c r="D164839" s="2"/>
      <c r="E164839" s="2"/>
      <c r="F164839" s="2"/>
      <c r="G164839" s="2"/>
      <c r="H164839" s="2"/>
    </row>
    <row r="165088" spans="3:8" ht="15.6" x14ac:dyDescent="0.25">
      <c r="C165088" s="2"/>
      <c r="D165088" s="2"/>
      <c r="E165088" s="2"/>
      <c r="F165088" s="2"/>
      <c r="G165088" s="2"/>
      <c r="H165088" s="2"/>
    </row>
    <row r="165337" spans="3:8" ht="15.6" x14ac:dyDescent="0.25">
      <c r="C165337" s="2"/>
      <c r="D165337" s="2"/>
      <c r="E165337" s="2"/>
      <c r="F165337" s="2"/>
      <c r="G165337" s="2"/>
      <c r="H165337" s="2"/>
    </row>
    <row r="165586" spans="3:8" ht="15.6" x14ac:dyDescent="0.25">
      <c r="C165586" s="2"/>
      <c r="D165586" s="2"/>
      <c r="E165586" s="2"/>
      <c r="F165586" s="2"/>
      <c r="G165586" s="2"/>
      <c r="H165586" s="2"/>
    </row>
    <row r="165835" spans="3:8" ht="15.6" x14ac:dyDescent="0.25">
      <c r="C165835" s="2"/>
      <c r="D165835" s="2"/>
      <c r="E165835" s="2"/>
      <c r="F165835" s="2"/>
      <c r="G165835" s="2"/>
      <c r="H165835" s="2"/>
    </row>
    <row r="166084" spans="3:8" ht="15.6" x14ac:dyDescent="0.25">
      <c r="C166084" s="2"/>
      <c r="D166084" s="2"/>
      <c r="E166084" s="2"/>
      <c r="F166084" s="2"/>
      <c r="G166084" s="2"/>
      <c r="H166084" s="2"/>
    </row>
    <row r="166333" spans="3:8" ht="15.6" x14ac:dyDescent="0.25">
      <c r="C166333" s="2"/>
      <c r="D166333" s="2"/>
      <c r="E166333" s="2"/>
      <c r="F166333" s="2"/>
      <c r="G166333" s="2"/>
      <c r="H166333" s="2"/>
    </row>
    <row r="166582" spans="3:8" ht="15.6" x14ac:dyDescent="0.25">
      <c r="C166582" s="2"/>
      <c r="D166582" s="2"/>
      <c r="E166582" s="2"/>
      <c r="F166582" s="2"/>
      <c r="G166582" s="2"/>
      <c r="H166582" s="2"/>
    </row>
    <row r="166831" spans="3:8" ht="15.6" x14ac:dyDescent="0.25">
      <c r="C166831" s="2"/>
      <c r="D166831" s="2"/>
      <c r="E166831" s="2"/>
      <c r="F166831" s="2"/>
      <c r="G166831" s="2"/>
      <c r="H166831" s="2"/>
    </row>
    <row r="167080" spans="3:8" ht="15.6" x14ac:dyDescent="0.25">
      <c r="C167080" s="2"/>
      <c r="D167080" s="2"/>
      <c r="E167080" s="2"/>
      <c r="F167080" s="2"/>
      <c r="G167080" s="2"/>
      <c r="H167080" s="2"/>
    </row>
    <row r="167329" spans="3:8" ht="15.6" x14ac:dyDescent="0.25">
      <c r="C167329" s="2"/>
      <c r="D167329" s="2"/>
      <c r="E167329" s="2"/>
      <c r="F167329" s="2"/>
      <c r="G167329" s="2"/>
      <c r="H167329" s="2"/>
    </row>
    <row r="167578" spans="3:8" ht="15.6" x14ac:dyDescent="0.25">
      <c r="C167578" s="2"/>
      <c r="D167578" s="2"/>
      <c r="E167578" s="2"/>
      <c r="F167578" s="2"/>
      <c r="G167578" s="2"/>
      <c r="H167578" s="2"/>
    </row>
    <row r="167827" spans="3:8" ht="15.6" x14ac:dyDescent="0.25">
      <c r="C167827" s="2"/>
      <c r="D167827" s="2"/>
      <c r="E167827" s="2"/>
      <c r="F167827" s="2"/>
      <c r="G167827" s="2"/>
      <c r="H167827" s="2"/>
    </row>
    <row r="168076" spans="3:8" ht="15.6" x14ac:dyDescent="0.25">
      <c r="C168076" s="2"/>
      <c r="D168076" s="2"/>
      <c r="E168076" s="2"/>
      <c r="F168076" s="2"/>
      <c r="G168076" s="2"/>
      <c r="H168076" s="2"/>
    </row>
    <row r="168325" spans="3:8" ht="15.6" x14ac:dyDescent="0.25">
      <c r="C168325" s="2"/>
      <c r="D168325" s="2"/>
      <c r="E168325" s="2"/>
      <c r="F168325" s="2"/>
      <c r="G168325" s="2"/>
      <c r="H168325" s="2"/>
    </row>
    <row r="168574" spans="3:8" ht="15.6" x14ac:dyDescent="0.25">
      <c r="C168574" s="2"/>
      <c r="D168574" s="2"/>
      <c r="E168574" s="2"/>
      <c r="F168574" s="2"/>
      <c r="G168574" s="2"/>
      <c r="H168574" s="2"/>
    </row>
    <row r="168823" spans="3:8" ht="15.6" x14ac:dyDescent="0.25">
      <c r="C168823" s="2"/>
      <c r="D168823" s="2"/>
      <c r="E168823" s="2"/>
      <c r="F168823" s="2"/>
      <c r="G168823" s="2"/>
      <c r="H168823" s="2"/>
    </row>
    <row r="169072" spans="3:8" ht="15.6" x14ac:dyDescent="0.25">
      <c r="C169072" s="2"/>
      <c r="D169072" s="2"/>
      <c r="E169072" s="2"/>
      <c r="F169072" s="2"/>
      <c r="G169072" s="2"/>
      <c r="H169072" s="2"/>
    </row>
    <row r="169321" spans="3:8" ht="15.6" x14ac:dyDescent="0.25">
      <c r="C169321" s="2"/>
      <c r="D169321" s="2"/>
      <c r="E169321" s="2"/>
      <c r="F169321" s="2"/>
      <c r="G169321" s="2"/>
      <c r="H169321" s="2"/>
    </row>
    <row r="169570" spans="3:8" ht="15.6" x14ac:dyDescent="0.25">
      <c r="C169570" s="2"/>
      <c r="D169570" s="2"/>
      <c r="E169570" s="2"/>
      <c r="F169570" s="2"/>
      <c r="G169570" s="2"/>
      <c r="H169570" s="2"/>
    </row>
    <row r="169819" spans="3:8" ht="15.6" x14ac:dyDescent="0.25">
      <c r="C169819" s="2"/>
      <c r="D169819" s="2"/>
      <c r="E169819" s="2"/>
      <c r="F169819" s="2"/>
      <c r="G169819" s="2"/>
      <c r="H169819" s="2"/>
    </row>
    <row r="170068" spans="3:8" ht="15.6" x14ac:dyDescent="0.25">
      <c r="C170068" s="2"/>
      <c r="D170068" s="2"/>
      <c r="E170068" s="2"/>
      <c r="F170068" s="2"/>
      <c r="G170068" s="2"/>
      <c r="H170068" s="2"/>
    </row>
    <row r="170317" spans="3:8" ht="15.6" x14ac:dyDescent="0.25">
      <c r="C170317" s="2"/>
      <c r="D170317" s="2"/>
      <c r="E170317" s="2"/>
      <c r="F170317" s="2"/>
      <c r="G170317" s="2"/>
      <c r="H170317" s="2"/>
    </row>
    <row r="170566" spans="3:8" ht="15.6" x14ac:dyDescent="0.25">
      <c r="C170566" s="2"/>
      <c r="D170566" s="2"/>
      <c r="E170566" s="2"/>
      <c r="F170566" s="2"/>
      <c r="G170566" s="2"/>
      <c r="H170566" s="2"/>
    </row>
    <row r="170815" spans="3:8" ht="15.6" x14ac:dyDescent="0.25">
      <c r="C170815" s="2"/>
      <c r="D170815" s="2"/>
      <c r="E170815" s="2"/>
      <c r="F170815" s="2"/>
      <c r="G170815" s="2"/>
      <c r="H170815" s="2"/>
    </row>
    <row r="171064" spans="3:8" ht="15.6" x14ac:dyDescent="0.25">
      <c r="C171064" s="2"/>
      <c r="D171064" s="2"/>
      <c r="E171064" s="2"/>
      <c r="F171064" s="2"/>
      <c r="G171064" s="2"/>
      <c r="H171064" s="2"/>
    </row>
    <row r="171313" spans="3:8" ht="15.6" x14ac:dyDescent="0.25">
      <c r="C171313" s="2"/>
      <c r="D171313" s="2"/>
      <c r="E171313" s="2"/>
      <c r="F171313" s="2"/>
      <c r="G171313" s="2"/>
      <c r="H171313" s="2"/>
    </row>
    <row r="171562" spans="3:8" ht="15.6" x14ac:dyDescent="0.25">
      <c r="C171562" s="2"/>
      <c r="D171562" s="2"/>
      <c r="E171562" s="2"/>
      <c r="F171562" s="2"/>
      <c r="G171562" s="2"/>
      <c r="H171562" s="2"/>
    </row>
    <row r="171811" spans="3:8" ht="15.6" x14ac:dyDescent="0.25">
      <c r="C171811" s="2"/>
      <c r="D171811" s="2"/>
      <c r="E171811" s="2"/>
      <c r="F171811" s="2"/>
      <c r="G171811" s="2"/>
      <c r="H171811" s="2"/>
    </row>
    <row r="172060" spans="3:8" ht="15.6" x14ac:dyDescent="0.25">
      <c r="C172060" s="2"/>
      <c r="D172060" s="2"/>
      <c r="E172060" s="2"/>
      <c r="F172060" s="2"/>
      <c r="G172060" s="2"/>
      <c r="H172060" s="2"/>
    </row>
    <row r="172309" spans="3:8" ht="15.6" x14ac:dyDescent="0.25">
      <c r="C172309" s="2"/>
      <c r="D172309" s="2"/>
      <c r="E172309" s="2"/>
      <c r="F172309" s="2"/>
      <c r="G172309" s="2"/>
      <c r="H172309" s="2"/>
    </row>
    <row r="172558" spans="3:8" ht="15.6" x14ac:dyDescent="0.25">
      <c r="C172558" s="2"/>
      <c r="D172558" s="2"/>
      <c r="E172558" s="2"/>
      <c r="F172558" s="2"/>
      <c r="G172558" s="2"/>
      <c r="H172558" s="2"/>
    </row>
    <row r="172807" spans="3:8" ht="15.6" x14ac:dyDescent="0.25">
      <c r="C172807" s="2"/>
      <c r="D172807" s="2"/>
      <c r="E172807" s="2"/>
      <c r="F172807" s="2"/>
      <c r="G172807" s="2"/>
      <c r="H172807" s="2"/>
    </row>
    <row r="173056" spans="3:8" ht="15.6" x14ac:dyDescent="0.25">
      <c r="C173056" s="2"/>
      <c r="D173056" s="2"/>
      <c r="E173056" s="2"/>
      <c r="F173056" s="2"/>
      <c r="G173056" s="2"/>
      <c r="H173056" s="2"/>
    </row>
    <row r="173305" spans="3:8" ht="15.6" x14ac:dyDescent="0.25">
      <c r="C173305" s="2"/>
      <c r="D173305" s="2"/>
      <c r="E173305" s="2"/>
      <c r="F173305" s="2"/>
      <c r="G173305" s="2"/>
      <c r="H173305" s="2"/>
    </row>
    <row r="173554" spans="3:8" ht="15.6" x14ac:dyDescent="0.25">
      <c r="C173554" s="2"/>
      <c r="D173554" s="2"/>
      <c r="E173554" s="2"/>
      <c r="F173554" s="2"/>
      <c r="G173554" s="2"/>
      <c r="H173554" s="2"/>
    </row>
    <row r="173803" spans="3:8" ht="15.6" x14ac:dyDescent="0.25">
      <c r="C173803" s="2"/>
      <c r="D173803" s="2"/>
      <c r="E173803" s="2"/>
      <c r="F173803" s="2"/>
      <c r="G173803" s="2"/>
      <c r="H173803" s="2"/>
    </row>
    <row r="174052" spans="3:8" ht="15.6" x14ac:dyDescent="0.25">
      <c r="C174052" s="2"/>
      <c r="D174052" s="2"/>
      <c r="E174052" s="2"/>
      <c r="F174052" s="2"/>
      <c r="G174052" s="2"/>
      <c r="H174052" s="2"/>
    </row>
    <row r="174301" spans="3:8" ht="15.6" x14ac:dyDescent="0.25">
      <c r="C174301" s="2"/>
      <c r="D174301" s="2"/>
      <c r="E174301" s="2"/>
      <c r="F174301" s="2"/>
      <c r="G174301" s="2"/>
      <c r="H174301" s="2"/>
    </row>
    <row r="174550" spans="3:8" ht="15.6" x14ac:dyDescent="0.25">
      <c r="C174550" s="2"/>
      <c r="D174550" s="2"/>
      <c r="E174550" s="2"/>
      <c r="F174550" s="2"/>
      <c r="G174550" s="2"/>
      <c r="H174550" s="2"/>
    </row>
    <row r="174799" spans="3:8" ht="15.6" x14ac:dyDescent="0.25">
      <c r="C174799" s="2"/>
      <c r="D174799" s="2"/>
      <c r="E174799" s="2"/>
      <c r="F174799" s="2"/>
      <c r="G174799" s="2"/>
      <c r="H174799" s="2"/>
    </row>
    <row r="175048" spans="3:8" ht="15.6" x14ac:dyDescent="0.25">
      <c r="C175048" s="2"/>
      <c r="D175048" s="2"/>
      <c r="E175048" s="2"/>
      <c r="F175048" s="2"/>
      <c r="G175048" s="2"/>
      <c r="H175048" s="2"/>
    </row>
    <row r="175297" spans="3:8" ht="15.6" x14ac:dyDescent="0.25">
      <c r="C175297" s="2"/>
      <c r="D175297" s="2"/>
      <c r="E175297" s="2"/>
      <c r="F175297" s="2"/>
      <c r="G175297" s="2"/>
      <c r="H175297" s="2"/>
    </row>
    <row r="175546" spans="3:8" ht="15.6" x14ac:dyDescent="0.25">
      <c r="C175546" s="2"/>
      <c r="D175546" s="2"/>
      <c r="E175546" s="2"/>
      <c r="F175546" s="2"/>
      <c r="G175546" s="2"/>
      <c r="H175546" s="2"/>
    </row>
    <row r="175795" spans="3:8" ht="15.6" x14ac:dyDescent="0.25">
      <c r="C175795" s="2"/>
      <c r="D175795" s="2"/>
      <c r="E175795" s="2"/>
      <c r="F175795" s="2"/>
      <c r="G175795" s="2"/>
      <c r="H175795" s="2"/>
    </row>
    <row r="176044" spans="3:8" ht="15.6" x14ac:dyDescent="0.25">
      <c r="C176044" s="2"/>
      <c r="D176044" s="2"/>
      <c r="E176044" s="2"/>
      <c r="F176044" s="2"/>
      <c r="G176044" s="2"/>
      <c r="H176044" s="2"/>
    </row>
    <row r="176293" spans="3:8" ht="15.6" x14ac:dyDescent="0.25">
      <c r="C176293" s="2"/>
      <c r="D176293" s="2"/>
      <c r="E176293" s="2"/>
      <c r="F176293" s="2"/>
      <c r="G176293" s="2"/>
      <c r="H176293" s="2"/>
    </row>
    <row r="176542" spans="3:8" ht="15.6" x14ac:dyDescent="0.25">
      <c r="C176542" s="2"/>
      <c r="D176542" s="2"/>
      <c r="E176542" s="2"/>
      <c r="F176542" s="2"/>
      <c r="G176542" s="2"/>
      <c r="H176542" s="2"/>
    </row>
    <row r="176791" spans="3:8" ht="15.6" x14ac:dyDescent="0.25">
      <c r="C176791" s="2"/>
      <c r="D176791" s="2"/>
      <c r="E176791" s="2"/>
      <c r="F176791" s="2"/>
      <c r="G176791" s="2"/>
      <c r="H176791" s="2"/>
    </row>
    <row r="177040" spans="3:8" ht="15.6" x14ac:dyDescent="0.25">
      <c r="C177040" s="2"/>
      <c r="D177040" s="2"/>
      <c r="E177040" s="2"/>
      <c r="F177040" s="2"/>
      <c r="G177040" s="2"/>
      <c r="H177040" s="2"/>
    </row>
    <row r="177289" spans="3:8" ht="15.6" x14ac:dyDescent="0.25">
      <c r="C177289" s="2"/>
      <c r="D177289" s="2"/>
      <c r="E177289" s="2"/>
      <c r="F177289" s="2"/>
      <c r="G177289" s="2"/>
      <c r="H177289" s="2"/>
    </row>
    <row r="177538" spans="3:8" ht="15.6" x14ac:dyDescent="0.25">
      <c r="C177538" s="2"/>
      <c r="D177538" s="2"/>
      <c r="E177538" s="2"/>
      <c r="F177538" s="2"/>
      <c r="G177538" s="2"/>
      <c r="H177538" s="2"/>
    </row>
    <row r="177787" spans="3:8" ht="15.6" x14ac:dyDescent="0.25">
      <c r="C177787" s="2"/>
      <c r="D177787" s="2"/>
      <c r="E177787" s="2"/>
      <c r="F177787" s="2"/>
      <c r="G177787" s="2"/>
      <c r="H177787" s="2"/>
    </row>
    <row r="178036" spans="3:8" ht="15.6" x14ac:dyDescent="0.25">
      <c r="C178036" s="2"/>
      <c r="D178036" s="2"/>
      <c r="E178036" s="2"/>
      <c r="F178036" s="2"/>
      <c r="G178036" s="2"/>
      <c r="H178036" s="2"/>
    </row>
    <row r="178285" spans="3:8" ht="15.6" x14ac:dyDescent="0.25">
      <c r="C178285" s="2"/>
      <c r="D178285" s="2"/>
      <c r="E178285" s="2"/>
      <c r="F178285" s="2"/>
      <c r="G178285" s="2"/>
      <c r="H178285" s="2"/>
    </row>
    <row r="178534" spans="3:8" ht="15.6" x14ac:dyDescent="0.25">
      <c r="C178534" s="2"/>
      <c r="D178534" s="2"/>
      <c r="E178534" s="2"/>
      <c r="F178534" s="2"/>
      <c r="G178534" s="2"/>
      <c r="H178534" s="2"/>
    </row>
    <row r="178783" spans="3:8" ht="15.6" x14ac:dyDescent="0.25">
      <c r="C178783" s="2"/>
      <c r="D178783" s="2"/>
      <c r="E178783" s="2"/>
      <c r="F178783" s="2"/>
      <c r="G178783" s="2"/>
      <c r="H178783" s="2"/>
    </row>
    <row r="179032" spans="3:8" ht="15.6" x14ac:dyDescent="0.25">
      <c r="C179032" s="2"/>
      <c r="D179032" s="2"/>
      <c r="E179032" s="2"/>
      <c r="F179032" s="2"/>
      <c r="G179032" s="2"/>
      <c r="H179032" s="2"/>
    </row>
    <row r="179281" spans="3:8" ht="15.6" x14ac:dyDescent="0.25">
      <c r="C179281" s="2"/>
      <c r="D179281" s="2"/>
      <c r="E179281" s="2"/>
      <c r="F179281" s="2"/>
      <c r="G179281" s="2"/>
      <c r="H179281" s="2"/>
    </row>
    <row r="179530" spans="3:8" ht="15.6" x14ac:dyDescent="0.25">
      <c r="C179530" s="2"/>
      <c r="D179530" s="2"/>
      <c r="E179530" s="2"/>
      <c r="F179530" s="2"/>
      <c r="G179530" s="2"/>
      <c r="H179530" s="2"/>
    </row>
    <row r="179779" spans="3:8" ht="15.6" x14ac:dyDescent="0.25">
      <c r="C179779" s="2"/>
      <c r="D179779" s="2"/>
      <c r="E179779" s="2"/>
      <c r="F179779" s="2"/>
      <c r="G179779" s="2"/>
      <c r="H179779" s="2"/>
    </row>
    <row r="180028" spans="3:8" ht="15.6" x14ac:dyDescent="0.25">
      <c r="C180028" s="2"/>
      <c r="D180028" s="2"/>
      <c r="E180028" s="2"/>
      <c r="F180028" s="2"/>
      <c r="G180028" s="2"/>
      <c r="H180028" s="2"/>
    </row>
    <row r="180277" spans="3:8" ht="15.6" x14ac:dyDescent="0.25">
      <c r="C180277" s="2"/>
      <c r="D180277" s="2"/>
      <c r="E180277" s="2"/>
      <c r="F180277" s="2"/>
      <c r="G180277" s="2"/>
      <c r="H180277" s="2"/>
    </row>
    <row r="180526" spans="3:8" ht="15.6" x14ac:dyDescent="0.25">
      <c r="C180526" s="2"/>
      <c r="D180526" s="2"/>
      <c r="E180526" s="2"/>
      <c r="F180526" s="2"/>
      <c r="G180526" s="2"/>
      <c r="H180526" s="2"/>
    </row>
    <row r="180775" spans="3:8" ht="15.6" x14ac:dyDescent="0.25">
      <c r="C180775" s="2"/>
      <c r="D180775" s="2"/>
      <c r="E180775" s="2"/>
      <c r="F180775" s="2"/>
      <c r="G180775" s="2"/>
      <c r="H180775" s="2"/>
    </row>
    <row r="181024" spans="3:8" ht="15.6" x14ac:dyDescent="0.25">
      <c r="C181024" s="2"/>
      <c r="D181024" s="2"/>
      <c r="E181024" s="2"/>
      <c r="F181024" s="2"/>
      <c r="G181024" s="2"/>
      <c r="H181024" s="2"/>
    </row>
    <row r="181273" spans="3:8" ht="15.6" x14ac:dyDescent="0.25">
      <c r="C181273" s="2"/>
      <c r="D181273" s="2"/>
      <c r="E181273" s="2"/>
      <c r="F181273" s="2"/>
      <c r="G181273" s="2"/>
      <c r="H181273" s="2"/>
    </row>
    <row r="181522" spans="3:8" ht="15.6" x14ac:dyDescent="0.25">
      <c r="C181522" s="2"/>
      <c r="D181522" s="2"/>
      <c r="E181522" s="2"/>
      <c r="F181522" s="2"/>
      <c r="G181522" s="2"/>
      <c r="H181522" s="2"/>
    </row>
    <row r="181771" spans="3:8" ht="15.6" x14ac:dyDescent="0.25">
      <c r="C181771" s="2"/>
      <c r="D181771" s="2"/>
      <c r="E181771" s="2"/>
      <c r="F181771" s="2"/>
      <c r="G181771" s="2"/>
      <c r="H181771" s="2"/>
    </row>
    <row r="182020" spans="3:8" ht="15.6" x14ac:dyDescent="0.25">
      <c r="C182020" s="2"/>
      <c r="D182020" s="2"/>
      <c r="E182020" s="2"/>
      <c r="F182020" s="2"/>
      <c r="G182020" s="2"/>
      <c r="H182020" s="2"/>
    </row>
    <row r="182269" spans="3:8" ht="15.6" x14ac:dyDescent="0.25">
      <c r="C182269" s="2"/>
      <c r="D182269" s="2"/>
      <c r="E182269" s="2"/>
      <c r="F182269" s="2"/>
      <c r="G182269" s="2"/>
      <c r="H182269" s="2"/>
    </row>
    <row r="182518" spans="3:8" ht="15.6" x14ac:dyDescent="0.25">
      <c r="C182518" s="2"/>
      <c r="D182518" s="2"/>
      <c r="E182518" s="2"/>
      <c r="F182518" s="2"/>
      <c r="G182518" s="2"/>
      <c r="H182518" s="2"/>
    </row>
    <row r="182767" spans="3:8" ht="15.6" x14ac:dyDescent="0.25">
      <c r="C182767" s="2"/>
      <c r="D182767" s="2"/>
      <c r="E182767" s="2"/>
      <c r="F182767" s="2"/>
      <c r="G182767" s="2"/>
      <c r="H182767" s="2"/>
    </row>
    <row r="183016" spans="3:8" ht="15.6" x14ac:dyDescent="0.25">
      <c r="C183016" s="2"/>
      <c r="D183016" s="2"/>
      <c r="E183016" s="2"/>
      <c r="F183016" s="2"/>
      <c r="G183016" s="2"/>
      <c r="H183016" s="2"/>
    </row>
    <row r="183265" spans="3:8" ht="15.6" x14ac:dyDescent="0.25">
      <c r="C183265" s="2"/>
      <c r="D183265" s="2"/>
      <c r="E183265" s="2"/>
      <c r="F183265" s="2"/>
      <c r="G183265" s="2"/>
      <c r="H183265" s="2"/>
    </row>
    <row r="183514" spans="3:8" ht="15.6" x14ac:dyDescent="0.25">
      <c r="C183514" s="2"/>
      <c r="D183514" s="2"/>
      <c r="E183514" s="2"/>
      <c r="F183514" s="2"/>
      <c r="G183514" s="2"/>
      <c r="H183514" s="2"/>
    </row>
    <row r="183763" spans="3:8" ht="15.6" x14ac:dyDescent="0.25">
      <c r="C183763" s="2"/>
      <c r="D183763" s="2"/>
      <c r="E183763" s="2"/>
      <c r="F183763" s="2"/>
      <c r="G183763" s="2"/>
      <c r="H183763" s="2"/>
    </row>
    <row r="184012" spans="3:8" ht="15.6" x14ac:dyDescent="0.25">
      <c r="C184012" s="2"/>
      <c r="D184012" s="2"/>
      <c r="E184012" s="2"/>
      <c r="F184012" s="2"/>
      <c r="G184012" s="2"/>
      <c r="H184012" s="2"/>
    </row>
    <row r="184261" spans="3:8" ht="15.6" x14ac:dyDescent="0.25">
      <c r="C184261" s="2"/>
      <c r="D184261" s="2"/>
      <c r="E184261" s="2"/>
      <c r="F184261" s="2"/>
      <c r="G184261" s="2"/>
      <c r="H184261" s="2"/>
    </row>
    <row r="184510" spans="3:8" ht="15.6" x14ac:dyDescent="0.25">
      <c r="C184510" s="2"/>
      <c r="D184510" s="2"/>
      <c r="E184510" s="2"/>
      <c r="F184510" s="2"/>
      <c r="G184510" s="2"/>
      <c r="H184510" s="2"/>
    </row>
    <row r="184759" spans="3:8" ht="15.6" x14ac:dyDescent="0.25">
      <c r="C184759" s="2"/>
      <c r="D184759" s="2"/>
      <c r="E184759" s="2"/>
      <c r="F184759" s="2"/>
      <c r="G184759" s="2"/>
      <c r="H184759" s="2"/>
    </row>
    <row r="185008" spans="3:8" ht="15.6" x14ac:dyDescent="0.25">
      <c r="C185008" s="2"/>
      <c r="D185008" s="2"/>
      <c r="E185008" s="2"/>
      <c r="F185008" s="2"/>
      <c r="G185008" s="2"/>
      <c r="H185008" s="2"/>
    </row>
    <row r="185257" spans="3:8" ht="15.6" x14ac:dyDescent="0.25">
      <c r="C185257" s="2"/>
      <c r="D185257" s="2"/>
      <c r="E185257" s="2"/>
      <c r="F185257" s="2"/>
      <c r="G185257" s="2"/>
      <c r="H185257" s="2"/>
    </row>
    <row r="185506" spans="3:8" ht="15.6" x14ac:dyDescent="0.25">
      <c r="C185506" s="2"/>
      <c r="D185506" s="2"/>
      <c r="E185506" s="2"/>
      <c r="F185506" s="2"/>
      <c r="G185506" s="2"/>
      <c r="H185506" s="2"/>
    </row>
    <row r="185755" spans="3:8" ht="15.6" x14ac:dyDescent="0.25">
      <c r="C185755" s="2"/>
      <c r="D185755" s="2"/>
      <c r="E185755" s="2"/>
      <c r="F185755" s="2"/>
      <c r="G185755" s="2"/>
      <c r="H185755" s="2"/>
    </row>
    <row r="186004" spans="3:8" ht="15.6" x14ac:dyDescent="0.25">
      <c r="C186004" s="2"/>
      <c r="D186004" s="2"/>
      <c r="E186004" s="2"/>
      <c r="F186004" s="2"/>
      <c r="G186004" s="2"/>
      <c r="H186004" s="2"/>
    </row>
    <row r="186253" spans="3:8" ht="15.6" x14ac:dyDescent="0.25">
      <c r="C186253" s="2"/>
      <c r="D186253" s="2"/>
      <c r="E186253" s="2"/>
      <c r="F186253" s="2"/>
      <c r="G186253" s="2"/>
      <c r="H186253" s="2"/>
    </row>
    <row r="186502" spans="3:8" ht="15.6" x14ac:dyDescent="0.25">
      <c r="C186502" s="2"/>
      <c r="D186502" s="2"/>
      <c r="E186502" s="2"/>
      <c r="F186502" s="2"/>
      <c r="G186502" s="2"/>
      <c r="H186502" s="2"/>
    </row>
    <row r="186751" spans="3:8" ht="15.6" x14ac:dyDescent="0.25">
      <c r="C186751" s="2"/>
      <c r="D186751" s="2"/>
      <c r="E186751" s="2"/>
      <c r="F186751" s="2"/>
      <c r="G186751" s="2"/>
      <c r="H186751" s="2"/>
    </row>
    <row r="187000" spans="3:8" ht="15.6" x14ac:dyDescent="0.25">
      <c r="C187000" s="2"/>
      <c r="D187000" s="2"/>
      <c r="E187000" s="2"/>
      <c r="F187000" s="2"/>
      <c r="G187000" s="2"/>
      <c r="H187000" s="2"/>
    </row>
    <row r="187249" spans="3:8" ht="15.6" x14ac:dyDescent="0.25">
      <c r="C187249" s="2"/>
      <c r="D187249" s="2"/>
      <c r="E187249" s="2"/>
      <c r="F187249" s="2"/>
      <c r="G187249" s="2"/>
      <c r="H187249" s="2"/>
    </row>
    <row r="187498" spans="3:8" ht="15.6" x14ac:dyDescent="0.25">
      <c r="C187498" s="2"/>
      <c r="D187498" s="2"/>
      <c r="E187498" s="2"/>
      <c r="F187498" s="2"/>
      <c r="G187498" s="2"/>
      <c r="H187498" s="2"/>
    </row>
    <row r="187747" spans="3:8" ht="15.6" x14ac:dyDescent="0.25">
      <c r="C187747" s="2"/>
      <c r="D187747" s="2"/>
      <c r="E187747" s="2"/>
      <c r="F187747" s="2"/>
      <c r="G187747" s="2"/>
      <c r="H187747" s="2"/>
    </row>
    <row r="187996" spans="3:8" ht="15.6" x14ac:dyDescent="0.25">
      <c r="C187996" s="2"/>
      <c r="D187996" s="2"/>
      <c r="E187996" s="2"/>
      <c r="F187996" s="2"/>
      <c r="G187996" s="2"/>
      <c r="H187996" s="2"/>
    </row>
    <row r="188245" spans="3:8" ht="15.6" x14ac:dyDescent="0.25">
      <c r="C188245" s="2"/>
      <c r="D188245" s="2"/>
      <c r="E188245" s="2"/>
      <c r="F188245" s="2"/>
      <c r="G188245" s="2"/>
      <c r="H188245" s="2"/>
    </row>
    <row r="188494" spans="3:8" ht="15.6" x14ac:dyDescent="0.25">
      <c r="C188494" s="2"/>
      <c r="D188494" s="2"/>
      <c r="E188494" s="2"/>
      <c r="F188494" s="2"/>
      <c r="G188494" s="2"/>
      <c r="H188494" s="2"/>
    </row>
    <row r="188743" spans="3:8" ht="15.6" x14ac:dyDescent="0.25">
      <c r="C188743" s="2"/>
      <c r="D188743" s="2"/>
      <c r="E188743" s="2"/>
      <c r="F188743" s="2"/>
      <c r="G188743" s="2"/>
      <c r="H188743" s="2"/>
    </row>
    <row r="188992" spans="3:8" ht="15.6" x14ac:dyDescent="0.25">
      <c r="C188992" s="2"/>
      <c r="D188992" s="2"/>
      <c r="E188992" s="2"/>
      <c r="F188992" s="2"/>
      <c r="G188992" s="2"/>
      <c r="H188992" s="2"/>
    </row>
    <row r="189241" spans="3:8" ht="15.6" x14ac:dyDescent="0.25">
      <c r="C189241" s="2"/>
      <c r="D189241" s="2"/>
      <c r="E189241" s="2"/>
      <c r="F189241" s="2"/>
      <c r="G189241" s="2"/>
      <c r="H189241" s="2"/>
    </row>
    <row r="189490" spans="3:8" ht="15.6" x14ac:dyDescent="0.25">
      <c r="C189490" s="2"/>
      <c r="D189490" s="2"/>
      <c r="E189490" s="2"/>
      <c r="F189490" s="2"/>
      <c r="G189490" s="2"/>
      <c r="H189490" s="2"/>
    </row>
    <row r="189739" spans="3:8" ht="15.6" x14ac:dyDescent="0.25">
      <c r="C189739" s="2"/>
      <c r="D189739" s="2"/>
      <c r="E189739" s="2"/>
      <c r="F189739" s="2"/>
      <c r="G189739" s="2"/>
      <c r="H189739" s="2"/>
    </row>
    <row r="189988" spans="3:8" ht="15.6" x14ac:dyDescent="0.25">
      <c r="C189988" s="2"/>
      <c r="D189988" s="2"/>
      <c r="E189988" s="2"/>
      <c r="F189988" s="2"/>
      <c r="G189988" s="2"/>
      <c r="H189988" s="2"/>
    </row>
    <row r="190237" spans="3:8" ht="15.6" x14ac:dyDescent="0.25">
      <c r="C190237" s="2"/>
      <c r="D190237" s="2"/>
      <c r="E190237" s="2"/>
      <c r="F190237" s="2"/>
      <c r="G190237" s="2"/>
      <c r="H190237" s="2"/>
    </row>
    <row r="190486" spans="3:8" ht="15.6" x14ac:dyDescent="0.25">
      <c r="C190486" s="2"/>
      <c r="D190486" s="2"/>
      <c r="E190486" s="2"/>
      <c r="F190486" s="2"/>
      <c r="G190486" s="2"/>
      <c r="H190486" s="2"/>
    </row>
    <row r="190735" spans="3:8" ht="15.6" x14ac:dyDescent="0.25">
      <c r="C190735" s="2"/>
      <c r="D190735" s="2"/>
      <c r="E190735" s="2"/>
      <c r="F190735" s="2"/>
      <c r="G190735" s="2"/>
      <c r="H190735" s="2"/>
    </row>
    <row r="190984" spans="3:8" ht="15.6" x14ac:dyDescent="0.25">
      <c r="C190984" s="2"/>
      <c r="D190984" s="2"/>
      <c r="E190984" s="2"/>
      <c r="F190984" s="2"/>
      <c r="G190984" s="2"/>
      <c r="H190984" s="2"/>
    </row>
    <row r="191233" spans="3:8" ht="15.6" x14ac:dyDescent="0.25">
      <c r="C191233" s="2"/>
      <c r="D191233" s="2"/>
      <c r="E191233" s="2"/>
      <c r="F191233" s="2"/>
      <c r="G191233" s="2"/>
      <c r="H191233" s="2"/>
    </row>
    <row r="191482" spans="3:8" ht="15.6" x14ac:dyDescent="0.25">
      <c r="C191482" s="2"/>
      <c r="D191482" s="2"/>
      <c r="E191482" s="2"/>
      <c r="F191482" s="2"/>
      <c r="G191482" s="2"/>
      <c r="H191482" s="2"/>
    </row>
    <row r="191731" spans="3:8" ht="15.6" x14ac:dyDescent="0.25">
      <c r="C191731" s="2"/>
      <c r="D191731" s="2"/>
      <c r="E191731" s="2"/>
      <c r="F191731" s="2"/>
      <c r="G191731" s="2"/>
      <c r="H191731" s="2"/>
    </row>
    <row r="191980" spans="3:8" ht="15.6" x14ac:dyDescent="0.25">
      <c r="C191980" s="2"/>
      <c r="D191980" s="2"/>
      <c r="E191980" s="2"/>
      <c r="F191980" s="2"/>
      <c r="G191980" s="2"/>
      <c r="H191980" s="2"/>
    </row>
    <row r="192229" spans="3:8" ht="15.6" x14ac:dyDescent="0.25">
      <c r="C192229" s="2"/>
      <c r="D192229" s="2"/>
      <c r="E192229" s="2"/>
      <c r="F192229" s="2"/>
      <c r="G192229" s="2"/>
      <c r="H192229" s="2"/>
    </row>
    <row r="192478" spans="3:8" ht="15.6" x14ac:dyDescent="0.25">
      <c r="C192478" s="2"/>
      <c r="D192478" s="2"/>
      <c r="E192478" s="2"/>
      <c r="F192478" s="2"/>
      <c r="G192478" s="2"/>
      <c r="H192478" s="2"/>
    </row>
    <row r="192727" spans="3:8" ht="15.6" x14ac:dyDescent="0.25">
      <c r="C192727" s="2"/>
      <c r="D192727" s="2"/>
      <c r="E192727" s="2"/>
      <c r="F192727" s="2"/>
      <c r="G192727" s="2"/>
      <c r="H192727" s="2"/>
    </row>
    <row r="192976" spans="3:8" ht="15.6" x14ac:dyDescent="0.25">
      <c r="C192976" s="2"/>
      <c r="D192976" s="2"/>
      <c r="E192976" s="2"/>
      <c r="F192976" s="2"/>
      <c r="G192976" s="2"/>
      <c r="H192976" s="2"/>
    </row>
    <row r="193225" spans="3:8" ht="15.6" x14ac:dyDescent="0.25">
      <c r="C193225" s="2"/>
      <c r="D193225" s="2"/>
      <c r="E193225" s="2"/>
      <c r="F193225" s="2"/>
      <c r="G193225" s="2"/>
      <c r="H193225" s="2"/>
    </row>
    <row r="193474" spans="3:8" ht="15.6" x14ac:dyDescent="0.25">
      <c r="C193474" s="2"/>
      <c r="D193474" s="2"/>
      <c r="E193474" s="2"/>
      <c r="F193474" s="2"/>
      <c r="G193474" s="2"/>
      <c r="H193474" s="2"/>
    </row>
    <row r="193723" spans="3:8" ht="15.6" x14ac:dyDescent="0.25">
      <c r="C193723" s="2"/>
      <c r="D193723" s="2"/>
      <c r="E193723" s="2"/>
      <c r="F193723" s="2"/>
      <c r="G193723" s="2"/>
      <c r="H193723" s="2"/>
    </row>
    <row r="193972" spans="3:8" ht="15.6" x14ac:dyDescent="0.25">
      <c r="C193972" s="2"/>
      <c r="D193972" s="2"/>
      <c r="E193972" s="2"/>
      <c r="F193972" s="2"/>
      <c r="G193972" s="2"/>
      <c r="H193972" s="2"/>
    </row>
    <row r="194221" spans="3:8" ht="15.6" x14ac:dyDescent="0.25">
      <c r="C194221" s="2"/>
      <c r="D194221" s="2"/>
      <c r="E194221" s="2"/>
      <c r="F194221" s="2"/>
      <c r="G194221" s="2"/>
      <c r="H194221" s="2"/>
    </row>
    <row r="194470" spans="3:8" ht="15.6" x14ac:dyDescent="0.25">
      <c r="C194470" s="2"/>
      <c r="D194470" s="2"/>
      <c r="E194470" s="2"/>
      <c r="F194470" s="2"/>
      <c r="G194470" s="2"/>
      <c r="H194470" s="2"/>
    </row>
    <row r="194719" spans="3:8" ht="15.6" x14ac:dyDescent="0.25">
      <c r="C194719" s="2"/>
      <c r="D194719" s="2"/>
      <c r="E194719" s="2"/>
      <c r="F194719" s="2"/>
      <c r="G194719" s="2"/>
      <c r="H194719" s="2"/>
    </row>
    <row r="194968" spans="3:8" ht="15.6" x14ac:dyDescent="0.25">
      <c r="C194968" s="2"/>
      <c r="D194968" s="2"/>
      <c r="E194968" s="2"/>
      <c r="F194968" s="2"/>
      <c r="G194968" s="2"/>
      <c r="H194968" s="2"/>
    </row>
    <row r="195217" spans="3:8" ht="15.6" x14ac:dyDescent="0.25">
      <c r="C195217" s="2"/>
      <c r="D195217" s="2"/>
      <c r="E195217" s="2"/>
      <c r="F195217" s="2"/>
      <c r="G195217" s="2"/>
      <c r="H195217" s="2"/>
    </row>
    <row r="195466" spans="3:8" ht="15.6" x14ac:dyDescent="0.25">
      <c r="C195466" s="2"/>
      <c r="D195466" s="2"/>
      <c r="E195466" s="2"/>
      <c r="F195466" s="2"/>
      <c r="G195466" s="2"/>
      <c r="H195466" s="2"/>
    </row>
    <row r="195715" spans="3:8" ht="15.6" x14ac:dyDescent="0.25">
      <c r="C195715" s="2"/>
      <c r="D195715" s="2"/>
      <c r="E195715" s="2"/>
      <c r="F195715" s="2"/>
      <c r="G195715" s="2"/>
      <c r="H195715" s="2"/>
    </row>
    <row r="195964" spans="3:8" ht="15.6" x14ac:dyDescent="0.25">
      <c r="C195964" s="2"/>
      <c r="D195964" s="2"/>
      <c r="E195964" s="2"/>
      <c r="F195964" s="2"/>
      <c r="G195964" s="2"/>
      <c r="H195964" s="2"/>
    </row>
    <row r="196213" spans="3:8" ht="15.6" x14ac:dyDescent="0.25">
      <c r="C196213" s="2"/>
      <c r="D196213" s="2"/>
      <c r="E196213" s="2"/>
      <c r="F196213" s="2"/>
      <c r="G196213" s="2"/>
      <c r="H196213" s="2"/>
    </row>
    <row r="196462" spans="3:8" ht="15.6" x14ac:dyDescent="0.25">
      <c r="C196462" s="2"/>
      <c r="D196462" s="2"/>
      <c r="E196462" s="2"/>
      <c r="F196462" s="2"/>
      <c r="G196462" s="2"/>
      <c r="H196462" s="2"/>
    </row>
    <row r="196711" spans="3:8" ht="15.6" x14ac:dyDescent="0.25">
      <c r="C196711" s="2"/>
      <c r="D196711" s="2"/>
      <c r="E196711" s="2"/>
      <c r="F196711" s="2"/>
      <c r="G196711" s="2"/>
      <c r="H196711" s="2"/>
    </row>
    <row r="196960" spans="3:8" ht="15.6" x14ac:dyDescent="0.25">
      <c r="C196960" s="2"/>
      <c r="D196960" s="2"/>
      <c r="E196960" s="2"/>
      <c r="F196960" s="2"/>
      <c r="G196960" s="2"/>
      <c r="H196960" s="2"/>
    </row>
    <row r="197209" spans="3:8" ht="15.6" x14ac:dyDescent="0.25">
      <c r="C197209" s="2"/>
      <c r="D197209" s="2"/>
      <c r="E197209" s="2"/>
      <c r="F197209" s="2"/>
      <c r="G197209" s="2"/>
      <c r="H197209" s="2"/>
    </row>
    <row r="197458" spans="3:8" ht="15.6" x14ac:dyDescent="0.25">
      <c r="C197458" s="2"/>
      <c r="D197458" s="2"/>
      <c r="E197458" s="2"/>
      <c r="F197458" s="2"/>
      <c r="G197458" s="2"/>
      <c r="H197458" s="2"/>
    </row>
    <row r="197707" spans="3:8" ht="15.6" x14ac:dyDescent="0.25">
      <c r="C197707" s="2"/>
      <c r="D197707" s="2"/>
      <c r="E197707" s="2"/>
      <c r="F197707" s="2"/>
      <c r="G197707" s="2"/>
      <c r="H197707" s="2"/>
    </row>
    <row r="197956" spans="3:8" ht="15.6" x14ac:dyDescent="0.25">
      <c r="C197956" s="2"/>
      <c r="D197956" s="2"/>
      <c r="E197956" s="2"/>
      <c r="F197956" s="2"/>
      <c r="G197956" s="2"/>
      <c r="H197956" s="2"/>
    </row>
    <row r="198205" spans="3:8" ht="15.6" x14ac:dyDescent="0.25">
      <c r="C198205" s="2"/>
      <c r="D198205" s="2"/>
      <c r="E198205" s="2"/>
      <c r="F198205" s="2"/>
      <c r="G198205" s="2"/>
      <c r="H198205" s="2"/>
    </row>
    <row r="198454" spans="3:8" ht="15.6" x14ac:dyDescent="0.25">
      <c r="C198454" s="2"/>
      <c r="D198454" s="2"/>
      <c r="E198454" s="2"/>
      <c r="F198454" s="2"/>
      <c r="G198454" s="2"/>
      <c r="H198454" s="2"/>
    </row>
    <row r="198703" spans="3:8" ht="15.6" x14ac:dyDescent="0.25">
      <c r="C198703" s="2"/>
      <c r="D198703" s="2"/>
      <c r="E198703" s="2"/>
      <c r="F198703" s="2"/>
      <c r="G198703" s="2"/>
      <c r="H198703" s="2"/>
    </row>
    <row r="198952" spans="3:8" ht="15.6" x14ac:dyDescent="0.25">
      <c r="C198952" s="2"/>
      <c r="D198952" s="2"/>
      <c r="E198952" s="2"/>
      <c r="F198952" s="2"/>
      <c r="G198952" s="2"/>
      <c r="H198952" s="2"/>
    </row>
    <row r="199201" spans="3:8" ht="15.6" x14ac:dyDescent="0.25">
      <c r="C199201" s="2"/>
      <c r="D199201" s="2"/>
      <c r="E199201" s="2"/>
      <c r="F199201" s="2"/>
      <c r="G199201" s="2"/>
      <c r="H199201" s="2"/>
    </row>
    <row r="199450" spans="3:8" ht="15.6" x14ac:dyDescent="0.25">
      <c r="C199450" s="2"/>
      <c r="D199450" s="2"/>
      <c r="E199450" s="2"/>
      <c r="F199450" s="2"/>
      <c r="G199450" s="2"/>
      <c r="H199450" s="2"/>
    </row>
    <row r="199699" spans="3:8" ht="15.6" x14ac:dyDescent="0.25">
      <c r="C199699" s="2"/>
      <c r="D199699" s="2"/>
      <c r="E199699" s="2"/>
      <c r="F199699" s="2"/>
      <c r="G199699" s="2"/>
      <c r="H199699" s="2"/>
    </row>
    <row r="199948" spans="3:8" ht="15.6" x14ac:dyDescent="0.25">
      <c r="C199948" s="2"/>
      <c r="D199948" s="2"/>
      <c r="E199948" s="2"/>
      <c r="F199948" s="2"/>
      <c r="G199948" s="2"/>
      <c r="H199948" s="2"/>
    </row>
    <row r="200197" spans="3:8" ht="15.6" x14ac:dyDescent="0.25">
      <c r="C200197" s="2"/>
      <c r="D200197" s="2"/>
      <c r="E200197" s="2"/>
      <c r="F200197" s="2"/>
      <c r="G200197" s="2"/>
      <c r="H200197" s="2"/>
    </row>
    <row r="200446" spans="3:8" ht="15.6" x14ac:dyDescent="0.25">
      <c r="C200446" s="2"/>
      <c r="D200446" s="2"/>
      <c r="E200446" s="2"/>
      <c r="F200446" s="2"/>
      <c r="G200446" s="2"/>
      <c r="H200446" s="2"/>
    </row>
    <row r="200695" spans="3:8" ht="15.6" x14ac:dyDescent="0.25">
      <c r="C200695" s="2"/>
      <c r="D200695" s="2"/>
      <c r="E200695" s="2"/>
      <c r="F200695" s="2"/>
      <c r="G200695" s="2"/>
      <c r="H200695" s="2"/>
    </row>
    <row r="200944" spans="3:8" ht="15.6" x14ac:dyDescent="0.25">
      <c r="C200944" s="2"/>
      <c r="D200944" s="2"/>
      <c r="E200944" s="2"/>
      <c r="F200944" s="2"/>
      <c r="G200944" s="2"/>
      <c r="H200944" s="2"/>
    </row>
    <row r="201193" spans="3:8" ht="15.6" x14ac:dyDescent="0.25">
      <c r="C201193" s="2"/>
      <c r="D201193" s="2"/>
      <c r="E201193" s="2"/>
      <c r="F201193" s="2"/>
      <c r="G201193" s="2"/>
      <c r="H201193" s="2"/>
    </row>
    <row r="201442" spans="3:8" ht="15.6" x14ac:dyDescent="0.25">
      <c r="C201442" s="2"/>
      <c r="D201442" s="2"/>
      <c r="E201442" s="2"/>
      <c r="F201442" s="2"/>
      <c r="G201442" s="2"/>
      <c r="H201442" s="2"/>
    </row>
    <row r="201691" spans="3:8" ht="15.6" x14ac:dyDescent="0.25">
      <c r="C201691" s="2"/>
      <c r="D201691" s="2"/>
      <c r="E201691" s="2"/>
      <c r="F201691" s="2"/>
      <c r="G201691" s="2"/>
      <c r="H201691" s="2"/>
    </row>
    <row r="201940" spans="3:8" ht="15.6" x14ac:dyDescent="0.25">
      <c r="C201940" s="2"/>
      <c r="D201940" s="2"/>
      <c r="E201940" s="2"/>
      <c r="F201940" s="2"/>
      <c r="G201940" s="2"/>
      <c r="H201940" s="2"/>
    </row>
    <row r="202189" spans="3:8" ht="15.6" x14ac:dyDescent="0.25">
      <c r="C202189" s="2"/>
      <c r="D202189" s="2"/>
      <c r="E202189" s="2"/>
      <c r="F202189" s="2"/>
      <c r="G202189" s="2"/>
      <c r="H202189" s="2"/>
    </row>
    <row r="202438" spans="3:8" ht="15.6" x14ac:dyDescent="0.25">
      <c r="C202438" s="2"/>
      <c r="D202438" s="2"/>
      <c r="E202438" s="2"/>
      <c r="F202438" s="2"/>
      <c r="G202438" s="2"/>
      <c r="H202438" s="2"/>
    </row>
    <row r="202687" spans="3:8" ht="15.6" x14ac:dyDescent="0.25">
      <c r="C202687" s="2"/>
      <c r="D202687" s="2"/>
      <c r="E202687" s="2"/>
      <c r="F202687" s="2"/>
      <c r="G202687" s="2"/>
      <c r="H202687" s="2"/>
    </row>
    <row r="202936" spans="3:8" ht="15.6" x14ac:dyDescent="0.25">
      <c r="C202936" s="2"/>
      <c r="D202936" s="2"/>
      <c r="E202936" s="2"/>
      <c r="F202936" s="2"/>
      <c r="G202936" s="2"/>
      <c r="H202936" s="2"/>
    </row>
    <row r="203185" spans="3:8" ht="15.6" x14ac:dyDescent="0.25">
      <c r="C203185" s="2"/>
      <c r="D203185" s="2"/>
      <c r="E203185" s="2"/>
      <c r="F203185" s="2"/>
      <c r="G203185" s="2"/>
      <c r="H203185" s="2"/>
    </row>
    <row r="203434" spans="3:8" ht="15.6" x14ac:dyDescent="0.25">
      <c r="C203434" s="2"/>
      <c r="D203434" s="2"/>
      <c r="E203434" s="2"/>
      <c r="F203434" s="2"/>
      <c r="G203434" s="2"/>
      <c r="H203434" s="2"/>
    </row>
    <row r="203683" spans="3:8" ht="15.6" x14ac:dyDescent="0.25">
      <c r="C203683" s="2"/>
      <c r="D203683" s="2"/>
      <c r="E203683" s="2"/>
      <c r="F203683" s="2"/>
      <c r="G203683" s="2"/>
      <c r="H203683" s="2"/>
    </row>
    <row r="203932" spans="3:8" ht="15.6" x14ac:dyDescent="0.25">
      <c r="C203932" s="2"/>
      <c r="D203932" s="2"/>
      <c r="E203932" s="2"/>
      <c r="F203932" s="2"/>
      <c r="G203932" s="2"/>
      <c r="H203932" s="2"/>
    </row>
    <row r="204181" spans="3:8" ht="15.6" x14ac:dyDescent="0.25">
      <c r="C204181" s="2"/>
      <c r="D204181" s="2"/>
      <c r="E204181" s="2"/>
      <c r="F204181" s="2"/>
      <c r="G204181" s="2"/>
      <c r="H204181" s="2"/>
    </row>
    <row r="204430" spans="3:8" ht="15.6" x14ac:dyDescent="0.25">
      <c r="C204430" s="2"/>
      <c r="D204430" s="2"/>
      <c r="E204430" s="2"/>
      <c r="F204430" s="2"/>
      <c r="G204430" s="2"/>
      <c r="H204430" s="2"/>
    </row>
    <row r="204679" spans="3:8" ht="15.6" x14ac:dyDescent="0.25">
      <c r="C204679" s="2"/>
      <c r="D204679" s="2"/>
      <c r="E204679" s="2"/>
      <c r="F204679" s="2"/>
      <c r="G204679" s="2"/>
      <c r="H204679" s="2"/>
    </row>
    <row r="204928" spans="3:8" ht="15.6" x14ac:dyDescent="0.25">
      <c r="C204928" s="2"/>
      <c r="D204928" s="2"/>
      <c r="E204928" s="2"/>
      <c r="F204928" s="2"/>
      <c r="G204928" s="2"/>
      <c r="H204928" s="2"/>
    </row>
    <row r="205177" spans="3:8" ht="15.6" x14ac:dyDescent="0.25">
      <c r="C205177" s="2"/>
      <c r="D205177" s="2"/>
      <c r="E205177" s="2"/>
      <c r="F205177" s="2"/>
      <c r="G205177" s="2"/>
      <c r="H205177" s="2"/>
    </row>
    <row r="205426" spans="3:8" ht="15.6" x14ac:dyDescent="0.25">
      <c r="C205426" s="2"/>
      <c r="D205426" s="2"/>
      <c r="E205426" s="2"/>
      <c r="F205426" s="2"/>
      <c r="G205426" s="2"/>
      <c r="H205426" s="2"/>
    </row>
    <row r="205675" spans="3:8" ht="15.6" x14ac:dyDescent="0.25">
      <c r="C205675" s="2"/>
      <c r="D205675" s="2"/>
      <c r="E205675" s="2"/>
      <c r="F205675" s="2"/>
      <c r="G205675" s="2"/>
      <c r="H205675" s="2"/>
    </row>
    <row r="205924" spans="3:8" ht="15.6" x14ac:dyDescent="0.25">
      <c r="C205924" s="2"/>
      <c r="D205924" s="2"/>
      <c r="E205924" s="2"/>
      <c r="F205924" s="2"/>
      <c r="G205924" s="2"/>
      <c r="H205924" s="2"/>
    </row>
    <row r="206173" spans="3:8" ht="15.6" x14ac:dyDescent="0.25">
      <c r="C206173" s="2"/>
      <c r="D206173" s="2"/>
      <c r="E206173" s="2"/>
      <c r="F206173" s="2"/>
      <c r="G206173" s="2"/>
      <c r="H206173" s="2"/>
    </row>
    <row r="206422" spans="3:8" ht="15.6" x14ac:dyDescent="0.25">
      <c r="C206422" s="2"/>
      <c r="D206422" s="2"/>
      <c r="E206422" s="2"/>
      <c r="F206422" s="2"/>
      <c r="G206422" s="2"/>
      <c r="H206422" s="2"/>
    </row>
    <row r="206671" spans="3:8" ht="15.6" x14ac:dyDescent="0.25">
      <c r="C206671" s="2"/>
      <c r="D206671" s="2"/>
      <c r="E206671" s="2"/>
      <c r="F206671" s="2"/>
      <c r="G206671" s="2"/>
      <c r="H206671" s="2"/>
    </row>
    <row r="206920" spans="3:8" ht="15.6" x14ac:dyDescent="0.25">
      <c r="C206920" s="2"/>
      <c r="D206920" s="2"/>
      <c r="E206920" s="2"/>
      <c r="F206920" s="2"/>
      <c r="G206920" s="2"/>
      <c r="H206920" s="2"/>
    </row>
    <row r="207169" spans="3:8" ht="15.6" x14ac:dyDescent="0.25">
      <c r="C207169" s="2"/>
      <c r="D207169" s="2"/>
      <c r="E207169" s="2"/>
      <c r="F207169" s="2"/>
      <c r="G207169" s="2"/>
      <c r="H207169" s="2"/>
    </row>
    <row r="207418" spans="3:8" ht="15.6" x14ac:dyDescent="0.25">
      <c r="C207418" s="2"/>
      <c r="D207418" s="2"/>
      <c r="E207418" s="2"/>
      <c r="F207418" s="2"/>
      <c r="G207418" s="2"/>
      <c r="H207418" s="2"/>
    </row>
    <row r="207667" spans="3:8" ht="15.6" x14ac:dyDescent="0.25">
      <c r="C207667" s="2"/>
      <c r="D207667" s="2"/>
      <c r="E207667" s="2"/>
      <c r="F207667" s="2"/>
      <c r="G207667" s="2"/>
      <c r="H207667" s="2"/>
    </row>
    <row r="207916" spans="3:8" ht="15.6" x14ac:dyDescent="0.25">
      <c r="C207916" s="2"/>
      <c r="D207916" s="2"/>
      <c r="E207916" s="2"/>
      <c r="F207916" s="2"/>
      <c r="G207916" s="2"/>
      <c r="H207916" s="2"/>
    </row>
    <row r="208165" spans="3:8" ht="15.6" x14ac:dyDescent="0.25">
      <c r="C208165" s="2"/>
      <c r="D208165" s="2"/>
      <c r="E208165" s="2"/>
      <c r="F208165" s="2"/>
      <c r="G208165" s="2"/>
      <c r="H208165" s="2"/>
    </row>
    <row r="208414" spans="3:8" ht="15.6" x14ac:dyDescent="0.25">
      <c r="C208414" s="2"/>
      <c r="D208414" s="2"/>
      <c r="E208414" s="2"/>
      <c r="F208414" s="2"/>
      <c r="G208414" s="2"/>
      <c r="H208414" s="2"/>
    </row>
    <row r="208663" spans="3:8" ht="15.6" x14ac:dyDescent="0.25">
      <c r="C208663" s="2"/>
      <c r="D208663" s="2"/>
      <c r="E208663" s="2"/>
      <c r="F208663" s="2"/>
      <c r="G208663" s="2"/>
      <c r="H208663" s="2"/>
    </row>
    <row r="208912" spans="3:8" ht="15.6" x14ac:dyDescent="0.25">
      <c r="C208912" s="2"/>
      <c r="D208912" s="2"/>
      <c r="E208912" s="2"/>
      <c r="F208912" s="2"/>
      <c r="G208912" s="2"/>
      <c r="H208912" s="2"/>
    </row>
    <row r="209161" spans="3:8" ht="15.6" x14ac:dyDescent="0.25">
      <c r="C209161" s="2"/>
      <c r="D209161" s="2"/>
      <c r="E209161" s="2"/>
      <c r="F209161" s="2"/>
      <c r="G209161" s="2"/>
      <c r="H209161" s="2"/>
    </row>
    <row r="209410" spans="3:8" ht="15.6" x14ac:dyDescent="0.25">
      <c r="C209410" s="2"/>
      <c r="D209410" s="2"/>
      <c r="E209410" s="2"/>
      <c r="F209410" s="2"/>
      <c r="G209410" s="2"/>
      <c r="H209410" s="2"/>
    </row>
    <row r="209659" spans="3:8" ht="15.6" x14ac:dyDescent="0.25">
      <c r="C209659" s="2"/>
      <c r="D209659" s="2"/>
      <c r="E209659" s="2"/>
      <c r="F209659" s="2"/>
      <c r="G209659" s="2"/>
      <c r="H209659" s="2"/>
    </row>
    <row r="209908" spans="3:8" ht="15.6" x14ac:dyDescent="0.25">
      <c r="C209908" s="2"/>
      <c r="D209908" s="2"/>
      <c r="E209908" s="2"/>
      <c r="F209908" s="2"/>
      <c r="G209908" s="2"/>
      <c r="H209908" s="2"/>
    </row>
    <row r="210157" spans="3:8" ht="15.6" x14ac:dyDescent="0.25">
      <c r="C210157" s="2"/>
      <c r="D210157" s="2"/>
      <c r="E210157" s="2"/>
      <c r="F210157" s="2"/>
      <c r="G210157" s="2"/>
      <c r="H210157" s="2"/>
    </row>
    <row r="210406" spans="3:8" ht="15.6" x14ac:dyDescent="0.25">
      <c r="C210406" s="2"/>
      <c r="D210406" s="2"/>
      <c r="E210406" s="2"/>
      <c r="F210406" s="2"/>
      <c r="G210406" s="2"/>
      <c r="H210406" s="2"/>
    </row>
    <row r="210655" spans="3:8" ht="15.6" x14ac:dyDescent="0.25">
      <c r="C210655" s="2"/>
      <c r="D210655" s="2"/>
      <c r="E210655" s="2"/>
      <c r="F210655" s="2"/>
      <c r="G210655" s="2"/>
      <c r="H210655" s="2"/>
    </row>
    <row r="210904" spans="3:8" ht="15.6" x14ac:dyDescent="0.25">
      <c r="C210904" s="2"/>
      <c r="D210904" s="2"/>
      <c r="E210904" s="2"/>
      <c r="F210904" s="2"/>
      <c r="G210904" s="2"/>
      <c r="H210904" s="2"/>
    </row>
    <row r="211153" spans="3:8" ht="15.6" x14ac:dyDescent="0.25">
      <c r="C211153" s="2"/>
      <c r="D211153" s="2"/>
      <c r="E211153" s="2"/>
      <c r="F211153" s="2"/>
      <c r="G211153" s="2"/>
      <c r="H211153" s="2"/>
    </row>
    <row r="211402" spans="3:8" ht="15.6" x14ac:dyDescent="0.25">
      <c r="C211402" s="2"/>
      <c r="D211402" s="2"/>
      <c r="E211402" s="2"/>
      <c r="F211402" s="2"/>
      <c r="G211402" s="2"/>
      <c r="H211402" s="2"/>
    </row>
    <row r="211651" spans="3:8" ht="15.6" x14ac:dyDescent="0.25">
      <c r="C211651" s="2"/>
      <c r="D211651" s="2"/>
      <c r="E211651" s="2"/>
      <c r="F211651" s="2"/>
      <c r="G211651" s="2"/>
      <c r="H211651" s="2"/>
    </row>
    <row r="211900" spans="3:8" ht="15.6" x14ac:dyDescent="0.25">
      <c r="C211900" s="2"/>
      <c r="D211900" s="2"/>
      <c r="E211900" s="2"/>
      <c r="F211900" s="2"/>
      <c r="G211900" s="2"/>
      <c r="H211900" s="2"/>
    </row>
    <row r="212149" spans="3:8" ht="15.6" x14ac:dyDescent="0.25">
      <c r="C212149" s="2"/>
      <c r="D212149" s="2"/>
      <c r="E212149" s="2"/>
      <c r="F212149" s="2"/>
      <c r="G212149" s="2"/>
      <c r="H212149" s="2"/>
    </row>
    <row r="212398" spans="3:8" ht="15.6" x14ac:dyDescent="0.25">
      <c r="C212398" s="2"/>
      <c r="D212398" s="2"/>
      <c r="E212398" s="2"/>
      <c r="F212398" s="2"/>
      <c r="G212398" s="2"/>
      <c r="H212398" s="2"/>
    </row>
    <row r="212647" spans="3:8" ht="15.6" x14ac:dyDescent="0.25">
      <c r="C212647" s="2"/>
      <c r="D212647" s="2"/>
      <c r="E212647" s="2"/>
      <c r="F212647" s="2"/>
      <c r="G212647" s="2"/>
      <c r="H212647" s="2"/>
    </row>
    <row r="212896" spans="3:8" ht="15.6" x14ac:dyDescent="0.25">
      <c r="C212896" s="2"/>
      <c r="D212896" s="2"/>
      <c r="E212896" s="2"/>
      <c r="F212896" s="2"/>
      <c r="G212896" s="2"/>
      <c r="H212896" s="2"/>
    </row>
    <row r="213145" spans="3:8" ht="15.6" x14ac:dyDescent="0.25">
      <c r="C213145" s="2"/>
      <c r="D213145" s="2"/>
      <c r="E213145" s="2"/>
      <c r="F213145" s="2"/>
      <c r="G213145" s="2"/>
      <c r="H213145" s="2"/>
    </row>
    <row r="213394" spans="3:8" ht="15.6" x14ac:dyDescent="0.25">
      <c r="C213394" s="2"/>
      <c r="D213394" s="2"/>
      <c r="E213394" s="2"/>
      <c r="F213394" s="2"/>
      <c r="G213394" s="2"/>
      <c r="H213394" s="2"/>
    </row>
    <row r="213643" spans="3:8" ht="15.6" x14ac:dyDescent="0.25">
      <c r="C213643" s="2"/>
      <c r="D213643" s="2"/>
      <c r="E213643" s="2"/>
      <c r="F213643" s="2"/>
      <c r="G213643" s="2"/>
      <c r="H213643" s="2"/>
    </row>
    <row r="213892" spans="3:8" ht="15.6" x14ac:dyDescent="0.25">
      <c r="C213892" s="2"/>
      <c r="D213892" s="2"/>
      <c r="E213892" s="2"/>
      <c r="F213892" s="2"/>
      <c r="G213892" s="2"/>
      <c r="H213892" s="2"/>
    </row>
    <row r="214141" spans="3:8" ht="15.6" x14ac:dyDescent="0.25">
      <c r="C214141" s="2"/>
      <c r="D214141" s="2"/>
      <c r="E214141" s="2"/>
      <c r="F214141" s="2"/>
      <c r="G214141" s="2"/>
      <c r="H214141" s="2"/>
    </row>
    <row r="214390" spans="3:8" ht="15.6" x14ac:dyDescent="0.25">
      <c r="C214390" s="2"/>
      <c r="D214390" s="2"/>
      <c r="E214390" s="2"/>
      <c r="F214390" s="2"/>
      <c r="G214390" s="2"/>
      <c r="H214390" s="2"/>
    </row>
    <row r="214639" spans="3:8" ht="15.6" x14ac:dyDescent="0.25">
      <c r="C214639" s="2"/>
      <c r="D214639" s="2"/>
      <c r="E214639" s="2"/>
      <c r="F214639" s="2"/>
      <c r="G214639" s="2"/>
      <c r="H214639" s="2"/>
    </row>
    <row r="214888" spans="3:8" ht="15.6" x14ac:dyDescent="0.25">
      <c r="C214888" s="2"/>
      <c r="D214888" s="2"/>
      <c r="E214888" s="2"/>
      <c r="F214888" s="2"/>
      <c r="G214888" s="2"/>
      <c r="H214888" s="2"/>
    </row>
    <row r="215137" spans="3:8" ht="15.6" x14ac:dyDescent="0.25">
      <c r="C215137" s="2"/>
      <c r="D215137" s="2"/>
      <c r="E215137" s="2"/>
      <c r="F215137" s="2"/>
      <c r="G215137" s="2"/>
      <c r="H215137" s="2"/>
    </row>
    <row r="215386" spans="3:8" ht="15.6" x14ac:dyDescent="0.25">
      <c r="C215386" s="2"/>
      <c r="D215386" s="2"/>
      <c r="E215386" s="2"/>
      <c r="F215386" s="2"/>
      <c r="G215386" s="2"/>
      <c r="H215386" s="2"/>
    </row>
    <row r="215635" spans="3:8" ht="15.6" x14ac:dyDescent="0.25">
      <c r="C215635" s="2"/>
      <c r="D215635" s="2"/>
      <c r="E215635" s="2"/>
      <c r="F215635" s="2"/>
      <c r="G215635" s="2"/>
      <c r="H215635" s="2"/>
    </row>
    <row r="215884" spans="3:8" ht="15.6" x14ac:dyDescent="0.25">
      <c r="C215884" s="2"/>
      <c r="D215884" s="2"/>
      <c r="E215884" s="2"/>
      <c r="F215884" s="2"/>
      <c r="G215884" s="2"/>
      <c r="H215884" s="2"/>
    </row>
    <row r="216133" spans="3:8" ht="15.6" x14ac:dyDescent="0.25">
      <c r="C216133" s="2"/>
      <c r="D216133" s="2"/>
      <c r="E216133" s="2"/>
      <c r="F216133" s="2"/>
      <c r="G216133" s="2"/>
      <c r="H216133" s="2"/>
    </row>
    <row r="216382" spans="3:8" ht="15.6" x14ac:dyDescent="0.25">
      <c r="C216382" s="2"/>
      <c r="D216382" s="2"/>
      <c r="E216382" s="2"/>
      <c r="F216382" s="2"/>
      <c r="G216382" s="2"/>
      <c r="H216382" s="2"/>
    </row>
    <row r="216631" spans="3:8" ht="15.6" x14ac:dyDescent="0.25">
      <c r="C216631" s="2"/>
      <c r="D216631" s="2"/>
      <c r="E216631" s="2"/>
      <c r="F216631" s="2"/>
      <c r="G216631" s="2"/>
      <c r="H216631" s="2"/>
    </row>
    <row r="216880" spans="3:8" ht="15.6" x14ac:dyDescent="0.25">
      <c r="C216880" s="2"/>
      <c r="D216880" s="2"/>
      <c r="E216880" s="2"/>
      <c r="F216880" s="2"/>
      <c r="G216880" s="2"/>
      <c r="H216880" s="2"/>
    </row>
    <row r="217129" spans="3:8" ht="15.6" x14ac:dyDescent="0.25">
      <c r="C217129" s="2"/>
      <c r="D217129" s="2"/>
      <c r="E217129" s="2"/>
      <c r="F217129" s="2"/>
      <c r="G217129" s="2"/>
      <c r="H217129" s="2"/>
    </row>
    <row r="217378" spans="3:8" ht="15.6" x14ac:dyDescent="0.25">
      <c r="C217378" s="2"/>
      <c r="D217378" s="2"/>
      <c r="E217378" s="2"/>
      <c r="F217378" s="2"/>
      <c r="G217378" s="2"/>
      <c r="H217378" s="2"/>
    </row>
    <row r="217627" spans="3:8" ht="15.6" x14ac:dyDescent="0.25">
      <c r="C217627" s="2"/>
      <c r="D217627" s="2"/>
      <c r="E217627" s="2"/>
      <c r="F217627" s="2"/>
      <c r="G217627" s="2"/>
      <c r="H217627" s="2"/>
    </row>
    <row r="217876" spans="3:8" ht="15.6" x14ac:dyDescent="0.25">
      <c r="C217876" s="2"/>
      <c r="D217876" s="2"/>
      <c r="E217876" s="2"/>
      <c r="F217876" s="2"/>
      <c r="G217876" s="2"/>
      <c r="H217876" s="2"/>
    </row>
    <row r="218125" spans="3:8" ht="15.6" x14ac:dyDescent="0.25">
      <c r="C218125" s="2"/>
      <c r="D218125" s="2"/>
      <c r="E218125" s="2"/>
      <c r="F218125" s="2"/>
      <c r="G218125" s="2"/>
      <c r="H218125" s="2"/>
    </row>
    <row r="218374" spans="3:8" ht="15.6" x14ac:dyDescent="0.25">
      <c r="C218374" s="2"/>
      <c r="D218374" s="2"/>
      <c r="E218374" s="2"/>
      <c r="F218374" s="2"/>
      <c r="G218374" s="2"/>
      <c r="H218374" s="2"/>
    </row>
    <row r="218623" spans="3:8" ht="15.6" x14ac:dyDescent="0.25">
      <c r="C218623" s="2"/>
      <c r="D218623" s="2"/>
      <c r="E218623" s="2"/>
      <c r="F218623" s="2"/>
      <c r="G218623" s="2"/>
      <c r="H218623" s="2"/>
    </row>
    <row r="218872" spans="3:8" ht="15.6" x14ac:dyDescent="0.25">
      <c r="C218872" s="2"/>
      <c r="D218872" s="2"/>
      <c r="E218872" s="2"/>
      <c r="F218872" s="2"/>
      <c r="G218872" s="2"/>
      <c r="H218872" s="2"/>
    </row>
    <row r="219121" spans="3:8" ht="15.6" x14ac:dyDescent="0.25">
      <c r="C219121" s="2"/>
      <c r="D219121" s="2"/>
      <c r="E219121" s="2"/>
      <c r="F219121" s="2"/>
      <c r="G219121" s="2"/>
      <c r="H219121" s="2"/>
    </row>
    <row r="219370" spans="3:8" ht="15.6" x14ac:dyDescent="0.25">
      <c r="C219370" s="2"/>
      <c r="D219370" s="2"/>
      <c r="E219370" s="2"/>
      <c r="F219370" s="2"/>
      <c r="G219370" s="2"/>
      <c r="H219370" s="2"/>
    </row>
    <row r="219619" spans="3:8" ht="15.6" x14ac:dyDescent="0.25">
      <c r="C219619" s="2"/>
      <c r="D219619" s="2"/>
      <c r="E219619" s="2"/>
      <c r="F219619" s="2"/>
      <c r="G219619" s="2"/>
      <c r="H219619" s="2"/>
    </row>
    <row r="219868" spans="3:8" ht="15.6" x14ac:dyDescent="0.25">
      <c r="C219868" s="2"/>
      <c r="D219868" s="2"/>
      <c r="E219868" s="2"/>
      <c r="F219868" s="2"/>
      <c r="G219868" s="2"/>
      <c r="H219868" s="2"/>
    </row>
    <row r="220117" spans="3:8" ht="15.6" x14ac:dyDescent="0.25">
      <c r="C220117" s="2"/>
      <c r="D220117" s="2"/>
      <c r="E220117" s="2"/>
      <c r="F220117" s="2"/>
      <c r="G220117" s="2"/>
      <c r="H220117" s="2"/>
    </row>
    <row r="220366" spans="3:8" ht="15.6" x14ac:dyDescent="0.25">
      <c r="C220366" s="2"/>
      <c r="D220366" s="2"/>
      <c r="E220366" s="2"/>
      <c r="F220366" s="2"/>
      <c r="G220366" s="2"/>
      <c r="H220366" s="2"/>
    </row>
    <row r="220615" spans="3:8" ht="15.6" x14ac:dyDescent="0.25">
      <c r="C220615" s="2"/>
      <c r="D220615" s="2"/>
      <c r="E220615" s="2"/>
      <c r="F220615" s="2"/>
      <c r="G220615" s="2"/>
      <c r="H220615" s="2"/>
    </row>
    <row r="220864" spans="3:8" ht="15.6" x14ac:dyDescent="0.25">
      <c r="C220864" s="2"/>
      <c r="D220864" s="2"/>
      <c r="E220864" s="2"/>
      <c r="F220864" s="2"/>
      <c r="G220864" s="2"/>
      <c r="H220864" s="2"/>
    </row>
    <row r="221113" spans="3:8" ht="15.6" x14ac:dyDescent="0.25">
      <c r="C221113" s="2"/>
      <c r="D221113" s="2"/>
      <c r="E221113" s="2"/>
      <c r="F221113" s="2"/>
      <c r="G221113" s="2"/>
      <c r="H221113" s="2"/>
    </row>
    <row r="221362" spans="3:8" ht="15.6" x14ac:dyDescent="0.25">
      <c r="C221362" s="2"/>
      <c r="D221362" s="2"/>
      <c r="E221362" s="2"/>
      <c r="F221362" s="2"/>
      <c r="G221362" s="2"/>
      <c r="H221362" s="2"/>
    </row>
    <row r="221611" spans="3:8" ht="15.6" x14ac:dyDescent="0.25">
      <c r="C221611" s="2"/>
      <c r="D221611" s="2"/>
      <c r="E221611" s="2"/>
      <c r="F221611" s="2"/>
      <c r="G221611" s="2"/>
      <c r="H221611" s="2"/>
    </row>
    <row r="221860" spans="3:8" ht="15.6" x14ac:dyDescent="0.25">
      <c r="C221860" s="2"/>
      <c r="D221860" s="2"/>
      <c r="E221860" s="2"/>
      <c r="F221860" s="2"/>
      <c r="G221860" s="2"/>
      <c r="H221860" s="2"/>
    </row>
    <row r="222109" spans="3:8" ht="15.6" x14ac:dyDescent="0.25">
      <c r="C222109" s="2"/>
      <c r="D222109" s="2"/>
      <c r="E222109" s="2"/>
      <c r="F222109" s="2"/>
      <c r="G222109" s="2"/>
      <c r="H222109" s="2"/>
    </row>
    <row r="222358" spans="3:8" ht="15.6" x14ac:dyDescent="0.25">
      <c r="C222358" s="2"/>
      <c r="D222358" s="2"/>
      <c r="E222358" s="2"/>
      <c r="F222358" s="2"/>
      <c r="G222358" s="2"/>
      <c r="H222358" s="2"/>
    </row>
    <row r="222607" spans="3:8" ht="15.6" x14ac:dyDescent="0.25">
      <c r="C222607" s="2"/>
      <c r="D222607" s="2"/>
      <c r="E222607" s="2"/>
      <c r="F222607" s="2"/>
      <c r="G222607" s="2"/>
      <c r="H222607" s="2"/>
    </row>
    <row r="222856" spans="3:8" ht="15.6" x14ac:dyDescent="0.25">
      <c r="C222856" s="2"/>
      <c r="D222856" s="2"/>
      <c r="E222856" s="2"/>
      <c r="F222856" s="2"/>
      <c r="G222856" s="2"/>
      <c r="H222856" s="2"/>
    </row>
    <row r="223105" spans="3:8" ht="15.6" x14ac:dyDescent="0.25">
      <c r="C223105" s="2"/>
      <c r="D223105" s="2"/>
      <c r="E223105" s="2"/>
      <c r="F223105" s="2"/>
      <c r="G223105" s="2"/>
      <c r="H223105" s="2"/>
    </row>
    <row r="223354" spans="3:8" ht="15.6" x14ac:dyDescent="0.25">
      <c r="C223354" s="2"/>
      <c r="D223354" s="2"/>
      <c r="E223354" s="2"/>
      <c r="F223354" s="2"/>
      <c r="G223354" s="2"/>
      <c r="H223354" s="2"/>
    </row>
    <row r="223603" spans="3:8" ht="15.6" x14ac:dyDescent="0.25">
      <c r="C223603" s="2"/>
      <c r="D223603" s="2"/>
      <c r="E223603" s="2"/>
      <c r="F223603" s="2"/>
      <c r="G223603" s="2"/>
      <c r="H223603" s="2"/>
    </row>
    <row r="223852" spans="3:8" ht="15.6" x14ac:dyDescent="0.25">
      <c r="C223852" s="2"/>
      <c r="D223852" s="2"/>
      <c r="E223852" s="2"/>
      <c r="F223852" s="2"/>
      <c r="G223852" s="2"/>
      <c r="H223852" s="2"/>
    </row>
    <row r="224101" spans="3:8" ht="15.6" x14ac:dyDescent="0.25">
      <c r="C224101" s="2"/>
      <c r="D224101" s="2"/>
      <c r="E224101" s="2"/>
      <c r="F224101" s="2"/>
      <c r="G224101" s="2"/>
      <c r="H224101" s="2"/>
    </row>
    <row r="224350" spans="3:8" ht="15.6" x14ac:dyDescent="0.25">
      <c r="C224350" s="2"/>
      <c r="D224350" s="2"/>
      <c r="E224350" s="2"/>
      <c r="F224350" s="2"/>
      <c r="G224350" s="2"/>
      <c r="H224350" s="2"/>
    </row>
    <row r="224599" spans="3:8" ht="15.6" x14ac:dyDescent="0.25">
      <c r="C224599" s="2"/>
      <c r="D224599" s="2"/>
      <c r="E224599" s="2"/>
      <c r="F224599" s="2"/>
      <c r="G224599" s="2"/>
      <c r="H224599" s="2"/>
    </row>
    <row r="224848" spans="3:8" ht="15.6" x14ac:dyDescent="0.25">
      <c r="C224848" s="2"/>
      <c r="D224848" s="2"/>
      <c r="E224848" s="2"/>
      <c r="F224848" s="2"/>
      <c r="G224848" s="2"/>
      <c r="H224848" s="2"/>
    </row>
    <row r="225097" spans="3:8" ht="15.6" x14ac:dyDescent="0.25">
      <c r="C225097" s="2"/>
      <c r="D225097" s="2"/>
      <c r="E225097" s="2"/>
      <c r="F225097" s="2"/>
      <c r="G225097" s="2"/>
      <c r="H225097" s="2"/>
    </row>
    <row r="225346" spans="3:8" ht="15.6" x14ac:dyDescent="0.25">
      <c r="C225346" s="2"/>
      <c r="D225346" s="2"/>
      <c r="E225346" s="2"/>
      <c r="F225346" s="2"/>
      <c r="G225346" s="2"/>
      <c r="H225346" s="2"/>
    </row>
    <row r="225595" spans="3:8" ht="15.6" x14ac:dyDescent="0.25">
      <c r="C225595" s="2"/>
      <c r="D225595" s="2"/>
      <c r="E225595" s="2"/>
      <c r="F225595" s="2"/>
      <c r="G225595" s="2"/>
      <c r="H225595" s="2"/>
    </row>
    <row r="225844" spans="3:8" ht="15.6" x14ac:dyDescent="0.25">
      <c r="C225844" s="2"/>
      <c r="D225844" s="2"/>
      <c r="E225844" s="2"/>
      <c r="F225844" s="2"/>
      <c r="G225844" s="2"/>
      <c r="H225844" s="2"/>
    </row>
    <row r="226093" spans="3:8" ht="15.6" x14ac:dyDescent="0.25">
      <c r="C226093" s="2"/>
      <c r="D226093" s="2"/>
      <c r="E226093" s="2"/>
      <c r="F226093" s="2"/>
      <c r="G226093" s="2"/>
      <c r="H226093" s="2"/>
    </row>
    <row r="226342" spans="3:8" ht="15.6" x14ac:dyDescent="0.25">
      <c r="C226342" s="2"/>
      <c r="D226342" s="2"/>
      <c r="E226342" s="2"/>
      <c r="F226342" s="2"/>
      <c r="G226342" s="2"/>
      <c r="H226342" s="2"/>
    </row>
    <row r="226591" spans="3:8" ht="15.6" x14ac:dyDescent="0.25">
      <c r="C226591" s="2"/>
      <c r="D226591" s="2"/>
      <c r="E226591" s="2"/>
      <c r="F226591" s="2"/>
      <c r="G226591" s="2"/>
      <c r="H226591" s="2"/>
    </row>
    <row r="226840" spans="3:8" ht="15.6" x14ac:dyDescent="0.25">
      <c r="C226840" s="2"/>
      <c r="D226840" s="2"/>
      <c r="E226840" s="2"/>
      <c r="F226840" s="2"/>
      <c r="G226840" s="2"/>
      <c r="H226840" s="2"/>
    </row>
    <row r="227089" spans="3:8" ht="15.6" x14ac:dyDescent="0.25">
      <c r="C227089" s="2"/>
      <c r="D227089" s="2"/>
      <c r="E227089" s="2"/>
      <c r="F227089" s="2"/>
      <c r="G227089" s="2"/>
      <c r="H227089" s="2"/>
    </row>
    <row r="227338" spans="3:8" ht="15.6" x14ac:dyDescent="0.25">
      <c r="C227338" s="2"/>
      <c r="D227338" s="2"/>
      <c r="E227338" s="2"/>
      <c r="F227338" s="2"/>
      <c r="G227338" s="2"/>
      <c r="H227338" s="2"/>
    </row>
    <row r="227587" spans="3:8" ht="15.6" x14ac:dyDescent="0.25">
      <c r="C227587" s="2"/>
      <c r="D227587" s="2"/>
      <c r="E227587" s="2"/>
      <c r="F227587" s="2"/>
      <c r="G227587" s="2"/>
      <c r="H227587" s="2"/>
    </row>
    <row r="227836" spans="3:8" ht="15.6" x14ac:dyDescent="0.25">
      <c r="C227836" s="2"/>
      <c r="D227836" s="2"/>
      <c r="E227836" s="2"/>
      <c r="F227836" s="2"/>
      <c r="G227836" s="2"/>
      <c r="H227836" s="2"/>
    </row>
    <row r="228085" spans="3:8" ht="15.6" x14ac:dyDescent="0.25">
      <c r="C228085" s="2"/>
      <c r="D228085" s="2"/>
      <c r="E228085" s="2"/>
      <c r="F228085" s="2"/>
      <c r="G228085" s="2"/>
      <c r="H228085" s="2"/>
    </row>
    <row r="228334" spans="3:8" ht="15.6" x14ac:dyDescent="0.25">
      <c r="C228334" s="2"/>
      <c r="D228334" s="2"/>
      <c r="E228334" s="2"/>
      <c r="F228334" s="2"/>
      <c r="G228334" s="2"/>
      <c r="H228334" s="2"/>
    </row>
    <row r="228583" spans="3:8" ht="15.6" x14ac:dyDescent="0.25">
      <c r="C228583" s="2"/>
      <c r="D228583" s="2"/>
      <c r="E228583" s="2"/>
      <c r="F228583" s="2"/>
      <c r="G228583" s="2"/>
      <c r="H228583" s="2"/>
    </row>
    <row r="228832" spans="3:8" ht="15.6" x14ac:dyDescent="0.25">
      <c r="C228832" s="2"/>
      <c r="D228832" s="2"/>
      <c r="E228832" s="2"/>
      <c r="F228832" s="2"/>
      <c r="G228832" s="2"/>
      <c r="H228832" s="2"/>
    </row>
    <row r="229081" spans="3:8" ht="15.6" x14ac:dyDescent="0.25">
      <c r="C229081" s="2"/>
      <c r="D229081" s="2"/>
      <c r="E229081" s="2"/>
      <c r="F229081" s="2"/>
      <c r="G229081" s="2"/>
      <c r="H229081" s="2"/>
    </row>
    <row r="229330" spans="3:8" ht="15.6" x14ac:dyDescent="0.25">
      <c r="C229330" s="2"/>
      <c r="D229330" s="2"/>
      <c r="E229330" s="2"/>
      <c r="F229330" s="2"/>
      <c r="G229330" s="2"/>
      <c r="H229330" s="2"/>
    </row>
    <row r="229579" spans="3:8" ht="15.6" x14ac:dyDescent="0.25">
      <c r="C229579" s="2"/>
      <c r="D229579" s="2"/>
      <c r="E229579" s="2"/>
      <c r="F229579" s="2"/>
      <c r="G229579" s="2"/>
      <c r="H229579" s="2"/>
    </row>
    <row r="229828" spans="3:8" ht="15.6" x14ac:dyDescent="0.25">
      <c r="C229828" s="2"/>
      <c r="D229828" s="2"/>
      <c r="E229828" s="2"/>
      <c r="F229828" s="2"/>
      <c r="G229828" s="2"/>
      <c r="H229828" s="2"/>
    </row>
    <row r="230077" spans="3:8" ht="15.6" x14ac:dyDescent="0.25">
      <c r="C230077" s="2"/>
      <c r="D230077" s="2"/>
      <c r="E230077" s="2"/>
      <c r="F230077" s="2"/>
      <c r="G230077" s="2"/>
      <c r="H230077" s="2"/>
    </row>
    <row r="230326" spans="3:8" ht="15.6" x14ac:dyDescent="0.25">
      <c r="C230326" s="2"/>
      <c r="D230326" s="2"/>
      <c r="E230326" s="2"/>
      <c r="F230326" s="2"/>
      <c r="G230326" s="2"/>
      <c r="H230326" s="2"/>
    </row>
    <row r="230575" spans="3:8" ht="15.6" x14ac:dyDescent="0.25">
      <c r="C230575" s="2"/>
      <c r="D230575" s="2"/>
      <c r="E230575" s="2"/>
      <c r="F230575" s="2"/>
      <c r="G230575" s="2"/>
      <c r="H230575" s="2"/>
    </row>
    <row r="230824" spans="3:8" ht="15.6" x14ac:dyDescent="0.25">
      <c r="C230824" s="2"/>
      <c r="D230824" s="2"/>
      <c r="E230824" s="2"/>
      <c r="F230824" s="2"/>
      <c r="G230824" s="2"/>
      <c r="H230824" s="2"/>
    </row>
    <row r="231073" spans="3:8" ht="15.6" x14ac:dyDescent="0.25">
      <c r="C231073" s="2"/>
      <c r="D231073" s="2"/>
      <c r="E231073" s="2"/>
      <c r="F231073" s="2"/>
      <c r="G231073" s="2"/>
      <c r="H231073" s="2"/>
    </row>
    <row r="231322" spans="3:8" ht="15.6" x14ac:dyDescent="0.25">
      <c r="C231322" s="2"/>
      <c r="D231322" s="2"/>
      <c r="E231322" s="2"/>
      <c r="F231322" s="2"/>
      <c r="G231322" s="2"/>
      <c r="H231322" s="2"/>
    </row>
    <row r="231571" spans="3:8" ht="15.6" x14ac:dyDescent="0.25">
      <c r="C231571" s="2"/>
      <c r="D231571" s="2"/>
      <c r="E231571" s="2"/>
      <c r="F231571" s="2"/>
      <c r="G231571" s="2"/>
      <c r="H231571" s="2"/>
    </row>
    <row r="231820" spans="3:8" ht="15.6" x14ac:dyDescent="0.25">
      <c r="C231820" s="2"/>
      <c r="D231820" s="2"/>
      <c r="E231820" s="2"/>
      <c r="F231820" s="2"/>
      <c r="G231820" s="2"/>
      <c r="H231820" s="2"/>
    </row>
    <row r="232069" spans="3:8" ht="15.6" x14ac:dyDescent="0.25">
      <c r="C232069" s="2"/>
      <c r="D232069" s="2"/>
      <c r="E232069" s="2"/>
      <c r="F232069" s="2"/>
      <c r="G232069" s="2"/>
      <c r="H232069" s="2"/>
    </row>
    <row r="232318" spans="3:8" ht="15.6" x14ac:dyDescent="0.25">
      <c r="C232318" s="2"/>
      <c r="D232318" s="2"/>
      <c r="E232318" s="2"/>
      <c r="F232318" s="2"/>
      <c r="G232318" s="2"/>
      <c r="H232318" s="2"/>
    </row>
    <row r="232567" spans="3:8" ht="15.6" x14ac:dyDescent="0.25">
      <c r="C232567" s="2"/>
      <c r="D232567" s="2"/>
      <c r="E232567" s="2"/>
      <c r="F232567" s="2"/>
      <c r="G232567" s="2"/>
      <c r="H232567" s="2"/>
    </row>
    <row r="232816" spans="3:8" ht="15.6" x14ac:dyDescent="0.25">
      <c r="C232816" s="2"/>
      <c r="D232816" s="2"/>
      <c r="E232816" s="2"/>
      <c r="F232816" s="2"/>
      <c r="G232816" s="2"/>
      <c r="H232816" s="2"/>
    </row>
    <row r="233065" spans="3:8" ht="15.6" x14ac:dyDescent="0.25">
      <c r="C233065" s="2"/>
      <c r="D233065" s="2"/>
      <c r="E233065" s="2"/>
      <c r="F233065" s="2"/>
      <c r="G233065" s="2"/>
      <c r="H233065" s="2"/>
    </row>
    <row r="233314" spans="3:8" ht="15.6" x14ac:dyDescent="0.25">
      <c r="C233314" s="2"/>
      <c r="D233314" s="2"/>
      <c r="E233314" s="2"/>
      <c r="F233314" s="2"/>
      <c r="G233314" s="2"/>
      <c r="H233314" s="2"/>
    </row>
    <row r="233563" spans="3:8" ht="15.6" x14ac:dyDescent="0.25">
      <c r="C233563" s="2"/>
      <c r="D233563" s="2"/>
      <c r="E233563" s="2"/>
      <c r="F233563" s="2"/>
      <c r="G233563" s="2"/>
      <c r="H233563" s="2"/>
    </row>
    <row r="233812" spans="3:8" ht="15.6" x14ac:dyDescent="0.25">
      <c r="C233812" s="2"/>
      <c r="D233812" s="2"/>
      <c r="E233812" s="2"/>
      <c r="F233812" s="2"/>
      <c r="G233812" s="2"/>
      <c r="H233812" s="2"/>
    </row>
    <row r="234061" spans="3:8" ht="15.6" x14ac:dyDescent="0.25">
      <c r="C234061" s="2"/>
      <c r="D234061" s="2"/>
      <c r="E234061" s="2"/>
      <c r="F234061" s="2"/>
      <c r="G234061" s="2"/>
      <c r="H234061" s="2"/>
    </row>
    <row r="234310" spans="3:8" ht="15.6" x14ac:dyDescent="0.25">
      <c r="C234310" s="2"/>
      <c r="D234310" s="2"/>
      <c r="E234310" s="2"/>
      <c r="F234310" s="2"/>
      <c r="G234310" s="2"/>
      <c r="H234310" s="2"/>
    </row>
    <row r="234559" spans="3:8" ht="15.6" x14ac:dyDescent="0.25">
      <c r="C234559" s="2"/>
      <c r="D234559" s="2"/>
      <c r="E234559" s="2"/>
      <c r="F234559" s="2"/>
      <c r="G234559" s="2"/>
      <c r="H234559" s="2"/>
    </row>
    <row r="234808" spans="3:8" ht="15.6" x14ac:dyDescent="0.25">
      <c r="C234808" s="2"/>
      <c r="D234808" s="2"/>
      <c r="E234808" s="2"/>
      <c r="F234808" s="2"/>
      <c r="G234808" s="2"/>
      <c r="H234808" s="2"/>
    </row>
    <row r="235057" spans="3:8" ht="15.6" x14ac:dyDescent="0.25">
      <c r="C235057" s="2"/>
      <c r="D235057" s="2"/>
      <c r="E235057" s="2"/>
      <c r="F235057" s="2"/>
      <c r="G235057" s="2"/>
      <c r="H235057" s="2"/>
    </row>
    <row r="235306" spans="3:8" ht="15.6" x14ac:dyDescent="0.25">
      <c r="C235306" s="2"/>
      <c r="D235306" s="2"/>
      <c r="E235306" s="2"/>
      <c r="F235306" s="2"/>
      <c r="G235306" s="2"/>
      <c r="H235306" s="2"/>
    </row>
    <row r="235555" spans="3:8" ht="15.6" x14ac:dyDescent="0.25">
      <c r="C235555" s="2"/>
      <c r="D235555" s="2"/>
      <c r="E235555" s="2"/>
      <c r="F235555" s="2"/>
      <c r="G235555" s="2"/>
      <c r="H235555" s="2"/>
    </row>
    <row r="235804" spans="3:8" ht="15.6" x14ac:dyDescent="0.25">
      <c r="C235804" s="2"/>
      <c r="D235804" s="2"/>
      <c r="E235804" s="2"/>
      <c r="F235804" s="2"/>
      <c r="G235804" s="2"/>
      <c r="H235804" s="2"/>
    </row>
    <row r="236053" spans="3:8" ht="15.6" x14ac:dyDescent="0.25">
      <c r="C236053" s="2"/>
      <c r="D236053" s="2"/>
      <c r="E236053" s="2"/>
      <c r="F236053" s="2"/>
      <c r="G236053" s="2"/>
      <c r="H236053" s="2"/>
    </row>
    <row r="236302" spans="3:8" ht="15.6" x14ac:dyDescent="0.25">
      <c r="C236302" s="2"/>
      <c r="D236302" s="2"/>
      <c r="E236302" s="2"/>
      <c r="F236302" s="2"/>
      <c r="G236302" s="2"/>
      <c r="H236302" s="2"/>
    </row>
    <row r="236551" spans="3:8" ht="15.6" x14ac:dyDescent="0.25">
      <c r="C236551" s="2"/>
      <c r="D236551" s="2"/>
      <c r="E236551" s="2"/>
      <c r="F236551" s="2"/>
      <c r="G236551" s="2"/>
      <c r="H236551" s="2"/>
    </row>
    <row r="236800" spans="3:8" ht="15.6" x14ac:dyDescent="0.25">
      <c r="C236800" s="2"/>
      <c r="D236800" s="2"/>
      <c r="E236800" s="2"/>
      <c r="F236800" s="2"/>
      <c r="G236800" s="2"/>
      <c r="H236800" s="2"/>
    </row>
    <row r="237049" spans="3:8" ht="15.6" x14ac:dyDescent="0.25">
      <c r="C237049" s="2"/>
      <c r="D237049" s="2"/>
      <c r="E237049" s="2"/>
      <c r="F237049" s="2"/>
      <c r="G237049" s="2"/>
      <c r="H237049" s="2"/>
    </row>
    <row r="237298" spans="3:8" ht="15.6" x14ac:dyDescent="0.25">
      <c r="C237298" s="2"/>
      <c r="D237298" s="2"/>
      <c r="E237298" s="2"/>
      <c r="F237298" s="2"/>
      <c r="G237298" s="2"/>
      <c r="H237298" s="2"/>
    </row>
    <row r="237547" spans="3:8" ht="15.6" x14ac:dyDescent="0.25">
      <c r="C237547" s="2"/>
      <c r="D237547" s="2"/>
      <c r="E237547" s="2"/>
      <c r="F237547" s="2"/>
      <c r="G237547" s="2"/>
      <c r="H237547" s="2"/>
    </row>
    <row r="237796" spans="3:8" ht="15.6" x14ac:dyDescent="0.25">
      <c r="C237796" s="2"/>
      <c r="D237796" s="2"/>
      <c r="E237796" s="2"/>
      <c r="F237796" s="2"/>
      <c r="G237796" s="2"/>
      <c r="H237796" s="2"/>
    </row>
    <row r="238045" spans="3:8" ht="15.6" x14ac:dyDescent="0.25">
      <c r="C238045" s="2"/>
      <c r="D238045" s="2"/>
      <c r="E238045" s="2"/>
      <c r="F238045" s="2"/>
      <c r="G238045" s="2"/>
      <c r="H238045" s="2"/>
    </row>
    <row r="238294" spans="3:8" ht="15.6" x14ac:dyDescent="0.25">
      <c r="C238294" s="2"/>
      <c r="D238294" s="2"/>
      <c r="E238294" s="2"/>
      <c r="F238294" s="2"/>
      <c r="G238294" s="2"/>
      <c r="H238294" s="2"/>
    </row>
    <row r="238543" spans="3:8" ht="15.6" x14ac:dyDescent="0.25">
      <c r="C238543" s="2"/>
      <c r="D238543" s="2"/>
      <c r="E238543" s="2"/>
      <c r="F238543" s="2"/>
      <c r="G238543" s="2"/>
      <c r="H238543" s="2"/>
    </row>
    <row r="238792" spans="3:8" ht="15.6" x14ac:dyDescent="0.25">
      <c r="C238792" s="2"/>
      <c r="D238792" s="2"/>
      <c r="E238792" s="2"/>
      <c r="F238792" s="2"/>
      <c r="G238792" s="2"/>
      <c r="H238792" s="2"/>
    </row>
    <row r="239041" spans="3:8" ht="15.6" x14ac:dyDescent="0.25">
      <c r="C239041" s="2"/>
      <c r="D239041" s="2"/>
      <c r="E239041" s="2"/>
      <c r="F239041" s="2"/>
      <c r="G239041" s="2"/>
      <c r="H239041" s="2"/>
    </row>
    <row r="239290" spans="3:8" ht="15.6" x14ac:dyDescent="0.25">
      <c r="C239290" s="2"/>
      <c r="D239290" s="2"/>
      <c r="E239290" s="2"/>
      <c r="F239290" s="2"/>
      <c r="G239290" s="2"/>
      <c r="H239290" s="2"/>
    </row>
    <row r="239539" spans="3:8" ht="15.6" x14ac:dyDescent="0.25">
      <c r="C239539" s="2"/>
      <c r="D239539" s="2"/>
      <c r="E239539" s="2"/>
      <c r="F239539" s="2"/>
      <c r="G239539" s="2"/>
      <c r="H239539" s="2"/>
    </row>
    <row r="239788" spans="3:8" ht="15.6" x14ac:dyDescent="0.25">
      <c r="C239788" s="2"/>
      <c r="D239788" s="2"/>
      <c r="E239788" s="2"/>
      <c r="F239788" s="2"/>
      <c r="G239788" s="2"/>
      <c r="H239788" s="2"/>
    </row>
    <row r="240037" spans="3:8" ht="15.6" x14ac:dyDescent="0.25">
      <c r="C240037" s="2"/>
      <c r="D240037" s="2"/>
      <c r="E240037" s="2"/>
      <c r="F240037" s="2"/>
      <c r="G240037" s="2"/>
      <c r="H240037" s="2"/>
    </row>
    <row r="240286" spans="3:8" ht="15.6" x14ac:dyDescent="0.25">
      <c r="C240286" s="2"/>
      <c r="D240286" s="2"/>
      <c r="E240286" s="2"/>
      <c r="F240286" s="2"/>
      <c r="G240286" s="2"/>
      <c r="H240286" s="2"/>
    </row>
    <row r="240535" spans="3:8" ht="15.6" x14ac:dyDescent="0.25">
      <c r="C240535" s="2"/>
      <c r="D240535" s="2"/>
      <c r="E240535" s="2"/>
      <c r="F240535" s="2"/>
      <c r="G240535" s="2"/>
      <c r="H240535" s="2"/>
    </row>
    <row r="240784" spans="3:8" ht="15.6" x14ac:dyDescent="0.25">
      <c r="C240784" s="2"/>
      <c r="D240784" s="2"/>
      <c r="E240784" s="2"/>
      <c r="F240784" s="2"/>
      <c r="G240784" s="2"/>
      <c r="H240784" s="2"/>
    </row>
    <row r="241033" spans="3:8" ht="15.6" x14ac:dyDescent="0.25">
      <c r="C241033" s="2"/>
      <c r="D241033" s="2"/>
      <c r="E241033" s="2"/>
      <c r="F241033" s="2"/>
      <c r="G241033" s="2"/>
      <c r="H241033" s="2"/>
    </row>
    <row r="241282" spans="3:8" ht="15.6" x14ac:dyDescent="0.25">
      <c r="C241282" s="2"/>
      <c r="D241282" s="2"/>
      <c r="E241282" s="2"/>
      <c r="F241282" s="2"/>
      <c r="G241282" s="2"/>
      <c r="H241282" s="2"/>
    </row>
    <row r="241531" spans="3:8" ht="15.6" x14ac:dyDescent="0.25">
      <c r="C241531" s="2"/>
      <c r="D241531" s="2"/>
      <c r="E241531" s="2"/>
      <c r="F241531" s="2"/>
      <c r="G241531" s="2"/>
      <c r="H241531" s="2"/>
    </row>
    <row r="241780" spans="3:8" ht="15.6" x14ac:dyDescent="0.25">
      <c r="C241780" s="2"/>
      <c r="D241780" s="2"/>
      <c r="E241780" s="2"/>
      <c r="F241780" s="2"/>
      <c r="G241780" s="2"/>
      <c r="H241780" s="2"/>
    </row>
    <row r="242029" spans="3:8" ht="15.6" x14ac:dyDescent="0.25">
      <c r="C242029" s="2"/>
      <c r="D242029" s="2"/>
      <c r="E242029" s="2"/>
      <c r="F242029" s="2"/>
      <c r="G242029" s="2"/>
      <c r="H242029" s="2"/>
    </row>
    <row r="242278" spans="3:8" ht="15.6" x14ac:dyDescent="0.25">
      <c r="C242278" s="2"/>
      <c r="D242278" s="2"/>
      <c r="E242278" s="2"/>
      <c r="F242278" s="2"/>
      <c r="G242278" s="2"/>
      <c r="H242278" s="2"/>
    </row>
    <row r="242527" spans="3:8" ht="15.6" x14ac:dyDescent="0.25">
      <c r="C242527" s="2"/>
      <c r="D242527" s="2"/>
      <c r="E242527" s="2"/>
      <c r="F242527" s="2"/>
      <c r="G242527" s="2"/>
      <c r="H242527" s="2"/>
    </row>
    <row r="242776" spans="3:8" ht="15.6" x14ac:dyDescent="0.25">
      <c r="C242776" s="2"/>
      <c r="D242776" s="2"/>
      <c r="E242776" s="2"/>
      <c r="F242776" s="2"/>
      <c r="G242776" s="2"/>
      <c r="H242776" s="2"/>
    </row>
    <row r="243025" spans="3:8" ht="15.6" x14ac:dyDescent="0.25">
      <c r="C243025" s="2"/>
      <c r="D243025" s="2"/>
      <c r="E243025" s="2"/>
      <c r="F243025" s="2"/>
      <c r="G243025" s="2"/>
      <c r="H243025" s="2"/>
    </row>
    <row r="243274" spans="3:8" ht="15.6" x14ac:dyDescent="0.25">
      <c r="C243274" s="2"/>
      <c r="D243274" s="2"/>
      <c r="E243274" s="2"/>
      <c r="F243274" s="2"/>
      <c r="G243274" s="2"/>
      <c r="H243274" s="2"/>
    </row>
    <row r="243523" spans="3:8" ht="15.6" x14ac:dyDescent="0.25">
      <c r="C243523" s="2"/>
      <c r="D243523" s="2"/>
      <c r="E243523" s="2"/>
      <c r="F243523" s="2"/>
      <c r="G243523" s="2"/>
      <c r="H243523" s="2"/>
    </row>
    <row r="243772" spans="3:8" ht="15.6" x14ac:dyDescent="0.25">
      <c r="C243772" s="2"/>
      <c r="D243772" s="2"/>
      <c r="E243772" s="2"/>
      <c r="F243772" s="2"/>
      <c r="G243772" s="2"/>
      <c r="H243772" s="2"/>
    </row>
    <row r="244021" spans="3:8" ht="15.6" x14ac:dyDescent="0.25">
      <c r="C244021" s="2"/>
      <c r="D244021" s="2"/>
      <c r="E244021" s="2"/>
      <c r="F244021" s="2"/>
      <c r="G244021" s="2"/>
      <c r="H244021" s="2"/>
    </row>
    <row r="244270" spans="3:8" ht="15.6" x14ac:dyDescent="0.25">
      <c r="C244270" s="2"/>
      <c r="D244270" s="2"/>
      <c r="E244270" s="2"/>
      <c r="F244270" s="2"/>
      <c r="G244270" s="2"/>
      <c r="H244270" s="2"/>
    </row>
    <row r="244519" spans="3:8" ht="15.6" x14ac:dyDescent="0.25">
      <c r="C244519" s="2"/>
      <c r="D244519" s="2"/>
      <c r="E244519" s="2"/>
      <c r="F244519" s="2"/>
      <c r="G244519" s="2"/>
      <c r="H244519" s="2"/>
    </row>
    <row r="244768" spans="3:8" ht="15.6" x14ac:dyDescent="0.25">
      <c r="C244768" s="2"/>
      <c r="D244768" s="2"/>
      <c r="E244768" s="2"/>
      <c r="F244768" s="2"/>
      <c r="G244768" s="2"/>
      <c r="H244768" s="2"/>
    </row>
    <row r="245017" spans="3:8" ht="15.6" x14ac:dyDescent="0.25">
      <c r="C245017" s="2"/>
      <c r="D245017" s="2"/>
      <c r="E245017" s="2"/>
      <c r="F245017" s="2"/>
      <c r="G245017" s="2"/>
      <c r="H245017" s="2"/>
    </row>
    <row r="245266" spans="3:8" ht="15.6" x14ac:dyDescent="0.25">
      <c r="C245266" s="2"/>
      <c r="D245266" s="2"/>
      <c r="E245266" s="2"/>
      <c r="F245266" s="2"/>
      <c r="G245266" s="2"/>
      <c r="H245266" s="2"/>
    </row>
    <row r="245515" spans="3:8" ht="15.6" x14ac:dyDescent="0.25">
      <c r="C245515" s="2"/>
      <c r="D245515" s="2"/>
      <c r="E245515" s="2"/>
      <c r="F245515" s="2"/>
      <c r="G245515" s="2"/>
      <c r="H245515" s="2"/>
    </row>
    <row r="245764" spans="3:8" ht="15.6" x14ac:dyDescent="0.25">
      <c r="C245764" s="2"/>
      <c r="D245764" s="2"/>
      <c r="E245764" s="2"/>
      <c r="F245764" s="2"/>
      <c r="G245764" s="2"/>
      <c r="H245764" s="2"/>
    </row>
    <row r="246013" spans="3:8" ht="15.6" x14ac:dyDescent="0.25">
      <c r="C246013" s="2"/>
      <c r="D246013" s="2"/>
      <c r="E246013" s="2"/>
      <c r="F246013" s="2"/>
      <c r="G246013" s="2"/>
      <c r="H246013" s="2"/>
    </row>
    <row r="246262" spans="3:8" ht="15.6" x14ac:dyDescent="0.25">
      <c r="C246262" s="2"/>
      <c r="D246262" s="2"/>
      <c r="E246262" s="2"/>
      <c r="F246262" s="2"/>
      <c r="G246262" s="2"/>
      <c r="H246262" s="2"/>
    </row>
    <row r="246511" spans="3:8" ht="15.6" x14ac:dyDescent="0.25">
      <c r="C246511" s="2"/>
      <c r="D246511" s="2"/>
      <c r="E246511" s="2"/>
      <c r="F246511" s="2"/>
      <c r="G246511" s="2"/>
      <c r="H246511" s="2"/>
    </row>
    <row r="246760" spans="3:8" ht="15.6" x14ac:dyDescent="0.25">
      <c r="C246760" s="2"/>
      <c r="D246760" s="2"/>
      <c r="E246760" s="2"/>
      <c r="F246760" s="2"/>
      <c r="G246760" s="2"/>
      <c r="H246760" s="2"/>
    </row>
    <row r="247009" spans="3:8" ht="15.6" x14ac:dyDescent="0.25">
      <c r="C247009" s="2"/>
      <c r="D247009" s="2"/>
      <c r="E247009" s="2"/>
      <c r="F247009" s="2"/>
      <c r="G247009" s="2"/>
      <c r="H247009" s="2"/>
    </row>
    <row r="247258" spans="3:8" ht="15.6" x14ac:dyDescent="0.25">
      <c r="C247258" s="2"/>
      <c r="D247258" s="2"/>
      <c r="E247258" s="2"/>
      <c r="F247258" s="2"/>
      <c r="G247258" s="2"/>
      <c r="H247258" s="2"/>
    </row>
    <row r="247507" spans="3:8" ht="15.6" x14ac:dyDescent="0.25">
      <c r="C247507" s="2"/>
      <c r="D247507" s="2"/>
      <c r="E247507" s="2"/>
      <c r="F247507" s="2"/>
      <c r="G247507" s="2"/>
      <c r="H247507" s="2"/>
    </row>
    <row r="247756" spans="3:8" ht="15.6" x14ac:dyDescent="0.25">
      <c r="C247756" s="2"/>
      <c r="D247756" s="2"/>
      <c r="E247756" s="2"/>
      <c r="F247756" s="2"/>
      <c r="G247756" s="2"/>
      <c r="H247756" s="2"/>
    </row>
    <row r="248005" spans="3:8" ht="15.6" x14ac:dyDescent="0.25">
      <c r="C248005" s="2"/>
      <c r="D248005" s="2"/>
      <c r="E248005" s="2"/>
      <c r="F248005" s="2"/>
      <c r="G248005" s="2"/>
      <c r="H248005" s="2"/>
    </row>
    <row r="248254" spans="3:8" ht="15.6" x14ac:dyDescent="0.25">
      <c r="C248254" s="2"/>
      <c r="D248254" s="2"/>
      <c r="E248254" s="2"/>
      <c r="F248254" s="2"/>
      <c r="G248254" s="2"/>
      <c r="H248254" s="2"/>
    </row>
    <row r="248503" spans="3:8" ht="15.6" x14ac:dyDescent="0.25">
      <c r="C248503" s="2"/>
      <c r="D248503" s="2"/>
      <c r="E248503" s="2"/>
      <c r="F248503" s="2"/>
      <c r="G248503" s="2"/>
      <c r="H248503" s="2"/>
    </row>
    <row r="248752" spans="3:8" ht="15.6" x14ac:dyDescent="0.25">
      <c r="C248752" s="2"/>
      <c r="D248752" s="2"/>
      <c r="E248752" s="2"/>
      <c r="F248752" s="2"/>
      <c r="G248752" s="2"/>
      <c r="H248752" s="2"/>
    </row>
    <row r="249001" spans="3:8" ht="15.6" x14ac:dyDescent="0.25">
      <c r="C249001" s="2"/>
      <c r="D249001" s="2"/>
      <c r="E249001" s="2"/>
      <c r="F249001" s="2"/>
      <c r="G249001" s="2"/>
      <c r="H249001" s="2"/>
    </row>
    <row r="249250" spans="3:8" ht="15.6" x14ac:dyDescent="0.25">
      <c r="C249250" s="2"/>
      <c r="D249250" s="2"/>
      <c r="E249250" s="2"/>
      <c r="F249250" s="2"/>
      <c r="G249250" s="2"/>
      <c r="H249250" s="2"/>
    </row>
    <row r="249499" spans="3:8" ht="15.6" x14ac:dyDescent="0.25">
      <c r="C249499" s="2"/>
      <c r="D249499" s="2"/>
      <c r="E249499" s="2"/>
      <c r="F249499" s="2"/>
      <c r="G249499" s="2"/>
      <c r="H249499" s="2"/>
    </row>
    <row r="249748" spans="3:8" ht="15.6" x14ac:dyDescent="0.25">
      <c r="C249748" s="2"/>
      <c r="D249748" s="2"/>
      <c r="E249748" s="2"/>
      <c r="F249748" s="2"/>
      <c r="G249748" s="2"/>
      <c r="H249748" s="2"/>
    </row>
    <row r="249997" spans="3:8" ht="15.6" x14ac:dyDescent="0.25">
      <c r="C249997" s="2"/>
      <c r="D249997" s="2"/>
      <c r="E249997" s="2"/>
      <c r="F249997" s="2"/>
      <c r="G249997" s="2"/>
      <c r="H249997" s="2"/>
    </row>
    <row r="250246" spans="3:8" ht="15.6" x14ac:dyDescent="0.25">
      <c r="C250246" s="2"/>
      <c r="D250246" s="2"/>
      <c r="E250246" s="2"/>
      <c r="F250246" s="2"/>
      <c r="G250246" s="2"/>
      <c r="H250246" s="2"/>
    </row>
    <row r="250495" spans="3:8" ht="15.6" x14ac:dyDescent="0.25">
      <c r="C250495" s="2"/>
      <c r="D250495" s="2"/>
      <c r="E250495" s="2"/>
      <c r="F250495" s="2"/>
      <c r="G250495" s="2"/>
      <c r="H250495" s="2"/>
    </row>
    <row r="250744" spans="3:8" ht="15.6" x14ac:dyDescent="0.25">
      <c r="C250744" s="2"/>
      <c r="D250744" s="2"/>
      <c r="E250744" s="2"/>
      <c r="F250744" s="2"/>
      <c r="G250744" s="2"/>
      <c r="H250744" s="2"/>
    </row>
    <row r="250993" spans="3:8" ht="15.6" x14ac:dyDescent="0.25">
      <c r="C250993" s="2"/>
      <c r="D250993" s="2"/>
      <c r="E250993" s="2"/>
      <c r="F250993" s="2"/>
      <c r="G250993" s="2"/>
      <c r="H250993" s="2"/>
    </row>
    <row r="251242" spans="3:8" ht="15.6" x14ac:dyDescent="0.25">
      <c r="C251242" s="2"/>
      <c r="D251242" s="2"/>
      <c r="E251242" s="2"/>
      <c r="F251242" s="2"/>
      <c r="G251242" s="2"/>
      <c r="H251242" s="2"/>
    </row>
    <row r="251491" spans="3:8" ht="15.6" x14ac:dyDescent="0.25">
      <c r="C251491" s="2"/>
      <c r="D251491" s="2"/>
      <c r="E251491" s="2"/>
      <c r="F251491" s="2"/>
      <c r="G251491" s="2"/>
      <c r="H251491" s="2"/>
    </row>
    <row r="251740" spans="3:8" ht="15.6" x14ac:dyDescent="0.25">
      <c r="C251740" s="2"/>
      <c r="D251740" s="2"/>
      <c r="E251740" s="2"/>
      <c r="F251740" s="2"/>
      <c r="G251740" s="2"/>
      <c r="H251740" s="2"/>
    </row>
    <row r="251989" spans="3:8" ht="15.6" x14ac:dyDescent="0.25">
      <c r="C251989" s="2"/>
      <c r="D251989" s="2"/>
      <c r="E251989" s="2"/>
      <c r="F251989" s="2"/>
      <c r="G251989" s="2"/>
      <c r="H251989" s="2"/>
    </row>
    <row r="252238" spans="3:8" ht="15.6" x14ac:dyDescent="0.25">
      <c r="C252238" s="2"/>
      <c r="D252238" s="2"/>
      <c r="E252238" s="2"/>
      <c r="F252238" s="2"/>
      <c r="G252238" s="2"/>
      <c r="H252238" s="2"/>
    </row>
    <row r="252487" spans="3:8" ht="15.6" x14ac:dyDescent="0.25">
      <c r="C252487" s="2"/>
      <c r="D252487" s="2"/>
      <c r="E252487" s="2"/>
      <c r="F252487" s="2"/>
      <c r="G252487" s="2"/>
      <c r="H252487" s="2"/>
    </row>
    <row r="252736" spans="3:8" ht="15.6" x14ac:dyDescent="0.25">
      <c r="C252736" s="2"/>
      <c r="D252736" s="2"/>
      <c r="E252736" s="2"/>
      <c r="F252736" s="2"/>
      <c r="G252736" s="2"/>
      <c r="H252736" s="2"/>
    </row>
    <row r="252985" spans="3:8" ht="15.6" x14ac:dyDescent="0.25">
      <c r="C252985" s="2"/>
      <c r="D252985" s="2"/>
      <c r="E252985" s="2"/>
      <c r="F252985" s="2"/>
      <c r="G252985" s="2"/>
      <c r="H252985" s="2"/>
    </row>
    <row r="253234" spans="3:8" ht="15.6" x14ac:dyDescent="0.25">
      <c r="C253234" s="2"/>
      <c r="D253234" s="2"/>
      <c r="E253234" s="2"/>
      <c r="F253234" s="2"/>
      <c r="G253234" s="2"/>
      <c r="H253234" s="2"/>
    </row>
    <row r="253483" spans="3:8" ht="15.6" x14ac:dyDescent="0.25">
      <c r="C253483" s="2"/>
      <c r="D253483" s="2"/>
      <c r="E253483" s="2"/>
      <c r="F253483" s="2"/>
      <c r="G253483" s="2"/>
      <c r="H253483" s="2"/>
    </row>
    <row r="253732" spans="3:8" ht="15.6" x14ac:dyDescent="0.25">
      <c r="C253732" s="2"/>
      <c r="D253732" s="2"/>
      <c r="E253732" s="2"/>
      <c r="F253732" s="2"/>
      <c r="G253732" s="2"/>
      <c r="H253732" s="2"/>
    </row>
    <row r="253981" spans="3:8" ht="15.6" x14ac:dyDescent="0.25">
      <c r="C253981" s="2"/>
      <c r="D253981" s="2"/>
      <c r="E253981" s="2"/>
      <c r="F253981" s="2"/>
      <c r="G253981" s="2"/>
      <c r="H253981" s="2"/>
    </row>
    <row r="254230" spans="3:8" ht="15.6" x14ac:dyDescent="0.25">
      <c r="C254230" s="2"/>
      <c r="D254230" s="2"/>
      <c r="E254230" s="2"/>
      <c r="F254230" s="2"/>
      <c r="G254230" s="2"/>
      <c r="H254230" s="2"/>
    </row>
    <row r="254479" spans="3:8" ht="15.6" x14ac:dyDescent="0.25">
      <c r="C254479" s="2"/>
      <c r="D254479" s="2"/>
      <c r="E254479" s="2"/>
      <c r="F254479" s="2"/>
      <c r="G254479" s="2"/>
      <c r="H254479" s="2"/>
    </row>
    <row r="254728" spans="3:8" ht="15.6" x14ac:dyDescent="0.25">
      <c r="C254728" s="2"/>
      <c r="D254728" s="2"/>
      <c r="E254728" s="2"/>
      <c r="F254728" s="2"/>
      <c r="G254728" s="2"/>
      <c r="H254728" s="2"/>
    </row>
    <row r="254977" spans="3:8" ht="15.6" x14ac:dyDescent="0.25">
      <c r="C254977" s="2"/>
      <c r="D254977" s="2"/>
      <c r="E254977" s="2"/>
      <c r="F254977" s="2"/>
      <c r="G254977" s="2"/>
      <c r="H254977" s="2"/>
    </row>
    <row r="255226" spans="3:8" ht="15.6" x14ac:dyDescent="0.25">
      <c r="C255226" s="2"/>
      <c r="D255226" s="2"/>
      <c r="E255226" s="2"/>
      <c r="F255226" s="2"/>
      <c r="G255226" s="2"/>
      <c r="H255226" s="2"/>
    </row>
    <row r="255475" spans="3:8" ht="15.6" x14ac:dyDescent="0.25">
      <c r="C255475" s="2"/>
      <c r="D255475" s="2"/>
      <c r="E255475" s="2"/>
      <c r="F255475" s="2"/>
      <c r="G255475" s="2"/>
      <c r="H255475" s="2"/>
    </row>
    <row r="255724" spans="3:8" ht="15.6" x14ac:dyDescent="0.25">
      <c r="C255724" s="2"/>
      <c r="D255724" s="2"/>
      <c r="E255724" s="2"/>
      <c r="F255724" s="2"/>
      <c r="G255724" s="2"/>
      <c r="H255724" s="2"/>
    </row>
    <row r="255973" spans="3:8" ht="15.6" x14ac:dyDescent="0.25">
      <c r="C255973" s="2"/>
      <c r="D255973" s="2"/>
      <c r="E255973" s="2"/>
      <c r="F255973" s="2"/>
      <c r="G255973" s="2"/>
      <c r="H255973" s="2"/>
    </row>
    <row r="256222" spans="3:8" ht="15.6" x14ac:dyDescent="0.25">
      <c r="C256222" s="2"/>
      <c r="D256222" s="2"/>
      <c r="E256222" s="2"/>
      <c r="F256222" s="2"/>
      <c r="G256222" s="2"/>
      <c r="H256222" s="2"/>
    </row>
    <row r="256471" spans="3:8" ht="15.6" x14ac:dyDescent="0.25">
      <c r="C256471" s="2"/>
      <c r="D256471" s="2"/>
      <c r="E256471" s="2"/>
      <c r="F256471" s="2"/>
      <c r="G256471" s="2"/>
      <c r="H256471" s="2"/>
    </row>
    <row r="256720" spans="3:8" ht="15.6" x14ac:dyDescent="0.25">
      <c r="C256720" s="2"/>
      <c r="D256720" s="2"/>
      <c r="E256720" s="2"/>
      <c r="F256720" s="2"/>
      <c r="G256720" s="2"/>
      <c r="H256720" s="2"/>
    </row>
    <row r="256969" spans="3:8" ht="15.6" x14ac:dyDescent="0.25">
      <c r="C256969" s="2"/>
      <c r="D256969" s="2"/>
      <c r="E256969" s="2"/>
      <c r="F256969" s="2"/>
      <c r="G256969" s="2"/>
      <c r="H256969" s="2"/>
    </row>
    <row r="257218" spans="3:8" ht="15.6" x14ac:dyDescent="0.25">
      <c r="C257218" s="2"/>
      <c r="D257218" s="2"/>
      <c r="E257218" s="2"/>
      <c r="F257218" s="2"/>
      <c r="G257218" s="2"/>
      <c r="H257218" s="2"/>
    </row>
    <row r="257467" spans="3:8" ht="15.6" x14ac:dyDescent="0.25">
      <c r="C257467" s="2"/>
      <c r="D257467" s="2"/>
      <c r="E257467" s="2"/>
      <c r="F257467" s="2"/>
      <c r="G257467" s="2"/>
      <c r="H257467" s="2"/>
    </row>
    <row r="257716" spans="3:8" ht="15.6" x14ac:dyDescent="0.25">
      <c r="C257716" s="2"/>
      <c r="D257716" s="2"/>
      <c r="E257716" s="2"/>
      <c r="F257716" s="2"/>
      <c r="G257716" s="2"/>
      <c r="H257716" s="2"/>
    </row>
    <row r="257965" spans="3:8" ht="15.6" x14ac:dyDescent="0.25">
      <c r="C257965" s="2"/>
      <c r="D257965" s="2"/>
      <c r="E257965" s="2"/>
      <c r="F257965" s="2"/>
      <c r="G257965" s="2"/>
      <c r="H257965" s="2"/>
    </row>
    <row r="258214" spans="3:8" ht="15.6" x14ac:dyDescent="0.25">
      <c r="C258214" s="2"/>
      <c r="D258214" s="2"/>
      <c r="E258214" s="2"/>
      <c r="F258214" s="2"/>
      <c r="G258214" s="2"/>
      <c r="H258214" s="2"/>
    </row>
    <row r="258463" spans="3:8" ht="15.6" x14ac:dyDescent="0.25">
      <c r="C258463" s="2"/>
      <c r="D258463" s="2"/>
      <c r="E258463" s="2"/>
      <c r="F258463" s="2"/>
      <c r="G258463" s="2"/>
      <c r="H258463" s="2"/>
    </row>
    <row r="258712" spans="3:8" ht="15.6" x14ac:dyDescent="0.25">
      <c r="C258712" s="2"/>
      <c r="D258712" s="2"/>
      <c r="E258712" s="2"/>
      <c r="F258712" s="2"/>
      <c r="G258712" s="2"/>
      <c r="H258712" s="2"/>
    </row>
    <row r="258961" spans="3:8" ht="15.6" x14ac:dyDescent="0.25">
      <c r="C258961" s="2"/>
      <c r="D258961" s="2"/>
      <c r="E258961" s="2"/>
      <c r="F258961" s="2"/>
      <c r="G258961" s="2"/>
      <c r="H258961" s="2"/>
    </row>
    <row r="259210" spans="3:8" ht="15.6" x14ac:dyDescent="0.25">
      <c r="C259210" s="2"/>
      <c r="D259210" s="2"/>
      <c r="E259210" s="2"/>
      <c r="F259210" s="2"/>
      <c r="G259210" s="2"/>
      <c r="H259210" s="2"/>
    </row>
    <row r="259459" spans="3:8" ht="15.6" x14ac:dyDescent="0.25">
      <c r="C259459" s="2"/>
      <c r="D259459" s="2"/>
      <c r="E259459" s="2"/>
      <c r="F259459" s="2"/>
      <c r="G259459" s="2"/>
      <c r="H259459" s="2"/>
    </row>
    <row r="259708" spans="3:8" ht="15.6" x14ac:dyDescent="0.25">
      <c r="C259708" s="2"/>
      <c r="D259708" s="2"/>
      <c r="E259708" s="2"/>
      <c r="F259708" s="2"/>
      <c r="G259708" s="2"/>
      <c r="H259708" s="2"/>
    </row>
    <row r="259957" spans="3:8" ht="15.6" x14ac:dyDescent="0.25">
      <c r="C259957" s="2"/>
      <c r="D259957" s="2"/>
      <c r="E259957" s="2"/>
      <c r="F259957" s="2"/>
      <c r="G259957" s="2"/>
      <c r="H259957" s="2"/>
    </row>
    <row r="260206" spans="3:8" ht="15.6" x14ac:dyDescent="0.25">
      <c r="C260206" s="2"/>
      <c r="D260206" s="2"/>
      <c r="E260206" s="2"/>
      <c r="F260206" s="2"/>
      <c r="G260206" s="2"/>
      <c r="H260206" s="2"/>
    </row>
    <row r="260455" spans="3:8" ht="15.6" x14ac:dyDescent="0.25">
      <c r="C260455" s="2"/>
      <c r="D260455" s="2"/>
      <c r="E260455" s="2"/>
      <c r="F260455" s="2"/>
      <c r="G260455" s="2"/>
      <c r="H260455" s="2"/>
    </row>
    <row r="260704" spans="3:8" ht="15.6" x14ac:dyDescent="0.25">
      <c r="C260704" s="2"/>
      <c r="D260704" s="2"/>
      <c r="E260704" s="2"/>
      <c r="F260704" s="2"/>
      <c r="G260704" s="2"/>
      <c r="H260704" s="2"/>
    </row>
    <row r="260953" spans="3:8" ht="15.6" x14ac:dyDescent="0.25">
      <c r="C260953" s="2"/>
      <c r="D260953" s="2"/>
      <c r="E260953" s="2"/>
      <c r="F260953" s="2"/>
      <c r="G260953" s="2"/>
      <c r="H260953" s="2"/>
    </row>
    <row r="261202" spans="3:8" ht="15.6" x14ac:dyDescent="0.25">
      <c r="C261202" s="2"/>
      <c r="D261202" s="2"/>
      <c r="E261202" s="2"/>
      <c r="F261202" s="2"/>
      <c r="G261202" s="2"/>
      <c r="H261202" s="2"/>
    </row>
    <row r="261451" spans="3:8" ht="15.6" x14ac:dyDescent="0.25">
      <c r="C261451" s="2"/>
      <c r="D261451" s="2"/>
      <c r="E261451" s="2"/>
      <c r="F261451" s="2"/>
      <c r="G261451" s="2"/>
      <c r="H261451" s="2"/>
    </row>
    <row r="261700" spans="3:8" ht="15.6" x14ac:dyDescent="0.25">
      <c r="C261700" s="2"/>
      <c r="D261700" s="2"/>
      <c r="E261700" s="2"/>
      <c r="F261700" s="2"/>
      <c r="G261700" s="2"/>
      <c r="H261700" s="2"/>
    </row>
    <row r="261949" spans="3:8" ht="15.6" x14ac:dyDescent="0.25">
      <c r="C261949" s="2"/>
      <c r="D261949" s="2"/>
      <c r="E261949" s="2"/>
      <c r="F261949" s="2"/>
      <c r="G261949" s="2"/>
      <c r="H261949" s="2"/>
    </row>
    <row r="262198" spans="3:8" ht="15.6" x14ac:dyDescent="0.25">
      <c r="C262198" s="2"/>
      <c r="D262198" s="2"/>
      <c r="E262198" s="2"/>
      <c r="F262198" s="2"/>
      <c r="G262198" s="2"/>
      <c r="H262198" s="2"/>
    </row>
    <row r="262447" spans="3:8" ht="15.6" x14ac:dyDescent="0.25">
      <c r="C262447" s="2"/>
      <c r="D262447" s="2"/>
      <c r="E262447" s="2"/>
      <c r="F262447" s="2"/>
      <c r="G262447" s="2"/>
      <c r="H262447" s="2"/>
    </row>
    <row r="262696" spans="3:8" ht="15.6" x14ac:dyDescent="0.25">
      <c r="C262696" s="2"/>
      <c r="D262696" s="2"/>
      <c r="E262696" s="2"/>
      <c r="F262696" s="2"/>
      <c r="G262696" s="2"/>
      <c r="H262696" s="2"/>
    </row>
    <row r="262945" spans="3:8" ht="15.6" x14ac:dyDescent="0.25">
      <c r="C262945" s="2"/>
      <c r="D262945" s="2"/>
      <c r="E262945" s="2"/>
      <c r="F262945" s="2"/>
      <c r="G262945" s="2"/>
      <c r="H262945" s="2"/>
    </row>
    <row r="263194" spans="3:8" ht="15.6" x14ac:dyDescent="0.25">
      <c r="C263194" s="2"/>
      <c r="D263194" s="2"/>
      <c r="E263194" s="2"/>
      <c r="F263194" s="2"/>
      <c r="G263194" s="2"/>
      <c r="H263194" s="2"/>
    </row>
    <row r="263443" spans="3:8" ht="15.6" x14ac:dyDescent="0.25">
      <c r="C263443" s="2"/>
      <c r="D263443" s="2"/>
      <c r="E263443" s="2"/>
      <c r="F263443" s="2"/>
      <c r="G263443" s="2"/>
      <c r="H263443" s="2"/>
    </row>
    <row r="263692" spans="3:8" ht="15.6" x14ac:dyDescent="0.25">
      <c r="C263692" s="2"/>
      <c r="D263692" s="2"/>
      <c r="E263692" s="2"/>
      <c r="F263692" s="2"/>
      <c r="G263692" s="2"/>
      <c r="H263692" s="2"/>
    </row>
    <row r="263941" spans="3:8" ht="15.6" x14ac:dyDescent="0.25">
      <c r="C263941" s="2"/>
      <c r="D263941" s="2"/>
      <c r="E263941" s="2"/>
      <c r="F263941" s="2"/>
      <c r="G263941" s="2"/>
      <c r="H263941" s="2"/>
    </row>
    <row r="264190" spans="3:8" ht="15.6" x14ac:dyDescent="0.25">
      <c r="C264190" s="2"/>
      <c r="D264190" s="2"/>
      <c r="E264190" s="2"/>
      <c r="F264190" s="2"/>
      <c r="G264190" s="2"/>
      <c r="H264190" s="2"/>
    </row>
    <row r="264439" spans="3:8" ht="15.6" x14ac:dyDescent="0.25">
      <c r="C264439" s="2"/>
      <c r="D264439" s="2"/>
      <c r="E264439" s="2"/>
      <c r="F264439" s="2"/>
      <c r="G264439" s="2"/>
      <c r="H264439" s="2"/>
    </row>
    <row r="264688" spans="3:8" ht="15.6" x14ac:dyDescent="0.25">
      <c r="C264688" s="2"/>
      <c r="D264688" s="2"/>
      <c r="E264688" s="2"/>
      <c r="F264688" s="2"/>
      <c r="G264688" s="2"/>
      <c r="H264688" s="2"/>
    </row>
    <row r="264937" spans="3:8" ht="15.6" x14ac:dyDescent="0.25">
      <c r="C264937" s="2"/>
      <c r="D264937" s="2"/>
      <c r="E264937" s="2"/>
      <c r="F264937" s="2"/>
      <c r="G264937" s="2"/>
      <c r="H264937" s="2"/>
    </row>
    <row r="265186" spans="3:8" ht="15.6" x14ac:dyDescent="0.25">
      <c r="C265186" s="2"/>
      <c r="D265186" s="2"/>
      <c r="E265186" s="2"/>
      <c r="F265186" s="2"/>
      <c r="G265186" s="2"/>
      <c r="H265186" s="2"/>
    </row>
    <row r="265435" spans="3:8" ht="15.6" x14ac:dyDescent="0.25">
      <c r="C265435" s="2"/>
      <c r="D265435" s="2"/>
      <c r="E265435" s="2"/>
      <c r="F265435" s="2"/>
      <c r="G265435" s="2"/>
      <c r="H265435" s="2"/>
    </row>
    <row r="265684" spans="3:8" ht="15.6" x14ac:dyDescent="0.25">
      <c r="C265684" s="2"/>
      <c r="D265684" s="2"/>
      <c r="E265684" s="2"/>
      <c r="F265684" s="2"/>
      <c r="G265684" s="2"/>
      <c r="H265684" s="2"/>
    </row>
    <row r="265933" spans="3:8" ht="15.6" x14ac:dyDescent="0.25">
      <c r="C265933" s="2"/>
      <c r="D265933" s="2"/>
      <c r="E265933" s="2"/>
      <c r="F265933" s="2"/>
      <c r="G265933" s="2"/>
      <c r="H265933" s="2"/>
    </row>
    <row r="266182" spans="3:8" ht="15.6" x14ac:dyDescent="0.25">
      <c r="C266182" s="2"/>
      <c r="D266182" s="2"/>
      <c r="E266182" s="2"/>
      <c r="F266182" s="2"/>
      <c r="G266182" s="2"/>
      <c r="H266182" s="2"/>
    </row>
    <row r="266431" spans="3:8" ht="15.6" x14ac:dyDescent="0.25">
      <c r="C266431" s="2"/>
      <c r="D266431" s="2"/>
      <c r="E266431" s="2"/>
      <c r="F266431" s="2"/>
      <c r="G266431" s="2"/>
      <c r="H266431" s="2"/>
    </row>
    <row r="266680" spans="3:8" ht="15.6" x14ac:dyDescent="0.25">
      <c r="C266680" s="2"/>
      <c r="D266680" s="2"/>
      <c r="E266680" s="2"/>
      <c r="F266680" s="2"/>
      <c r="G266680" s="2"/>
      <c r="H266680" s="2"/>
    </row>
    <row r="266929" spans="3:8" ht="15.6" x14ac:dyDescent="0.25">
      <c r="C266929" s="2"/>
      <c r="D266929" s="2"/>
      <c r="E266929" s="2"/>
      <c r="F266929" s="2"/>
      <c r="G266929" s="2"/>
      <c r="H266929" s="2"/>
    </row>
    <row r="267178" spans="3:8" ht="15.6" x14ac:dyDescent="0.25">
      <c r="C267178" s="2"/>
      <c r="D267178" s="2"/>
      <c r="E267178" s="2"/>
      <c r="F267178" s="2"/>
      <c r="G267178" s="2"/>
      <c r="H267178" s="2"/>
    </row>
    <row r="267427" spans="3:8" ht="15.6" x14ac:dyDescent="0.25">
      <c r="C267427" s="2"/>
      <c r="D267427" s="2"/>
      <c r="E267427" s="2"/>
      <c r="F267427" s="2"/>
      <c r="G267427" s="2"/>
      <c r="H267427" s="2"/>
    </row>
    <row r="267676" spans="3:8" ht="15.6" x14ac:dyDescent="0.25">
      <c r="C267676" s="2"/>
      <c r="D267676" s="2"/>
      <c r="E267676" s="2"/>
      <c r="F267676" s="2"/>
      <c r="G267676" s="2"/>
      <c r="H267676" s="2"/>
    </row>
    <row r="267925" spans="3:8" ht="15.6" x14ac:dyDescent="0.25">
      <c r="C267925" s="2"/>
      <c r="D267925" s="2"/>
      <c r="E267925" s="2"/>
      <c r="F267925" s="2"/>
      <c r="G267925" s="2"/>
      <c r="H267925" s="2"/>
    </row>
    <row r="268174" spans="3:8" ht="15.6" x14ac:dyDescent="0.25">
      <c r="C268174" s="2"/>
      <c r="D268174" s="2"/>
      <c r="E268174" s="2"/>
      <c r="F268174" s="2"/>
      <c r="G268174" s="2"/>
      <c r="H268174" s="2"/>
    </row>
    <row r="268423" spans="3:8" ht="15.6" x14ac:dyDescent="0.25">
      <c r="C268423" s="2"/>
      <c r="D268423" s="2"/>
      <c r="E268423" s="2"/>
      <c r="F268423" s="2"/>
      <c r="G268423" s="2"/>
      <c r="H268423" s="2"/>
    </row>
    <row r="268672" spans="3:8" ht="15.6" x14ac:dyDescent="0.25">
      <c r="C268672" s="2"/>
      <c r="D268672" s="2"/>
      <c r="E268672" s="2"/>
      <c r="F268672" s="2"/>
      <c r="G268672" s="2"/>
      <c r="H268672" s="2"/>
    </row>
    <row r="268921" spans="3:8" ht="15.6" x14ac:dyDescent="0.25">
      <c r="C268921" s="2"/>
      <c r="D268921" s="2"/>
      <c r="E268921" s="2"/>
      <c r="F268921" s="2"/>
      <c r="G268921" s="2"/>
      <c r="H268921" s="2"/>
    </row>
    <row r="269170" spans="3:8" ht="15.6" x14ac:dyDescent="0.25">
      <c r="C269170" s="2"/>
      <c r="D269170" s="2"/>
      <c r="E269170" s="2"/>
      <c r="F269170" s="2"/>
      <c r="G269170" s="2"/>
      <c r="H269170" s="2"/>
    </row>
    <row r="269419" spans="3:8" ht="15.6" x14ac:dyDescent="0.25">
      <c r="C269419" s="2"/>
      <c r="D269419" s="2"/>
      <c r="E269419" s="2"/>
      <c r="F269419" s="2"/>
      <c r="G269419" s="2"/>
      <c r="H269419" s="2"/>
    </row>
    <row r="269668" spans="3:8" ht="15.6" x14ac:dyDescent="0.25">
      <c r="C269668" s="2"/>
      <c r="D269668" s="2"/>
      <c r="E269668" s="2"/>
      <c r="F269668" s="2"/>
      <c r="G269668" s="2"/>
      <c r="H269668" s="2"/>
    </row>
    <row r="269917" spans="3:8" ht="15.6" x14ac:dyDescent="0.25">
      <c r="C269917" s="2"/>
      <c r="D269917" s="2"/>
      <c r="E269917" s="2"/>
      <c r="F269917" s="2"/>
      <c r="G269917" s="2"/>
      <c r="H269917" s="2"/>
    </row>
    <row r="270166" spans="3:8" ht="15.6" x14ac:dyDescent="0.25">
      <c r="C270166" s="2"/>
      <c r="D270166" s="2"/>
      <c r="E270166" s="2"/>
      <c r="F270166" s="2"/>
      <c r="G270166" s="2"/>
      <c r="H270166" s="2"/>
    </row>
    <row r="270415" spans="3:8" ht="15.6" x14ac:dyDescent="0.25">
      <c r="C270415" s="2"/>
      <c r="D270415" s="2"/>
      <c r="E270415" s="2"/>
      <c r="F270415" s="2"/>
      <c r="G270415" s="2"/>
      <c r="H270415" s="2"/>
    </row>
    <row r="270664" spans="3:8" ht="15.6" x14ac:dyDescent="0.25">
      <c r="C270664" s="2"/>
      <c r="D270664" s="2"/>
      <c r="E270664" s="2"/>
      <c r="F270664" s="2"/>
      <c r="G270664" s="2"/>
      <c r="H270664" s="2"/>
    </row>
    <row r="270913" spans="3:8" ht="15.6" x14ac:dyDescent="0.25">
      <c r="C270913" s="2"/>
      <c r="D270913" s="2"/>
      <c r="E270913" s="2"/>
      <c r="F270913" s="2"/>
      <c r="G270913" s="2"/>
      <c r="H270913" s="2"/>
    </row>
    <row r="271162" spans="3:8" ht="15.6" x14ac:dyDescent="0.25">
      <c r="C271162" s="2"/>
      <c r="D271162" s="2"/>
      <c r="E271162" s="2"/>
      <c r="F271162" s="2"/>
      <c r="G271162" s="2"/>
      <c r="H271162" s="2"/>
    </row>
    <row r="271411" spans="3:8" ht="15.6" x14ac:dyDescent="0.25">
      <c r="C271411" s="2"/>
      <c r="D271411" s="2"/>
      <c r="E271411" s="2"/>
      <c r="F271411" s="2"/>
      <c r="G271411" s="2"/>
      <c r="H271411" s="2"/>
    </row>
    <row r="271660" spans="3:8" ht="15.6" x14ac:dyDescent="0.25">
      <c r="C271660" s="2"/>
      <c r="D271660" s="2"/>
      <c r="E271660" s="2"/>
      <c r="F271660" s="2"/>
      <c r="G271660" s="2"/>
      <c r="H271660" s="2"/>
    </row>
    <row r="271909" spans="3:8" ht="15.6" x14ac:dyDescent="0.25">
      <c r="C271909" s="2"/>
      <c r="D271909" s="2"/>
      <c r="E271909" s="2"/>
      <c r="F271909" s="2"/>
      <c r="G271909" s="2"/>
      <c r="H271909" s="2"/>
    </row>
    <row r="272158" spans="3:8" ht="15.6" x14ac:dyDescent="0.25">
      <c r="C272158" s="2"/>
      <c r="D272158" s="2"/>
      <c r="E272158" s="2"/>
      <c r="F272158" s="2"/>
      <c r="G272158" s="2"/>
      <c r="H272158" s="2"/>
    </row>
    <row r="272407" spans="3:8" ht="15.6" x14ac:dyDescent="0.25">
      <c r="C272407" s="2"/>
      <c r="D272407" s="2"/>
      <c r="E272407" s="2"/>
      <c r="F272407" s="2"/>
      <c r="G272407" s="2"/>
      <c r="H272407" s="2"/>
    </row>
    <row r="272656" spans="3:8" ht="15.6" x14ac:dyDescent="0.25">
      <c r="C272656" s="2"/>
      <c r="D272656" s="2"/>
      <c r="E272656" s="2"/>
      <c r="F272656" s="2"/>
      <c r="G272656" s="2"/>
      <c r="H272656" s="2"/>
    </row>
    <row r="272905" spans="3:8" ht="15.6" x14ac:dyDescent="0.25">
      <c r="C272905" s="2"/>
      <c r="D272905" s="2"/>
      <c r="E272905" s="2"/>
      <c r="F272905" s="2"/>
      <c r="G272905" s="2"/>
      <c r="H272905" s="2"/>
    </row>
    <row r="273154" spans="3:8" ht="15.6" x14ac:dyDescent="0.25">
      <c r="C273154" s="2"/>
      <c r="D273154" s="2"/>
      <c r="E273154" s="2"/>
      <c r="F273154" s="2"/>
      <c r="G273154" s="2"/>
      <c r="H273154" s="2"/>
    </row>
    <row r="273403" spans="3:8" ht="15.6" x14ac:dyDescent="0.25">
      <c r="C273403" s="2"/>
      <c r="D273403" s="2"/>
      <c r="E273403" s="2"/>
      <c r="F273403" s="2"/>
      <c r="G273403" s="2"/>
      <c r="H273403" s="2"/>
    </row>
    <row r="273652" spans="3:8" ht="15.6" x14ac:dyDescent="0.25">
      <c r="C273652" s="2"/>
      <c r="D273652" s="2"/>
      <c r="E273652" s="2"/>
      <c r="F273652" s="2"/>
      <c r="G273652" s="2"/>
      <c r="H273652" s="2"/>
    </row>
    <row r="273901" spans="3:8" ht="15.6" x14ac:dyDescent="0.25">
      <c r="C273901" s="2"/>
      <c r="D273901" s="2"/>
      <c r="E273901" s="2"/>
      <c r="F273901" s="2"/>
      <c r="G273901" s="2"/>
      <c r="H273901" s="2"/>
    </row>
    <row r="274150" spans="3:8" ht="15.6" x14ac:dyDescent="0.25">
      <c r="C274150" s="2"/>
      <c r="D274150" s="2"/>
      <c r="E274150" s="2"/>
      <c r="F274150" s="2"/>
      <c r="G274150" s="2"/>
      <c r="H274150" s="2"/>
    </row>
    <row r="274399" spans="3:8" ht="15.6" x14ac:dyDescent="0.25">
      <c r="C274399" s="2"/>
      <c r="D274399" s="2"/>
      <c r="E274399" s="2"/>
      <c r="F274399" s="2"/>
      <c r="G274399" s="2"/>
      <c r="H274399" s="2"/>
    </row>
    <row r="274648" spans="3:8" ht="15.6" x14ac:dyDescent="0.25">
      <c r="C274648" s="2"/>
      <c r="D274648" s="2"/>
      <c r="E274648" s="2"/>
      <c r="F274648" s="2"/>
      <c r="G274648" s="2"/>
      <c r="H274648" s="2"/>
    </row>
    <row r="274897" spans="3:8" ht="15.6" x14ac:dyDescent="0.25">
      <c r="C274897" s="2"/>
      <c r="D274897" s="2"/>
      <c r="E274897" s="2"/>
      <c r="F274897" s="2"/>
      <c r="G274897" s="2"/>
      <c r="H274897" s="2"/>
    </row>
    <row r="275146" spans="3:8" ht="15.6" x14ac:dyDescent="0.25">
      <c r="C275146" s="2"/>
      <c r="D275146" s="2"/>
      <c r="E275146" s="2"/>
      <c r="F275146" s="2"/>
      <c r="G275146" s="2"/>
      <c r="H275146" s="2"/>
    </row>
    <row r="275395" spans="3:8" ht="15.6" x14ac:dyDescent="0.25">
      <c r="C275395" s="2"/>
      <c r="D275395" s="2"/>
      <c r="E275395" s="2"/>
      <c r="F275395" s="2"/>
      <c r="G275395" s="2"/>
      <c r="H275395" s="2"/>
    </row>
    <row r="275644" spans="3:8" ht="15.6" x14ac:dyDescent="0.25">
      <c r="C275644" s="2"/>
      <c r="D275644" s="2"/>
      <c r="E275644" s="2"/>
      <c r="F275644" s="2"/>
      <c r="G275644" s="2"/>
      <c r="H275644" s="2"/>
    </row>
    <row r="275893" spans="3:8" ht="15.6" x14ac:dyDescent="0.25">
      <c r="C275893" s="2"/>
      <c r="D275893" s="2"/>
      <c r="E275893" s="2"/>
      <c r="F275893" s="2"/>
      <c r="G275893" s="2"/>
      <c r="H275893" s="2"/>
    </row>
    <row r="276142" spans="3:8" ht="15.6" x14ac:dyDescent="0.25">
      <c r="C276142" s="2"/>
      <c r="D276142" s="2"/>
      <c r="E276142" s="2"/>
      <c r="F276142" s="2"/>
      <c r="G276142" s="2"/>
      <c r="H276142" s="2"/>
    </row>
    <row r="276391" spans="3:8" ht="15.6" x14ac:dyDescent="0.25">
      <c r="C276391" s="2"/>
      <c r="D276391" s="2"/>
      <c r="E276391" s="2"/>
      <c r="F276391" s="2"/>
      <c r="G276391" s="2"/>
      <c r="H276391" s="2"/>
    </row>
    <row r="276640" spans="3:8" ht="15.6" x14ac:dyDescent="0.25">
      <c r="C276640" s="2"/>
      <c r="D276640" s="2"/>
      <c r="E276640" s="2"/>
      <c r="F276640" s="2"/>
      <c r="G276640" s="2"/>
      <c r="H276640" s="2"/>
    </row>
    <row r="276889" spans="3:8" ht="15.6" x14ac:dyDescent="0.25">
      <c r="C276889" s="2"/>
      <c r="D276889" s="2"/>
      <c r="E276889" s="2"/>
      <c r="F276889" s="2"/>
      <c r="G276889" s="2"/>
      <c r="H276889" s="2"/>
    </row>
    <row r="277138" spans="3:8" ht="15.6" x14ac:dyDescent="0.25">
      <c r="C277138" s="2"/>
      <c r="D277138" s="2"/>
      <c r="E277138" s="2"/>
      <c r="F277138" s="2"/>
      <c r="G277138" s="2"/>
      <c r="H277138" s="2"/>
    </row>
    <row r="277387" spans="3:8" ht="15.6" x14ac:dyDescent="0.25">
      <c r="C277387" s="2"/>
      <c r="D277387" s="2"/>
      <c r="E277387" s="2"/>
      <c r="F277387" s="2"/>
      <c r="G277387" s="2"/>
      <c r="H277387" s="2"/>
    </row>
    <row r="277636" spans="3:8" ht="15.6" x14ac:dyDescent="0.25">
      <c r="C277636" s="2"/>
      <c r="D277636" s="2"/>
      <c r="E277636" s="2"/>
      <c r="F277636" s="2"/>
      <c r="G277636" s="2"/>
      <c r="H277636" s="2"/>
    </row>
    <row r="277885" spans="3:8" ht="15.6" x14ac:dyDescent="0.25">
      <c r="C277885" s="2"/>
      <c r="D277885" s="2"/>
      <c r="E277885" s="2"/>
      <c r="F277885" s="2"/>
      <c r="G277885" s="2"/>
      <c r="H277885" s="2"/>
    </row>
    <row r="278134" spans="3:8" ht="15.6" x14ac:dyDescent="0.25">
      <c r="C278134" s="2"/>
      <c r="D278134" s="2"/>
      <c r="E278134" s="2"/>
      <c r="F278134" s="2"/>
      <c r="G278134" s="2"/>
      <c r="H278134" s="2"/>
    </row>
    <row r="278383" spans="3:8" ht="15.6" x14ac:dyDescent="0.25">
      <c r="C278383" s="2"/>
      <c r="D278383" s="2"/>
      <c r="E278383" s="2"/>
      <c r="F278383" s="2"/>
      <c r="G278383" s="2"/>
      <c r="H278383" s="2"/>
    </row>
    <row r="278632" spans="3:8" ht="15.6" x14ac:dyDescent="0.25">
      <c r="C278632" s="2"/>
      <c r="D278632" s="2"/>
      <c r="E278632" s="2"/>
      <c r="F278632" s="2"/>
      <c r="G278632" s="2"/>
      <c r="H278632" s="2"/>
    </row>
    <row r="278881" spans="3:8" ht="15.6" x14ac:dyDescent="0.25">
      <c r="C278881" s="2"/>
      <c r="D278881" s="2"/>
      <c r="E278881" s="2"/>
      <c r="F278881" s="2"/>
      <c r="G278881" s="2"/>
      <c r="H278881" s="2"/>
    </row>
    <row r="279130" spans="3:8" ht="15.6" x14ac:dyDescent="0.25">
      <c r="C279130" s="2"/>
      <c r="D279130" s="2"/>
      <c r="E279130" s="2"/>
      <c r="F279130" s="2"/>
      <c r="G279130" s="2"/>
      <c r="H279130" s="2"/>
    </row>
    <row r="279379" spans="3:8" ht="15.6" x14ac:dyDescent="0.25">
      <c r="C279379" s="2"/>
      <c r="D279379" s="2"/>
      <c r="E279379" s="2"/>
      <c r="F279379" s="2"/>
      <c r="G279379" s="2"/>
      <c r="H279379" s="2"/>
    </row>
    <row r="279628" spans="3:8" ht="15.6" x14ac:dyDescent="0.25">
      <c r="C279628" s="2"/>
      <c r="D279628" s="2"/>
      <c r="E279628" s="2"/>
      <c r="F279628" s="2"/>
      <c r="G279628" s="2"/>
      <c r="H279628" s="2"/>
    </row>
    <row r="279877" spans="3:8" ht="15.6" x14ac:dyDescent="0.25">
      <c r="C279877" s="2"/>
      <c r="D279877" s="2"/>
      <c r="E279877" s="2"/>
      <c r="F279877" s="2"/>
      <c r="G279877" s="2"/>
      <c r="H279877" s="2"/>
    </row>
    <row r="280126" spans="3:8" ht="15.6" x14ac:dyDescent="0.25">
      <c r="C280126" s="2"/>
      <c r="D280126" s="2"/>
      <c r="E280126" s="2"/>
      <c r="F280126" s="2"/>
      <c r="G280126" s="2"/>
      <c r="H280126" s="2"/>
    </row>
    <row r="280375" spans="3:8" ht="15.6" x14ac:dyDescent="0.25">
      <c r="C280375" s="2"/>
      <c r="D280375" s="2"/>
      <c r="E280375" s="2"/>
      <c r="F280375" s="2"/>
      <c r="G280375" s="2"/>
      <c r="H280375" s="2"/>
    </row>
    <row r="280624" spans="3:8" ht="15.6" x14ac:dyDescent="0.25">
      <c r="C280624" s="2"/>
      <c r="D280624" s="2"/>
      <c r="E280624" s="2"/>
      <c r="F280624" s="2"/>
      <c r="G280624" s="2"/>
      <c r="H280624" s="2"/>
    </row>
    <row r="280873" spans="3:8" ht="15.6" x14ac:dyDescent="0.25">
      <c r="C280873" s="2"/>
      <c r="D280873" s="2"/>
      <c r="E280873" s="2"/>
      <c r="F280873" s="2"/>
      <c r="G280873" s="2"/>
      <c r="H280873" s="2"/>
    </row>
    <row r="281122" spans="3:8" ht="15.6" x14ac:dyDescent="0.25">
      <c r="C281122" s="2"/>
      <c r="D281122" s="2"/>
      <c r="E281122" s="2"/>
      <c r="F281122" s="2"/>
      <c r="G281122" s="2"/>
      <c r="H281122" s="2"/>
    </row>
    <row r="281371" spans="3:8" ht="15.6" x14ac:dyDescent="0.25">
      <c r="C281371" s="2"/>
      <c r="D281371" s="2"/>
      <c r="E281371" s="2"/>
      <c r="F281371" s="2"/>
      <c r="G281371" s="2"/>
      <c r="H281371" s="2"/>
    </row>
    <row r="281620" spans="3:8" ht="15.6" x14ac:dyDescent="0.25">
      <c r="C281620" s="2"/>
      <c r="D281620" s="2"/>
      <c r="E281620" s="2"/>
      <c r="F281620" s="2"/>
      <c r="G281620" s="2"/>
      <c r="H281620" s="2"/>
    </row>
    <row r="281869" spans="3:8" ht="15.6" x14ac:dyDescent="0.25">
      <c r="C281869" s="2"/>
      <c r="D281869" s="2"/>
      <c r="E281869" s="2"/>
      <c r="F281869" s="2"/>
      <c r="G281869" s="2"/>
      <c r="H281869" s="2"/>
    </row>
    <row r="282118" spans="3:8" ht="15.6" x14ac:dyDescent="0.25">
      <c r="C282118" s="2"/>
      <c r="D282118" s="2"/>
      <c r="E282118" s="2"/>
      <c r="F282118" s="2"/>
      <c r="G282118" s="2"/>
      <c r="H282118" s="2"/>
    </row>
    <row r="282367" spans="3:8" ht="15.6" x14ac:dyDescent="0.25">
      <c r="C282367" s="2"/>
      <c r="D282367" s="2"/>
      <c r="E282367" s="2"/>
      <c r="F282367" s="2"/>
      <c r="G282367" s="2"/>
      <c r="H282367" s="2"/>
    </row>
    <row r="282616" spans="3:8" ht="15.6" x14ac:dyDescent="0.25">
      <c r="C282616" s="2"/>
      <c r="D282616" s="2"/>
      <c r="E282616" s="2"/>
      <c r="F282616" s="2"/>
      <c r="G282616" s="2"/>
      <c r="H282616" s="2"/>
    </row>
    <row r="282865" spans="3:8" ht="15.6" x14ac:dyDescent="0.25">
      <c r="C282865" s="2"/>
      <c r="D282865" s="2"/>
      <c r="E282865" s="2"/>
      <c r="F282865" s="2"/>
      <c r="G282865" s="2"/>
      <c r="H282865" s="2"/>
    </row>
    <row r="283114" spans="3:8" ht="15.6" x14ac:dyDescent="0.25">
      <c r="C283114" s="2"/>
      <c r="D283114" s="2"/>
      <c r="E283114" s="2"/>
      <c r="F283114" s="2"/>
      <c r="G283114" s="2"/>
      <c r="H283114" s="2"/>
    </row>
    <row r="283363" spans="3:8" ht="15.6" x14ac:dyDescent="0.25">
      <c r="C283363" s="2"/>
      <c r="D283363" s="2"/>
      <c r="E283363" s="2"/>
      <c r="F283363" s="2"/>
      <c r="G283363" s="2"/>
      <c r="H283363" s="2"/>
    </row>
    <row r="283612" spans="3:8" ht="15.6" x14ac:dyDescent="0.25">
      <c r="C283612" s="2"/>
      <c r="D283612" s="2"/>
      <c r="E283612" s="2"/>
      <c r="F283612" s="2"/>
      <c r="G283612" s="2"/>
      <c r="H283612" s="2"/>
    </row>
    <row r="283861" spans="3:8" ht="15.6" x14ac:dyDescent="0.25">
      <c r="C283861" s="2"/>
      <c r="D283861" s="2"/>
      <c r="E283861" s="2"/>
      <c r="F283861" s="2"/>
      <c r="G283861" s="2"/>
      <c r="H283861" s="2"/>
    </row>
    <row r="284110" spans="3:8" ht="15.6" x14ac:dyDescent="0.25">
      <c r="C284110" s="2"/>
      <c r="D284110" s="2"/>
      <c r="E284110" s="2"/>
      <c r="F284110" s="2"/>
      <c r="G284110" s="2"/>
      <c r="H284110" s="2"/>
    </row>
    <row r="284359" spans="3:8" ht="15.6" x14ac:dyDescent="0.25">
      <c r="C284359" s="2"/>
      <c r="D284359" s="2"/>
      <c r="E284359" s="2"/>
      <c r="F284359" s="2"/>
      <c r="G284359" s="2"/>
      <c r="H284359" s="2"/>
    </row>
    <row r="284608" spans="3:8" ht="15.6" x14ac:dyDescent="0.25">
      <c r="C284608" s="2"/>
      <c r="D284608" s="2"/>
      <c r="E284608" s="2"/>
      <c r="F284608" s="2"/>
      <c r="G284608" s="2"/>
      <c r="H284608" s="2"/>
    </row>
    <row r="284857" spans="3:8" ht="15.6" x14ac:dyDescent="0.25">
      <c r="C284857" s="2"/>
      <c r="D284857" s="2"/>
      <c r="E284857" s="2"/>
      <c r="F284857" s="2"/>
      <c r="G284857" s="2"/>
      <c r="H284857" s="2"/>
    </row>
    <row r="285106" spans="3:8" ht="15.6" x14ac:dyDescent="0.25">
      <c r="C285106" s="2"/>
      <c r="D285106" s="2"/>
      <c r="E285106" s="2"/>
      <c r="F285106" s="2"/>
      <c r="G285106" s="2"/>
      <c r="H285106" s="2"/>
    </row>
    <row r="285355" spans="3:8" ht="15.6" x14ac:dyDescent="0.25">
      <c r="C285355" s="2"/>
      <c r="D285355" s="2"/>
      <c r="E285355" s="2"/>
      <c r="F285355" s="2"/>
      <c r="G285355" s="2"/>
      <c r="H285355" s="2"/>
    </row>
    <row r="285604" spans="3:8" ht="15.6" x14ac:dyDescent="0.25">
      <c r="C285604" s="2"/>
      <c r="D285604" s="2"/>
      <c r="E285604" s="2"/>
      <c r="F285604" s="2"/>
      <c r="G285604" s="2"/>
      <c r="H285604" s="2"/>
    </row>
    <row r="285853" spans="3:8" ht="15.6" x14ac:dyDescent="0.25">
      <c r="C285853" s="2"/>
      <c r="D285853" s="2"/>
      <c r="E285853" s="2"/>
      <c r="F285853" s="2"/>
      <c r="G285853" s="2"/>
      <c r="H285853" s="2"/>
    </row>
    <row r="286102" spans="3:8" ht="15.6" x14ac:dyDescent="0.25">
      <c r="C286102" s="2"/>
      <c r="D286102" s="2"/>
      <c r="E286102" s="2"/>
      <c r="F286102" s="2"/>
      <c r="G286102" s="2"/>
      <c r="H286102" s="2"/>
    </row>
    <row r="286351" spans="3:8" ht="15.6" x14ac:dyDescent="0.25">
      <c r="C286351" s="2"/>
      <c r="D286351" s="2"/>
      <c r="E286351" s="2"/>
      <c r="F286351" s="2"/>
      <c r="G286351" s="2"/>
      <c r="H286351" s="2"/>
    </row>
    <row r="286600" spans="3:8" ht="15.6" x14ac:dyDescent="0.25">
      <c r="C286600" s="2"/>
      <c r="D286600" s="2"/>
      <c r="E286600" s="2"/>
      <c r="F286600" s="2"/>
      <c r="G286600" s="2"/>
      <c r="H286600" s="2"/>
    </row>
    <row r="286849" spans="3:8" ht="15.6" x14ac:dyDescent="0.25">
      <c r="C286849" s="2"/>
      <c r="D286849" s="2"/>
      <c r="E286849" s="2"/>
      <c r="F286849" s="2"/>
      <c r="G286849" s="2"/>
      <c r="H286849" s="2"/>
    </row>
    <row r="287098" spans="3:8" ht="15.6" x14ac:dyDescent="0.25">
      <c r="C287098" s="2"/>
      <c r="D287098" s="2"/>
      <c r="E287098" s="2"/>
      <c r="F287098" s="2"/>
      <c r="G287098" s="2"/>
      <c r="H287098" s="2"/>
    </row>
    <row r="287347" spans="3:8" ht="15.6" x14ac:dyDescent="0.25">
      <c r="C287347" s="2"/>
      <c r="D287347" s="2"/>
      <c r="E287347" s="2"/>
      <c r="F287347" s="2"/>
      <c r="G287347" s="2"/>
      <c r="H287347" s="2"/>
    </row>
    <row r="287596" spans="3:8" ht="15.6" x14ac:dyDescent="0.25">
      <c r="C287596" s="2"/>
      <c r="D287596" s="2"/>
      <c r="E287596" s="2"/>
      <c r="F287596" s="2"/>
      <c r="G287596" s="2"/>
      <c r="H287596" s="2"/>
    </row>
    <row r="287845" spans="3:8" ht="15.6" x14ac:dyDescent="0.25">
      <c r="C287845" s="2"/>
      <c r="D287845" s="2"/>
      <c r="E287845" s="2"/>
      <c r="F287845" s="2"/>
      <c r="G287845" s="2"/>
      <c r="H287845" s="2"/>
    </row>
    <row r="288094" spans="3:8" ht="15.6" x14ac:dyDescent="0.25">
      <c r="C288094" s="2"/>
      <c r="D288094" s="2"/>
      <c r="E288094" s="2"/>
      <c r="F288094" s="2"/>
      <c r="G288094" s="2"/>
      <c r="H288094" s="2"/>
    </row>
    <row r="288343" spans="3:8" ht="15.6" x14ac:dyDescent="0.25">
      <c r="C288343" s="2"/>
      <c r="D288343" s="2"/>
      <c r="E288343" s="2"/>
      <c r="F288343" s="2"/>
      <c r="G288343" s="2"/>
      <c r="H288343" s="2"/>
    </row>
    <row r="288592" spans="3:8" ht="15.6" x14ac:dyDescent="0.25">
      <c r="C288592" s="2"/>
      <c r="D288592" s="2"/>
      <c r="E288592" s="2"/>
      <c r="F288592" s="2"/>
      <c r="G288592" s="2"/>
      <c r="H288592" s="2"/>
    </row>
    <row r="288841" spans="3:8" ht="15.6" x14ac:dyDescent="0.25">
      <c r="C288841" s="2"/>
      <c r="D288841" s="2"/>
      <c r="E288841" s="2"/>
      <c r="F288841" s="2"/>
      <c r="G288841" s="2"/>
      <c r="H288841" s="2"/>
    </row>
    <row r="289090" spans="3:8" ht="15.6" x14ac:dyDescent="0.25">
      <c r="C289090" s="2"/>
      <c r="D289090" s="2"/>
      <c r="E289090" s="2"/>
      <c r="F289090" s="2"/>
      <c r="G289090" s="2"/>
      <c r="H289090" s="2"/>
    </row>
    <row r="289339" spans="3:8" ht="15.6" x14ac:dyDescent="0.25">
      <c r="C289339" s="2"/>
      <c r="D289339" s="2"/>
      <c r="E289339" s="2"/>
      <c r="F289339" s="2"/>
      <c r="G289339" s="2"/>
      <c r="H289339" s="2"/>
    </row>
    <row r="289588" spans="3:8" ht="15.6" x14ac:dyDescent="0.25">
      <c r="C289588" s="2"/>
      <c r="D289588" s="2"/>
      <c r="E289588" s="2"/>
      <c r="F289588" s="2"/>
      <c r="G289588" s="2"/>
      <c r="H289588" s="2"/>
    </row>
    <row r="289837" spans="3:8" ht="15.6" x14ac:dyDescent="0.25">
      <c r="C289837" s="2"/>
      <c r="D289837" s="2"/>
      <c r="E289837" s="2"/>
      <c r="F289837" s="2"/>
      <c r="G289837" s="2"/>
      <c r="H289837" s="2"/>
    </row>
    <row r="290086" spans="3:8" ht="15.6" x14ac:dyDescent="0.25">
      <c r="C290086" s="2"/>
      <c r="D290086" s="2"/>
      <c r="E290086" s="2"/>
      <c r="F290086" s="2"/>
      <c r="G290086" s="2"/>
      <c r="H290086" s="2"/>
    </row>
    <row r="290335" spans="3:8" ht="15.6" x14ac:dyDescent="0.25">
      <c r="C290335" s="2"/>
      <c r="D290335" s="2"/>
      <c r="E290335" s="2"/>
      <c r="F290335" s="2"/>
      <c r="G290335" s="2"/>
      <c r="H290335" s="2"/>
    </row>
    <row r="290584" spans="3:8" ht="15.6" x14ac:dyDescent="0.25">
      <c r="C290584" s="2"/>
      <c r="D290584" s="2"/>
      <c r="E290584" s="2"/>
      <c r="F290584" s="2"/>
      <c r="G290584" s="2"/>
      <c r="H290584" s="2"/>
    </row>
    <row r="290833" spans="3:8" ht="15.6" x14ac:dyDescent="0.25">
      <c r="C290833" s="2"/>
      <c r="D290833" s="2"/>
      <c r="E290833" s="2"/>
      <c r="F290833" s="2"/>
      <c r="G290833" s="2"/>
      <c r="H290833" s="2"/>
    </row>
    <row r="291082" spans="3:8" ht="15.6" x14ac:dyDescent="0.25">
      <c r="C291082" s="2"/>
      <c r="D291082" s="2"/>
      <c r="E291082" s="2"/>
      <c r="F291082" s="2"/>
      <c r="G291082" s="2"/>
      <c r="H291082" s="2"/>
    </row>
    <row r="291331" spans="3:8" ht="15.6" x14ac:dyDescent="0.25">
      <c r="C291331" s="2"/>
      <c r="D291331" s="2"/>
      <c r="E291331" s="2"/>
      <c r="F291331" s="2"/>
      <c r="G291331" s="2"/>
      <c r="H291331" s="2"/>
    </row>
    <row r="291580" spans="3:8" ht="15.6" x14ac:dyDescent="0.25">
      <c r="C291580" s="2"/>
      <c r="D291580" s="2"/>
      <c r="E291580" s="2"/>
      <c r="F291580" s="2"/>
      <c r="G291580" s="2"/>
      <c r="H291580" s="2"/>
    </row>
    <row r="291829" spans="3:8" ht="15.6" x14ac:dyDescent="0.25">
      <c r="C291829" s="2"/>
      <c r="D291829" s="2"/>
      <c r="E291829" s="2"/>
      <c r="F291829" s="2"/>
      <c r="G291829" s="2"/>
      <c r="H291829" s="2"/>
    </row>
    <row r="292078" spans="3:8" ht="15.6" x14ac:dyDescent="0.25">
      <c r="C292078" s="2"/>
      <c r="D292078" s="2"/>
      <c r="E292078" s="2"/>
      <c r="F292078" s="2"/>
      <c r="G292078" s="2"/>
      <c r="H292078" s="2"/>
    </row>
    <row r="292327" spans="3:8" ht="15.6" x14ac:dyDescent="0.25">
      <c r="C292327" s="2"/>
      <c r="D292327" s="2"/>
      <c r="E292327" s="2"/>
      <c r="F292327" s="2"/>
      <c r="G292327" s="2"/>
      <c r="H292327" s="2"/>
    </row>
    <row r="292576" spans="3:8" ht="15.6" x14ac:dyDescent="0.25">
      <c r="C292576" s="2"/>
      <c r="D292576" s="2"/>
      <c r="E292576" s="2"/>
      <c r="F292576" s="2"/>
      <c r="G292576" s="2"/>
      <c r="H292576" s="2"/>
    </row>
    <row r="292825" spans="3:8" ht="15.6" x14ac:dyDescent="0.25">
      <c r="C292825" s="2"/>
      <c r="D292825" s="2"/>
      <c r="E292825" s="2"/>
      <c r="F292825" s="2"/>
      <c r="G292825" s="2"/>
      <c r="H292825" s="2"/>
    </row>
    <row r="293074" spans="3:8" ht="15.6" x14ac:dyDescent="0.25">
      <c r="C293074" s="2"/>
      <c r="D293074" s="2"/>
      <c r="E293074" s="2"/>
      <c r="F293074" s="2"/>
      <c r="G293074" s="2"/>
      <c r="H293074" s="2"/>
    </row>
    <row r="293323" spans="3:8" ht="15.6" x14ac:dyDescent="0.25">
      <c r="C293323" s="2"/>
      <c r="D293323" s="2"/>
      <c r="E293323" s="2"/>
      <c r="F293323" s="2"/>
      <c r="G293323" s="2"/>
      <c r="H293323" s="2"/>
    </row>
    <row r="293572" spans="3:8" ht="15.6" x14ac:dyDescent="0.25">
      <c r="C293572" s="2"/>
      <c r="D293572" s="2"/>
      <c r="E293572" s="2"/>
      <c r="F293572" s="2"/>
      <c r="G293572" s="2"/>
      <c r="H293572" s="2"/>
    </row>
    <row r="293821" spans="3:8" ht="15.6" x14ac:dyDescent="0.25">
      <c r="C293821" s="2"/>
      <c r="D293821" s="2"/>
      <c r="E293821" s="2"/>
      <c r="F293821" s="2"/>
      <c r="G293821" s="2"/>
      <c r="H293821" s="2"/>
    </row>
    <row r="294070" spans="3:8" ht="15.6" x14ac:dyDescent="0.25">
      <c r="C294070" s="2"/>
      <c r="D294070" s="2"/>
      <c r="E294070" s="2"/>
      <c r="F294070" s="2"/>
      <c r="G294070" s="2"/>
      <c r="H294070" s="2"/>
    </row>
    <row r="294319" spans="3:8" ht="15.6" x14ac:dyDescent="0.25">
      <c r="C294319" s="2"/>
      <c r="D294319" s="2"/>
      <c r="E294319" s="2"/>
      <c r="F294319" s="2"/>
      <c r="G294319" s="2"/>
      <c r="H294319" s="2"/>
    </row>
    <row r="294568" spans="3:8" ht="15.6" x14ac:dyDescent="0.25">
      <c r="C294568" s="2"/>
      <c r="D294568" s="2"/>
      <c r="E294568" s="2"/>
      <c r="F294568" s="2"/>
      <c r="G294568" s="2"/>
      <c r="H294568" s="2"/>
    </row>
    <row r="294817" spans="3:8" ht="15.6" x14ac:dyDescent="0.25">
      <c r="C294817" s="2"/>
      <c r="D294817" s="2"/>
      <c r="E294817" s="2"/>
      <c r="F294817" s="2"/>
      <c r="G294817" s="2"/>
      <c r="H294817" s="2"/>
    </row>
    <row r="295066" spans="3:8" ht="15.6" x14ac:dyDescent="0.25">
      <c r="C295066" s="2"/>
      <c r="D295066" s="2"/>
      <c r="E295066" s="2"/>
      <c r="F295066" s="2"/>
      <c r="G295066" s="2"/>
      <c r="H295066" s="2"/>
    </row>
    <row r="295315" spans="3:8" ht="15.6" x14ac:dyDescent="0.25">
      <c r="C295315" s="2"/>
      <c r="D295315" s="2"/>
      <c r="E295315" s="2"/>
      <c r="F295315" s="2"/>
      <c r="G295315" s="2"/>
      <c r="H295315" s="2"/>
    </row>
    <row r="295564" spans="3:8" ht="15.6" x14ac:dyDescent="0.25">
      <c r="C295564" s="2"/>
      <c r="D295564" s="2"/>
      <c r="E295564" s="2"/>
      <c r="F295564" s="2"/>
      <c r="G295564" s="2"/>
      <c r="H295564" s="2"/>
    </row>
    <row r="295813" spans="3:8" ht="15.6" x14ac:dyDescent="0.25">
      <c r="C295813" s="2"/>
      <c r="D295813" s="2"/>
      <c r="E295813" s="2"/>
      <c r="F295813" s="2"/>
      <c r="G295813" s="2"/>
      <c r="H295813" s="2"/>
    </row>
    <row r="296062" spans="3:8" ht="15.6" x14ac:dyDescent="0.25">
      <c r="C296062" s="2"/>
      <c r="D296062" s="2"/>
      <c r="E296062" s="2"/>
      <c r="F296062" s="2"/>
      <c r="G296062" s="2"/>
      <c r="H296062" s="2"/>
    </row>
    <row r="296311" spans="3:8" ht="15.6" x14ac:dyDescent="0.25">
      <c r="C296311" s="2"/>
      <c r="D296311" s="2"/>
      <c r="E296311" s="2"/>
      <c r="F296311" s="2"/>
      <c r="G296311" s="2"/>
      <c r="H296311" s="2"/>
    </row>
    <row r="296560" spans="3:8" ht="15.6" x14ac:dyDescent="0.25">
      <c r="C296560" s="2"/>
      <c r="D296560" s="2"/>
      <c r="E296560" s="2"/>
      <c r="F296560" s="2"/>
      <c r="G296560" s="2"/>
      <c r="H296560" s="2"/>
    </row>
    <row r="296809" spans="3:8" ht="15.6" x14ac:dyDescent="0.25">
      <c r="C296809" s="2"/>
      <c r="D296809" s="2"/>
      <c r="E296809" s="2"/>
      <c r="F296809" s="2"/>
      <c r="G296809" s="2"/>
      <c r="H296809" s="2"/>
    </row>
    <row r="297058" spans="3:8" ht="15.6" x14ac:dyDescent="0.25">
      <c r="C297058" s="2"/>
      <c r="D297058" s="2"/>
      <c r="E297058" s="2"/>
      <c r="F297058" s="2"/>
      <c r="G297058" s="2"/>
      <c r="H297058" s="2"/>
    </row>
    <row r="297307" spans="3:8" ht="15.6" x14ac:dyDescent="0.25">
      <c r="C297307" s="2"/>
      <c r="D297307" s="2"/>
      <c r="E297307" s="2"/>
      <c r="F297307" s="2"/>
      <c r="G297307" s="2"/>
      <c r="H297307" s="2"/>
    </row>
    <row r="297556" spans="3:8" ht="15.6" x14ac:dyDescent="0.25">
      <c r="C297556" s="2"/>
      <c r="D297556" s="2"/>
      <c r="E297556" s="2"/>
      <c r="F297556" s="2"/>
      <c r="G297556" s="2"/>
      <c r="H297556" s="2"/>
    </row>
    <row r="297805" spans="3:8" ht="15.6" x14ac:dyDescent="0.25">
      <c r="C297805" s="2"/>
      <c r="D297805" s="2"/>
      <c r="E297805" s="2"/>
      <c r="F297805" s="2"/>
      <c r="G297805" s="2"/>
      <c r="H297805" s="2"/>
    </row>
    <row r="298054" spans="3:8" ht="15.6" x14ac:dyDescent="0.25">
      <c r="C298054" s="2"/>
      <c r="D298054" s="2"/>
      <c r="E298054" s="2"/>
      <c r="F298054" s="2"/>
      <c r="G298054" s="2"/>
      <c r="H298054" s="2"/>
    </row>
    <row r="298303" spans="3:8" ht="15.6" x14ac:dyDescent="0.25">
      <c r="C298303" s="2"/>
      <c r="D298303" s="2"/>
      <c r="E298303" s="2"/>
      <c r="F298303" s="2"/>
      <c r="G298303" s="2"/>
      <c r="H298303" s="2"/>
    </row>
    <row r="298552" spans="3:8" ht="15.6" x14ac:dyDescent="0.25">
      <c r="C298552" s="2"/>
      <c r="D298552" s="2"/>
      <c r="E298552" s="2"/>
      <c r="F298552" s="2"/>
      <c r="G298552" s="2"/>
      <c r="H298552" s="2"/>
    </row>
    <row r="298801" spans="3:8" ht="15.6" x14ac:dyDescent="0.25">
      <c r="C298801" s="2"/>
      <c r="D298801" s="2"/>
      <c r="E298801" s="2"/>
      <c r="F298801" s="2"/>
      <c r="G298801" s="2"/>
      <c r="H298801" s="2"/>
    </row>
    <row r="299050" spans="3:8" ht="15.6" x14ac:dyDescent="0.25">
      <c r="C299050" s="2"/>
      <c r="D299050" s="2"/>
      <c r="E299050" s="2"/>
      <c r="F299050" s="2"/>
      <c r="G299050" s="2"/>
      <c r="H299050" s="2"/>
    </row>
    <row r="299299" spans="3:8" ht="15.6" x14ac:dyDescent="0.25">
      <c r="C299299" s="2"/>
      <c r="D299299" s="2"/>
      <c r="E299299" s="2"/>
      <c r="F299299" s="2"/>
      <c r="G299299" s="2"/>
      <c r="H299299" s="2"/>
    </row>
    <row r="299548" spans="3:8" ht="15.6" x14ac:dyDescent="0.25">
      <c r="C299548" s="2"/>
      <c r="D299548" s="2"/>
      <c r="E299548" s="2"/>
      <c r="F299548" s="2"/>
      <c r="G299548" s="2"/>
      <c r="H299548" s="2"/>
    </row>
    <row r="299797" spans="3:8" ht="15.6" x14ac:dyDescent="0.25">
      <c r="C299797" s="2"/>
      <c r="D299797" s="2"/>
      <c r="E299797" s="2"/>
      <c r="F299797" s="2"/>
      <c r="G299797" s="2"/>
      <c r="H299797" s="2"/>
    </row>
    <row r="300046" spans="3:8" ht="15.6" x14ac:dyDescent="0.25">
      <c r="C300046" s="2"/>
      <c r="D300046" s="2"/>
      <c r="E300046" s="2"/>
      <c r="F300046" s="2"/>
      <c r="G300046" s="2"/>
      <c r="H300046" s="2"/>
    </row>
    <row r="300295" spans="3:8" ht="15.6" x14ac:dyDescent="0.25">
      <c r="C300295" s="2"/>
      <c r="D300295" s="2"/>
      <c r="E300295" s="2"/>
      <c r="F300295" s="2"/>
      <c r="G300295" s="2"/>
      <c r="H300295" s="2"/>
    </row>
    <row r="300544" spans="3:8" ht="15.6" x14ac:dyDescent="0.25">
      <c r="C300544" s="2"/>
      <c r="D300544" s="2"/>
      <c r="E300544" s="2"/>
      <c r="F300544" s="2"/>
      <c r="G300544" s="2"/>
      <c r="H300544" s="2"/>
    </row>
    <row r="300793" spans="3:8" ht="15.6" x14ac:dyDescent="0.25">
      <c r="C300793" s="2"/>
      <c r="D300793" s="2"/>
      <c r="E300793" s="2"/>
      <c r="F300793" s="2"/>
      <c r="G300793" s="2"/>
      <c r="H300793" s="2"/>
    </row>
    <row r="301042" spans="3:8" ht="15.6" x14ac:dyDescent="0.25">
      <c r="C301042" s="2"/>
      <c r="D301042" s="2"/>
      <c r="E301042" s="2"/>
      <c r="F301042" s="2"/>
      <c r="G301042" s="2"/>
      <c r="H301042" s="2"/>
    </row>
    <row r="301291" spans="3:8" ht="15.6" x14ac:dyDescent="0.25">
      <c r="C301291" s="2"/>
      <c r="D301291" s="2"/>
      <c r="E301291" s="2"/>
      <c r="F301291" s="2"/>
      <c r="G301291" s="2"/>
      <c r="H301291" s="2"/>
    </row>
    <row r="301540" spans="3:8" ht="15.6" x14ac:dyDescent="0.25">
      <c r="C301540" s="2"/>
      <c r="D301540" s="2"/>
      <c r="E301540" s="2"/>
      <c r="F301540" s="2"/>
      <c r="G301540" s="2"/>
      <c r="H301540" s="2"/>
    </row>
    <row r="301789" spans="3:8" ht="15.6" x14ac:dyDescent="0.25">
      <c r="C301789" s="2"/>
      <c r="D301789" s="2"/>
      <c r="E301789" s="2"/>
      <c r="F301789" s="2"/>
      <c r="G301789" s="2"/>
      <c r="H301789" s="2"/>
    </row>
    <row r="302038" spans="3:8" ht="15.6" x14ac:dyDescent="0.25">
      <c r="C302038" s="2"/>
      <c r="D302038" s="2"/>
      <c r="E302038" s="2"/>
      <c r="F302038" s="2"/>
      <c r="G302038" s="2"/>
      <c r="H302038" s="2"/>
    </row>
    <row r="302287" spans="3:8" ht="15.6" x14ac:dyDescent="0.25">
      <c r="C302287" s="2"/>
      <c r="D302287" s="2"/>
      <c r="E302287" s="2"/>
      <c r="F302287" s="2"/>
      <c r="G302287" s="2"/>
      <c r="H302287" s="2"/>
    </row>
    <row r="302536" spans="3:8" ht="15.6" x14ac:dyDescent="0.25">
      <c r="C302536" s="2"/>
      <c r="D302536" s="2"/>
      <c r="E302536" s="2"/>
      <c r="F302536" s="2"/>
      <c r="G302536" s="2"/>
      <c r="H302536" s="2"/>
    </row>
    <row r="302785" spans="3:8" ht="15.6" x14ac:dyDescent="0.25">
      <c r="C302785" s="2"/>
      <c r="D302785" s="2"/>
      <c r="E302785" s="2"/>
      <c r="F302785" s="2"/>
      <c r="G302785" s="2"/>
      <c r="H302785" s="2"/>
    </row>
    <row r="303034" spans="3:8" ht="15.6" x14ac:dyDescent="0.25">
      <c r="C303034" s="2"/>
      <c r="D303034" s="2"/>
      <c r="E303034" s="2"/>
      <c r="F303034" s="2"/>
      <c r="G303034" s="2"/>
      <c r="H303034" s="2"/>
    </row>
    <row r="303283" spans="3:8" ht="15.6" x14ac:dyDescent="0.25">
      <c r="C303283" s="2"/>
      <c r="D303283" s="2"/>
      <c r="E303283" s="2"/>
      <c r="F303283" s="2"/>
      <c r="G303283" s="2"/>
      <c r="H303283" s="2"/>
    </row>
    <row r="303532" spans="3:8" ht="15.6" x14ac:dyDescent="0.25">
      <c r="C303532" s="2"/>
      <c r="D303532" s="2"/>
      <c r="E303532" s="2"/>
      <c r="F303532" s="2"/>
      <c r="G303532" s="2"/>
      <c r="H303532" s="2"/>
    </row>
    <row r="303781" spans="3:8" ht="15.6" x14ac:dyDescent="0.25">
      <c r="C303781" s="2"/>
      <c r="D303781" s="2"/>
      <c r="E303781" s="2"/>
      <c r="F303781" s="2"/>
      <c r="G303781" s="2"/>
      <c r="H303781" s="2"/>
    </row>
    <row r="304030" spans="3:8" ht="15.6" x14ac:dyDescent="0.25">
      <c r="C304030" s="2"/>
      <c r="D304030" s="2"/>
      <c r="E304030" s="2"/>
      <c r="F304030" s="2"/>
      <c r="G304030" s="2"/>
      <c r="H304030" s="2"/>
    </row>
    <row r="304279" spans="3:8" ht="15.6" x14ac:dyDescent="0.25">
      <c r="C304279" s="2"/>
      <c r="D304279" s="2"/>
      <c r="E304279" s="2"/>
      <c r="F304279" s="2"/>
      <c r="G304279" s="2"/>
      <c r="H304279" s="2"/>
    </row>
    <row r="304528" spans="3:8" ht="15.6" x14ac:dyDescent="0.25">
      <c r="C304528" s="2"/>
      <c r="D304528" s="2"/>
      <c r="E304528" s="2"/>
      <c r="F304528" s="2"/>
      <c r="G304528" s="2"/>
      <c r="H304528" s="2"/>
    </row>
    <row r="304777" spans="3:8" ht="15.6" x14ac:dyDescent="0.25">
      <c r="C304777" s="2"/>
      <c r="D304777" s="2"/>
      <c r="E304777" s="2"/>
      <c r="F304777" s="2"/>
      <c r="G304777" s="2"/>
      <c r="H304777" s="2"/>
    </row>
    <row r="305026" spans="3:8" ht="15.6" x14ac:dyDescent="0.25">
      <c r="C305026" s="2"/>
      <c r="D305026" s="2"/>
      <c r="E305026" s="2"/>
      <c r="F305026" s="2"/>
      <c r="G305026" s="2"/>
      <c r="H305026" s="2"/>
    </row>
    <row r="305275" spans="3:8" ht="15.6" x14ac:dyDescent="0.25">
      <c r="C305275" s="2"/>
      <c r="D305275" s="2"/>
      <c r="E305275" s="2"/>
      <c r="F305275" s="2"/>
      <c r="G305275" s="2"/>
      <c r="H305275" s="2"/>
    </row>
    <row r="305524" spans="3:8" ht="15.6" x14ac:dyDescent="0.25">
      <c r="C305524" s="2"/>
      <c r="D305524" s="2"/>
      <c r="E305524" s="2"/>
      <c r="F305524" s="2"/>
      <c r="G305524" s="2"/>
      <c r="H305524" s="2"/>
    </row>
    <row r="305773" spans="3:8" ht="15.6" x14ac:dyDescent="0.25">
      <c r="C305773" s="2"/>
      <c r="D305773" s="2"/>
      <c r="E305773" s="2"/>
      <c r="F305773" s="2"/>
      <c r="G305773" s="2"/>
      <c r="H305773" s="2"/>
    </row>
    <row r="306022" spans="3:8" ht="15.6" x14ac:dyDescent="0.25">
      <c r="C306022" s="2"/>
      <c r="D306022" s="2"/>
      <c r="E306022" s="2"/>
      <c r="F306022" s="2"/>
      <c r="G306022" s="2"/>
      <c r="H306022" s="2"/>
    </row>
    <row r="306271" spans="3:8" ht="15.6" x14ac:dyDescent="0.25">
      <c r="C306271" s="2"/>
      <c r="D306271" s="2"/>
      <c r="E306271" s="2"/>
      <c r="F306271" s="2"/>
      <c r="G306271" s="2"/>
      <c r="H306271" s="2"/>
    </row>
    <row r="306520" spans="3:8" ht="15.6" x14ac:dyDescent="0.25">
      <c r="C306520" s="2"/>
      <c r="D306520" s="2"/>
      <c r="E306520" s="2"/>
      <c r="F306520" s="2"/>
      <c r="G306520" s="2"/>
      <c r="H306520" s="2"/>
    </row>
    <row r="306769" spans="3:8" ht="15.6" x14ac:dyDescent="0.25">
      <c r="C306769" s="2"/>
      <c r="D306769" s="2"/>
      <c r="E306769" s="2"/>
      <c r="F306769" s="2"/>
      <c r="G306769" s="2"/>
      <c r="H306769" s="2"/>
    </row>
    <row r="307018" spans="3:8" ht="15.6" x14ac:dyDescent="0.25">
      <c r="C307018" s="2"/>
      <c r="D307018" s="2"/>
      <c r="E307018" s="2"/>
      <c r="F307018" s="2"/>
      <c r="G307018" s="2"/>
      <c r="H307018" s="2"/>
    </row>
    <row r="307267" spans="3:8" ht="15.6" x14ac:dyDescent="0.25">
      <c r="C307267" s="2"/>
      <c r="D307267" s="2"/>
      <c r="E307267" s="2"/>
      <c r="F307267" s="2"/>
      <c r="G307267" s="2"/>
      <c r="H307267" s="2"/>
    </row>
    <row r="307516" spans="3:8" ht="15.6" x14ac:dyDescent="0.25">
      <c r="C307516" s="2"/>
      <c r="D307516" s="2"/>
      <c r="E307516" s="2"/>
      <c r="F307516" s="2"/>
      <c r="G307516" s="2"/>
      <c r="H307516" s="2"/>
    </row>
    <row r="307765" spans="3:8" ht="15.6" x14ac:dyDescent="0.25">
      <c r="C307765" s="2"/>
      <c r="D307765" s="2"/>
      <c r="E307765" s="2"/>
      <c r="F307765" s="2"/>
      <c r="G307765" s="2"/>
      <c r="H307765" s="2"/>
    </row>
    <row r="308014" spans="3:8" ht="15.6" x14ac:dyDescent="0.25">
      <c r="C308014" s="2"/>
      <c r="D308014" s="2"/>
      <c r="E308014" s="2"/>
      <c r="F308014" s="2"/>
      <c r="G308014" s="2"/>
      <c r="H308014" s="2"/>
    </row>
    <row r="308263" spans="3:8" ht="15.6" x14ac:dyDescent="0.25">
      <c r="C308263" s="2"/>
      <c r="D308263" s="2"/>
      <c r="E308263" s="2"/>
      <c r="F308263" s="2"/>
      <c r="G308263" s="2"/>
      <c r="H308263" s="2"/>
    </row>
    <row r="308512" spans="3:8" ht="15.6" x14ac:dyDescent="0.25">
      <c r="C308512" s="2"/>
      <c r="D308512" s="2"/>
      <c r="E308512" s="2"/>
      <c r="F308512" s="2"/>
      <c r="G308512" s="2"/>
      <c r="H308512" s="2"/>
    </row>
    <row r="308761" spans="3:8" ht="15.6" x14ac:dyDescent="0.25">
      <c r="C308761" s="2"/>
      <c r="D308761" s="2"/>
      <c r="E308761" s="2"/>
      <c r="F308761" s="2"/>
      <c r="G308761" s="2"/>
      <c r="H308761" s="2"/>
    </row>
    <row r="309010" spans="3:8" ht="15.6" x14ac:dyDescent="0.25">
      <c r="C309010" s="2"/>
      <c r="D309010" s="2"/>
      <c r="E309010" s="2"/>
      <c r="F309010" s="2"/>
      <c r="G309010" s="2"/>
      <c r="H309010" s="2"/>
    </row>
    <row r="309259" spans="3:8" ht="15.6" x14ac:dyDescent="0.25">
      <c r="C309259" s="2"/>
      <c r="D309259" s="2"/>
      <c r="E309259" s="2"/>
      <c r="F309259" s="2"/>
      <c r="G309259" s="2"/>
      <c r="H309259" s="2"/>
    </row>
    <row r="309508" spans="3:8" ht="15.6" x14ac:dyDescent="0.25">
      <c r="C309508" s="2"/>
      <c r="D309508" s="2"/>
      <c r="E309508" s="2"/>
      <c r="F309508" s="2"/>
      <c r="G309508" s="2"/>
      <c r="H309508" s="2"/>
    </row>
    <row r="309757" spans="3:8" ht="15.6" x14ac:dyDescent="0.25">
      <c r="C309757" s="2"/>
      <c r="D309757" s="2"/>
      <c r="E309757" s="2"/>
      <c r="F309757" s="2"/>
      <c r="G309757" s="2"/>
      <c r="H309757" s="2"/>
    </row>
    <row r="310006" spans="3:8" ht="15.6" x14ac:dyDescent="0.25">
      <c r="C310006" s="2"/>
      <c r="D310006" s="2"/>
      <c r="E310006" s="2"/>
      <c r="F310006" s="2"/>
      <c r="G310006" s="2"/>
      <c r="H310006" s="2"/>
    </row>
    <row r="310255" spans="3:8" ht="15.6" x14ac:dyDescent="0.25">
      <c r="C310255" s="2"/>
      <c r="D310255" s="2"/>
      <c r="E310255" s="2"/>
      <c r="F310255" s="2"/>
      <c r="G310255" s="2"/>
      <c r="H310255" s="2"/>
    </row>
    <row r="310504" spans="3:8" ht="15.6" x14ac:dyDescent="0.25">
      <c r="C310504" s="2"/>
      <c r="D310504" s="2"/>
      <c r="E310504" s="2"/>
      <c r="F310504" s="2"/>
      <c r="G310504" s="2"/>
      <c r="H310504" s="2"/>
    </row>
    <row r="310753" spans="3:8" ht="15.6" x14ac:dyDescent="0.25">
      <c r="C310753" s="2"/>
      <c r="D310753" s="2"/>
      <c r="E310753" s="2"/>
      <c r="F310753" s="2"/>
      <c r="G310753" s="2"/>
      <c r="H310753" s="2"/>
    </row>
    <row r="311002" spans="3:8" ht="15.6" x14ac:dyDescent="0.25">
      <c r="C311002" s="2"/>
      <c r="D311002" s="2"/>
      <c r="E311002" s="2"/>
      <c r="F311002" s="2"/>
      <c r="G311002" s="2"/>
      <c r="H311002" s="2"/>
    </row>
    <row r="311251" spans="3:8" ht="15.6" x14ac:dyDescent="0.25">
      <c r="C311251" s="2"/>
      <c r="D311251" s="2"/>
      <c r="E311251" s="2"/>
      <c r="F311251" s="2"/>
      <c r="G311251" s="2"/>
      <c r="H311251" s="2"/>
    </row>
    <row r="311500" spans="3:8" ht="15.6" x14ac:dyDescent="0.25">
      <c r="C311500" s="2"/>
      <c r="D311500" s="2"/>
      <c r="E311500" s="2"/>
      <c r="F311500" s="2"/>
      <c r="G311500" s="2"/>
      <c r="H311500" s="2"/>
    </row>
    <row r="311749" spans="3:8" ht="15.6" x14ac:dyDescent="0.25">
      <c r="C311749" s="2"/>
      <c r="D311749" s="2"/>
      <c r="E311749" s="2"/>
      <c r="F311749" s="2"/>
      <c r="G311749" s="2"/>
      <c r="H311749" s="2"/>
    </row>
    <row r="311998" spans="3:8" ht="15.6" x14ac:dyDescent="0.25">
      <c r="C311998" s="2"/>
      <c r="D311998" s="2"/>
      <c r="E311998" s="2"/>
      <c r="F311998" s="2"/>
      <c r="G311998" s="2"/>
      <c r="H311998" s="2"/>
    </row>
    <row r="312247" spans="3:8" ht="15.6" x14ac:dyDescent="0.25">
      <c r="C312247" s="2"/>
      <c r="D312247" s="2"/>
      <c r="E312247" s="2"/>
      <c r="F312247" s="2"/>
      <c r="G312247" s="2"/>
      <c r="H312247" s="2"/>
    </row>
    <row r="312496" spans="3:8" ht="15.6" x14ac:dyDescent="0.25">
      <c r="C312496" s="2"/>
      <c r="D312496" s="2"/>
      <c r="E312496" s="2"/>
      <c r="F312496" s="2"/>
      <c r="G312496" s="2"/>
      <c r="H312496" s="2"/>
    </row>
    <row r="312745" spans="3:8" ht="15.6" x14ac:dyDescent="0.25">
      <c r="C312745" s="2"/>
      <c r="D312745" s="2"/>
      <c r="E312745" s="2"/>
      <c r="F312745" s="2"/>
      <c r="G312745" s="2"/>
      <c r="H312745" s="2"/>
    </row>
    <row r="312994" spans="3:8" ht="15.6" x14ac:dyDescent="0.25">
      <c r="C312994" s="2"/>
      <c r="D312994" s="2"/>
      <c r="E312994" s="2"/>
      <c r="F312994" s="2"/>
      <c r="G312994" s="2"/>
      <c r="H312994" s="2"/>
    </row>
    <row r="313243" spans="3:8" ht="15.6" x14ac:dyDescent="0.25">
      <c r="C313243" s="2"/>
      <c r="D313243" s="2"/>
      <c r="E313243" s="2"/>
      <c r="F313243" s="2"/>
      <c r="G313243" s="2"/>
      <c r="H313243" s="2"/>
    </row>
    <row r="313492" spans="3:8" ht="15.6" x14ac:dyDescent="0.25">
      <c r="C313492" s="2"/>
      <c r="D313492" s="2"/>
      <c r="E313492" s="2"/>
      <c r="F313492" s="2"/>
      <c r="G313492" s="2"/>
      <c r="H313492" s="2"/>
    </row>
    <row r="313741" spans="3:8" ht="15.6" x14ac:dyDescent="0.25">
      <c r="C313741" s="2"/>
      <c r="D313741" s="2"/>
      <c r="E313741" s="2"/>
      <c r="F313741" s="2"/>
      <c r="G313741" s="2"/>
      <c r="H313741" s="2"/>
    </row>
    <row r="313990" spans="3:8" ht="15.6" x14ac:dyDescent="0.25">
      <c r="C313990" s="2"/>
      <c r="D313990" s="2"/>
      <c r="E313990" s="2"/>
      <c r="F313990" s="2"/>
      <c r="G313990" s="2"/>
      <c r="H313990" s="2"/>
    </row>
    <row r="314239" spans="3:8" ht="15.6" x14ac:dyDescent="0.25">
      <c r="C314239" s="2"/>
      <c r="D314239" s="2"/>
      <c r="E314239" s="2"/>
      <c r="F314239" s="2"/>
      <c r="G314239" s="2"/>
      <c r="H314239" s="2"/>
    </row>
    <row r="314488" spans="3:8" ht="15.6" x14ac:dyDescent="0.25">
      <c r="C314488" s="2"/>
      <c r="D314488" s="2"/>
      <c r="E314488" s="2"/>
      <c r="F314488" s="2"/>
      <c r="G314488" s="2"/>
      <c r="H314488" s="2"/>
    </row>
    <row r="314737" spans="3:8" ht="15.6" x14ac:dyDescent="0.25">
      <c r="C314737" s="2"/>
      <c r="D314737" s="2"/>
      <c r="E314737" s="2"/>
      <c r="F314737" s="2"/>
      <c r="G314737" s="2"/>
      <c r="H314737" s="2"/>
    </row>
    <row r="314986" spans="3:8" ht="15.6" x14ac:dyDescent="0.25">
      <c r="C314986" s="2"/>
      <c r="D314986" s="2"/>
      <c r="E314986" s="2"/>
      <c r="F314986" s="2"/>
      <c r="G314986" s="2"/>
      <c r="H314986" s="2"/>
    </row>
    <row r="315235" spans="3:8" ht="15.6" x14ac:dyDescent="0.25">
      <c r="C315235" s="2"/>
      <c r="D315235" s="2"/>
      <c r="E315235" s="2"/>
      <c r="F315235" s="2"/>
      <c r="G315235" s="2"/>
      <c r="H315235" s="2"/>
    </row>
    <row r="315484" spans="3:8" ht="15.6" x14ac:dyDescent="0.25">
      <c r="C315484" s="2"/>
      <c r="D315484" s="2"/>
      <c r="E315484" s="2"/>
      <c r="F315484" s="2"/>
      <c r="G315484" s="2"/>
      <c r="H315484" s="2"/>
    </row>
    <row r="315733" spans="3:8" ht="15.6" x14ac:dyDescent="0.25">
      <c r="C315733" s="2"/>
      <c r="D315733" s="2"/>
      <c r="E315733" s="2"/>
      <c r="F315733" s="2"/>
      <c r="G315733" s="2"/>
      <c r="H315733" s="2"/>
    </row>
    <row r="315982" spans="3:8" ht="15.6" x14ac:dyDescent="0.25">
      <c r="C315982" s="2"/>
      <c r="D315982" s="2"/>
      <c r="E315982" s="2"/>
      <c r="F315982" s="2"/>
      <c r="G315982" s="2"/>
      <c r="H315982" s="2"/>
    </row>
    <row r="316231" spans="3:8" ht="15.6" x14ac:dyDescent="0.25">
      <c r="C316231" s="2"/>
      <c r="D316231" s="2"/>
      <c r="E316231" s="2"/>
      <c r="F316231" s="2"/>
      <c r="G316231" s="2"/>
      <c r="H316231" s="2"/>
    </row>
    <row r="316480" spans="3:8" ht="15.6" x14ac:dyDescent="0.25">
      <c r="C316480" s="2"/>
      <c r="D316480" s="2"/>
      <c r="E316480" s="2"/>
      <c r="F316480" s="2"/>
      <c r="G316480" s="2"/>
      <c r="H316480" s="2"/>
    </row>
    <row r="316729" spans="3:8" ht="15.6" x14ac:dyDescent="0.25">
      <c r="C316729" s="2"/>
      <c r="D316729" s="2"/>
      <c r="E316729" s="2"/>
      <c r="F316729" s="2"/>
      <c r="G316729" s="2"/>
      <c r="H316729" s="2"/>
    </row>
    <row r="316978" spans="3:8" ht="15.6" x14ac:dyDescent="0.25">
      <c r="C316978" s="2"/>
      <c r="D316978" s="2"/>
      <c r="E316978" s="2"/>
      <c r="F316978" s="2"/>
      <c r="G316978" s="2"/>
      <c r="H316978" s="2"/>
    </row>
    <row r="317227" spans="3:8" ht="15.6" x14ac:dyDescent="0.25">
      <c r="C317227" s="2"/>
      <c r="D317227" s="2"/>
      <c r="E317227" s="2"/>
      <c r="F317227" s="2"/>
      <c r="G317227" s="2"/>
      <c r="H317227" s="2"/>
    </row>
    <row r="317476" spans="3:8" ht="15.6" x14ac:dyDescent="0.25">
      <c r="C317476" s="2"/>
      <c r="D317476" s="2"/>
      <c r="E317476" s="2"/>
      <c r="F317476" s="2"/>
      <c r="G317476" s="2"/>
      <c r="H317476" s="2"/>
    </row>
    <row r="317725" spans="3:8" ht="15.6" x14ac:dyDescent="0.25">
      <c r="C317725" s="2"/>
      <c r="D317725" s="2"/>
      <c r="E317725" s="2"/>
      <c r="F317725" s="2"/>
      <c r="G317725" s="2"/>
      <c r="H317725" s="2"/>
    </row>
    <row r="317974" spans="3:8" ht="15.6" x14ac:dyDescent="0.25">
      <c r="C317974" s="2"/>
      <c r="D317974" s="2"/>
      <c r="E317974" s="2"/>
      <c r="F317974" s="2"/>
      <c r="G317974" s="2"/>
      <c r="H317974" s="2"/>
    </row>
    <row r="318223" spans="3:8" ht="15.6" x14ac:dyDescent="0.25">
      <c r="C318223" s="2"/>
      <c r="D318223" s="2"/>
      <c r="E318223" s="2"/>
      <c r="F318223" s="2"/>
      <c r="G318223" s="2"/>
      <c r="H318223" s="2"/>
    </row>
    <row r="318472" spans="3:8" ht="15.6" x14ac:dyDescent="0.25">
      <c r="C318472" s="2"/>
      <c r="D318472" s="2"/>
      <c r="E318472" s="2"/>
      <c r="F318472" s="2"/>
      <c r="G318472" s="2"/>
      <c r="H318472" s="2"/>
    </row>
    <row r="318721" spans="3:8" ht="15.6" x14ac:dyDescent="0.25">
      <c r="C318721" s="2"/>
      <c r="D318721" s="2"/>
      <c r="E318721" s="2"/>
      <c r="F318721" s="2"/>
      <c r="G318721" s="2"/>
      <c r="H318721" s="2"/>
    </row>
    <row r="318970" spans="3:8" ht="15.6" x14ac:dyDescent="0.25">
      <c r="C318970" s="2"/>
      <c r="D318970" s="2"/>
      <c r="E318970" s="2"/>
      <c r="F318970" s="2"/>
      <c r="G318970" s="2"/>
      <c r="H318970" s="2"/>
    </row>
    <row r="319219" spans="3:8" ht="15.6" x14ac:dyDescent="0.25">
      <c r="C319219" s="2"/>
      <c r="D319219" s="2"/>
      <c r="E319219" s="2"/>
      <c r="F319219" s="2"/>
      <c r="G319219" s="2"/>
      <c r="H319219" s="2"/>
    </row>
    <row r="319468" spans="3:8" ht="15.6" x14ac:dyDescent="0.25">
      <c r="C319468" s="2"/>
      <c r="D319468" s="2"/>
      <c r="E319468" s="2"/>
      <c r="F319468" s="2"/>
      <c r="G319468" s="2"/>
      <c r="H319468" s="2"/>
    </row>
    <row r="319717" spans="3:8" ht="15.6" x14ac:dyDescent="0.25">
      <c r="C319717" s="2"/>
      <c r="D319717" s="2"/>
      <c r="E319717" s="2"/>
      <c r="F319717" s="2"/>
      <c r="G319717" s="2"/>
      <c r="H319717" s="2"/>
    </row>
    <row r="319966" spans="3:8" ht="15.6" x14ac:dyDescent="0.25">
      <c r="C319966" s="2"/>
      <c r="D319966" s="2"/>
      <c r="E319966" s="2"/>
      <c r="F319966" s="2"/>
      <c r="G319966" s="2"/>
      <c r="H319966" s="2"/>
    </row>
    <row r="320215" spans="3:8" ht="15.6" x14ac:dyDescent="0.25">
      <c r="C320215" s="2"/>
      <c r="D320215" s="2"/>
      <c r="E320215" s="2"/>
      <c r="F320215" s="2"/>
      <c r="G320215" s="2"/>
      <c r="H320215" s="2"/>
    </row>
    <row r="320464" spans="3:8" ht="15.6" x14ac:dyDescent="0.25">
      <c r="C320464" s="2"/>
      <c r="D320464" s="2"/>
      <c r="E320464" s="2"/>
      <c r="F320464" s="2"/>
      <c r="G320464" s="2"/>
      <c r="H320464" s="2"/>
    </row>
    <row r="320713" spans="3:8" ht="15.6" x14ac:dyDescent="0.25">
      <c r="C320713" s="2"/>
      <c r="D320713" s="2"/>
      <c r="E320713" s="2"/>
      <c r="F320713" s="2"/>
      <c r="G320713" s="2"/>
      <c r="H320713" s="2"/>
    </row>
    <row r="320962" spans="3:8" ht="15.6" x14ac:dyDescent="0.25">
      <c r="C320962" s="2"/>
      <c r="D320962" s="2"/>
      <c r="E320962" s="2"/>
      <c r="F320962" s="2"/>
      <c r="G320962" s="2"/>
      <c r="H320962" s="2"/>
    </row>
    <row r="321211" spans="3:8" ht="15.6" x14ac:dyDescent="0.25">
      <c r="C321211" s="2"/>
      <c r="D321211" s="2"/>
      <c r="E321211" s="2"/>
      <c r="F321211" s="2"/>
      <c r="G321211" s="2"/>
      <c r="H321211" s="2"/>
    </row>
    <row r="321460" spans="3:8" ht="15.6" x14ac:dyDescent="0.25">
      <c r="C321460" s="2"/>
      <c r="D321460" s="2"/>
      <c r="E321460" s="2"/>
      <c r="F321460" s="2"/>
      <c r="G321460" s="2"/>
      <c r="H321460" s="2"/>
    </row>
    <row r="321709" spans="3:8" ht="15.6" x14ac:dyDescent="0.25">
      <c r="C321709" s="2"/>
      <c r="D321709" s="2"/>
      <c r="E321709" s="2"/>
      <c r="F321709" s="2"/>
      <c r="G321709" s="2"/>
      <c r="H321709" s="2"/>
    </row>
    <row r="321958" spans="3:8" ht="15.6" x14ac:dyDescent="0.25">
      <c r="C321958" s="2"/>
      <c r="D321958" s="2"/>
      <c r="E321958" s="2"/>
      <c r="F321958" s="2"/>
      <c r="G321958" s="2"/>
      <c r="H321958" s="2"/>
    </row>
    <row r="322207" spans="3:8" ht="15.6" x14ac:dyDescent="0.25">
      <c r="C322207" s="2"/>
      <c r="D322207" s="2"/>
      <c r="E322207" s="2"/>
      <c r="F322207" s="2"/>
      <c r="G322207" s="2"/>
      <c r="H322207" s="2"/>
    </row>
    <row r="322456" spans="3:8" ht="15.6" x14ac:dyDescent="0.25">
      <c r="C322456" s="2"/>
      <c r="D322456" s="2"/>
      <c r="E322456" s="2"/>
      <c r="F322456" s="2"/>
      <c r="G322456" s="2"/>
      <c r="H322456" s="2"/>
    </row>
    <row r="322705" spans="3:8" ht="15.6" x14ac:dyDescent="0.25">
      <c r="C322705" s="2"/>
      <c r="D322705" s="2"/>
      <c r="E322705" s="2"/>
      <c r="F322705" s="2"/>
      <c r="G322705" s="2"/>
      <c r="H322705" s="2"/>
    </row>
    <row r="322954" spans="3:8" ht="15.6" x14ac:dyDescent="0.25">
      <c r="C322954" s="2"/>
      <c r="D322954" s="2"/>
      <c r="E322954" s="2"/>
      <c r="F322954" s="2"/>
      <c r="G322954" s="2"/>
      <c r="H322954" s="2"/>
    </row>
    <row r="323203" spans="3:8" ht="15.6" x14ac:dyDescent="0.25">
      <c r="C323203" s="2"/>
      <c r="D323203" s="2"/>
      <c r="E323203" s="2"/>
      <c r="F323203" s="2"/>
      <c r="G323203" s="2"/>
      <c r="H323203" s="2"/>
    </row>
    <row r="323452" spans="3:8" ht="15.6" x14ac:dyDescent="0.25">
      <c r="C323452" s="2"/>
      <c r="D323452" s="2"/>
      <c r="E323452" s="2"/>
      <c r="F323452" s="2"/>
      <c r="G323452" s="2"/>
      <c r="H323452" s="2"/>
    </row>
    <row r="323701" spans="3:8" ht="15.6" x14ac:dyDescent="0.25">
      <c r="C323701" s="2"/>
      <c r="D323701" s="2"/>
      <c r="E323701" s="2"/>
      <c r="F323701" s="2"/>
      <c r="G323701" s="2"/>
      <c r="H323701" s="2"/>
    </row>
    <row r="323950" spans="3:8" ht="15.6" x14ac:dyDescent="0.25">
      <c r="C323950" s="2"/>
      <c r="D323950" s="2"/>
      <c r="E323950" s="2"/>
      <c r="F323950" s="2"/>
      <c r="G323950" s="2"/>
      <c r="H323950" s="2"/>
    </row>
    <row r="324199" spans="3:8" ht="15.6" x14ac:dyDescent="0.25">
      <c r="C324199" s="2"/>
      <c r="D324199" s="2"/>
      <c r="E324199" s="2"/>
      <c r="F324199" s="2"/>
      <c r="G324199" s="2"/>
      <c r="H324199" s="2"/>
    </row>
    <row r="324448" spans="3:8" ht="15.6" x14ac:dyDescent="0.25">
      <c r="C324448" s="2"/>
      <c r="D324448" s="2"/>
      <c r="E324448" s="2"/>
      <c r="F324448" s="2"/>
      <c r="G324448" s="2"/>
      <c r="H324448" s="2"/>
    </row>
    <row r="324697" spans="3:8" ht="15.6" x14ac:dyDescent="0.25">
      <c r="C324697" s="2"/>
      <c r="D324697" s="2"/>
      <c r="E324697" s="2"/>
      <c r="F324697" s="2"/>
      <c r="G324697" s="2"/>
      <c r="H324697" s="2"/>
    </row>
    <row r="324946" spans="3:8" ht="15.6" x14ac:dyDescent="0.25">
      <c r="C324946" s="2"/>
      <c r="D324946" s="2"/>
      <c r="E324946" s="2"/>
      <c r="F324946" s="2"/>
      <c r="G324946" s="2"/>
      <c r="H324946" s="2"/>
    </row>
    <row r="325195" spans="3:8" ht="15.6" x14ac:dyDescent="0.25">
      <c r="C325195" s="2"/>
      <c r="D325195" s="2"/>
      <c r="E325195" s="2"/>
      <c r="F325195" s="2"/>
      <c r="G325195" s="2"/>
      <c r="H325195" s="2"/>
    </row>
    <row r="325444" spans="3:8" ht="15.6" x14ac:dyDescent="0.25">
      <c r="C325444" s="2"/>
      <c r="D325444" s="2"/>
      <c r="E325444" s="2"/>
      <c r="F325444" s="2"/>
      <c r="G325444" s="2"/>
      <c r="H325444" s="2"/>
    </row>
    <row r="325693" spans="3:8" ht="15.6" x14ac:dyDescent="0.25">
      <c r="C325693" s="2"/>
      <c r="D325693" s="2"/>
      <c r="E325693" s="2"/>
      <c r="F325693" s="2"/>
      <c r="G325693" s="2"/>
      <c r="H325693" s="2"/>
    </row>
    <row r="325942" spans="3:8" ht="15.6" x14ac:dyDescent="0.25">
      <c r="C325942" s="2"/>
      <c r="D325942" s="2"/>
      <c r="E325942" s="2"/>
      <c r="F325942" s="2"/>
      <c r="G325942" s="2"/>
      <c r="H325942" s="2"/>
    </row>
    <row r="326191" spans="3:8" ht="15.6" x14ac:dyDescent="0.25">
      <c r="C326191" s="2"/>
      <c r="D326191" s="2"/>
      <c r="E326191" s="2"/>
      <c r="F326191" s="2"/>
      <c r="G326191" s="2"/>
      <c r="H326191" s="2"/>
    </row>
    <row r="326440" spans="3:8" ht="15.6" x14ac:dyDescent="0.25">
      <c r="C326440" s="2"/>
      <c r="D326440" s="2"/>
      <c r="E326440" s="2"/>
      <c r="F326440" s="2"/>
      <c r="G326440" s="2"/>
      <c r="H326440" s="2"/>
    </row>
    <row r="326689" spans="3:8" ht="15.6" x14ac:dyDescent="0.25">
      <c r="C326689" s="2"/>
      <c r="D326689" s="2"/>
      <c r="E326689" s="2"/>
      <c r="F326689" s="2"/>
      <c r="G326689" s="2"/>
      <c r="H326689" s="2"/>
    </row>
    <row r="326938" spans="3:8" ht="15.6" x14ac:dyDescent="0.25">
      <c r="C326938" s="2"/>
      <c r="D326938" s="2"/>
      <c r="E326938" s="2"/>
      <c r="F326938" s="2"/>
      <c r="G326938" s="2"/>
      <c r="H326938" s="2"/>
    </row>
    <row r="327187" spans="3:8" ht="15.6" x14ac:dyDescent="0.25">
      <c r="C327187" s="2"/>
      <c r="D327187" s="2"/>
      <c r="E327187" s="2"/>
      <c r="F327187" s="2"/>
      <c r="G327187" s="2"/>
      <c r="H327187" s="2"/>
    </row>
    <row r="327436" spans="3:8" ht="15.6" x14ac:dyDescent="0.25">
      <c r="C327436" s="2"/>
      <c r="D327436" s="2"/>
      <c r="E327436" s="2"/>
      <c r="F327436" s="2"/>
      <c r="G327436" s="2"/>
      <c r="H327436" s="2"/>
    </row>
    <row r="327685" spans="3:8" ht="15.6" x14ac:dyDescent="0.25">
      <c r="C327685" s="2"/>
      <c r="D327685" s="2"/>
      <c r="E327685" s="2"/>
      <c r="F327685" s="2"/>
      <c r="G327685" s="2"/>
      <c r="H327685" s="2"/>
    </row>
    <row r="327934" spans="3:8" ht="15.6" x14ac:dyDescent="0.25">
      <c r="C327934" s="2"/>
      <c r="D327934" s="2"/>
      <c r="E327934" s="2"/>
      <c r="F327934" s="2"/>
      <c r="G327934" s="2"/>
      <c r="H327934" s="2"/>
    </row>
    <row r="328183" spans="3:8" ht="15.6" x14ac:dyDescent="0.25">
      <c r="C328183" s="2"/>
      <c r="D328183" s="2"/>
      <c r="E328183" s="2"/>
      <c r="F328183" s="2"/>
      <c r="G328183" s="2"/>
      <c r="H328183" s="2"/>
    </row>
    <row r="328432" spans="3:8" ht="15.6" x14ac:dyDescent="0.25">
      <c r="C328432" s="2"/>
      <c r="D328432" s="2"/>
      <c r="E328432" s="2"/>
      <c r="F328432" s="2"/>
      <c r="G328432" s="2"/>
      <c r="H328432" s="2"/>
    </row>
    <row r="328681" spans="3:8" ht="15.6" x14ac:dyDescent="0.25">
      <c r="C328681" s="2"/>
      <c r="D328681" s="2"/>
      <c r="E328681" s="2"/>
      <c r="F328681" s="2"/>
      <c r="G328681" s="2"/>
      <c r="H328681" s="2"/>
    </row>
    <row r="328930" spans="3:8" ht="15.6" x14ac:dyDescent="0.25">
      <c r="C328930" s="2"/>
      <c r="D328930" s="2"/>
      <c r="E328930" s="2"/>
      <c r="F328930" s="2"/>
      <c r="G328930" s="2"/>
      <c r="H328930" s="2"/>
    </row>
    <row r="329179" spans="3:8" ht="15.6" x14ac:dyDescent="0.25">
      <c r="C329179" s="2"/>
      <c r="D329179" s="2"/>
      <c r="E329179" s="2"/>
      <c r="F329179" s="2"/>
      <c r="G329179" s="2"/>
      <c r="H329179" s="2"/>
    </row>
    <row r="329428" spans="3:8" ht="15.6" x14ac:dyDescent="0.25">
      <c r="C329428" s="2"/>
      <c r="D329428" s="2"/>
      <c r="E329428" s="2"/>
      <c r="F329428" s="2"/>
      <c r="G329428" s="2"/>
      <c r="H329428" s="2"/>
    </row>
    <row r="329677" spans="3:8" ht="15.6" x14ac:dyDescent="0.25">
      <c r="C329677" s="2"/>
      <c r="D329677" s="2"/>
      <c r="E329677" s="2"/>
      <c r="F329677" s="2"/>
      <c r="G329677" s="2"/>
      <c r="H329677" s="2"/>
    </row>
    <row r="329926" spans="3:8" ht="15.6" x14ac:dyDescent="0.25">
      <c r="C329926" s="2"/>
      <c r="D329926" s="2"/>
      <c r="E329926" s="2"/>
      <c r="F329926" s="2"/>
      <c r="G329926" s="2"/>
      <c r="H329926" s="2"/>
    </row>
    <row r="330175" spans="3:8" ht="15.6" x14ac:dyDescent="0.25">
      <c r="C330175" s="2"/>
      <c r="D330175" s="2"/>
      <c r="E330175" s="2"/>
      <c r="F330175" s="2"/>
      <c r="G330175" s="2"/>
      <c r="H330175" s="2"/>
    </row>
    <row r="330424" spans="3:8" ht="15.6" x14ac:dyDescent="0.25">
      <c r="C330424" s="2"/>
      <c r="D330424" s="2"/>
      <c r="E330424" s="2"/>
      <c r="F330424" s="2"/>
      <c r="G330424" s="2"/>
      <c r="H330424" s="2"/>
    </row>
    <row r="330673" spans="3:8" ht="15.6" x14ac:dyDescent="0.25">
      <c r="C330673" s="2"/>
      <c r="D330673" s="2"/>
      <c r="E330673" s="2"/>
      <c r="F330673" s="2"/>
      <c r="G330673" s="2"/>
      <c r="H330673" s="2"/>
    </row>
    <row r="330922" spans="3:8" ht="15.6" x14ac:dyDescent="0.25">
      <c r="C330922" s="2"/>
      <c r="D330922" s="2"/>
      <c r="E330922" s="2"/>
      <c r="F330922" s="2"/>
      <c r="G330922" s="2"/>
      <c r="H330922" s="2"/>
    </row>
    <row r="331171" spans="3:8" ht="15.6" x14ac:dyDescent="0.25">
      <c r="C331171" s="2"/>
      <c r="D331171" s="2"/>
      <c r="E331171" s="2"/>
      <c r="F331171" s="2"/>
      <c r="G331171" s="2"/>
      <c r="H331171" s="2"/>
    </row>
    <row r="331420" spans="3:8" ht="15.6" x14ac:dyDescent="0.25">
      <c r="C331420" s="2"/>
      <c r="D331420" s="2"/>
      <c r="E331420" s="2"/>
      <c r="F331420" s="2"/>
      <c r="G331420" s="2"/>
      <c r="H331420" s="2"/>
    </row>
    <row r="331669" spans="3:8" ht="15.6" x14ac:dyDescent="0.25">
      <c r="C331669" s="2"/>
      <c r="D331669" s="2"/>
      <c r="E331669" s="2"/>
      <c r="F331669" s="2"/>
      <c r="G331669" s="2"/>
      <c r="H331669" s="2"/>
    </row>
    <row r="331918" spans="3:8" ht="15.6" x14ac:dyDescent="0.25">
      <c r="C331918" s="2"/>
      <c r="D331918" s="2"/>
      <c r="E331918" s="2"/>
      <c r="F331918" s="2"/>
      <c r="G331918" s="2"/>
      <c r="H331918" s="2"/>
    </row>
    <row r="332167" spans="3:8" ht="15.6" x14ac:dyDescent="0.25">
      <c r="C332167" s="2"/>
      <c r="D332167" s="2"/>
      <c r="E332167" s="2"/>
      <c r="F332167" s="2"/>
      <c r="G332167" s="2"/>
      <c r="H332167" s="2"/>
    </row>
    <row r="332416" spans="3:8" ht="15.6" x14ac:dyDescent="0.25">
      <c r="C332416" s="2"/>
      <c r="D332416" s="2"/>
      <c r="E332416" s="2"/>
      <c r="F332416" s="2"/>
      <c r="G332416" s="2"/>
      <c r="H332416" s="2"/>
    </row>
    <row r="332665" spans="3:8" ht="15.6" x14ac:dyDescent="0.25">
      <c r="C332665" s="2"/>
      <c r="D332665" s="2"/>
      <c r="E332665" s="2"/>
      <c r="F332665" s="2"/>
      <c r="G332665" s="2"/>
      <c r="H332665" s="2"/>
    </row>
    <row r="332914" spans="3:8" ht="15.6" x14ac:dyDescent="0.25">
      <c r="C332914" s="2"/>
      <c r="D332914" s="2"/>
      <c r="E332914" s="2"/>
      <c r="F332914" s="2"/>
      <c r="G332914" s="2"/>
      <c r="H332914" s="2"/>
    </row>
    <row r="333163" spans="3:8" ht="15.6" x14ac:dyDescent="0.25">
      <c r="C333163" s="2"/>
      <c r="D333163" s="2"/>
      <c r="E333163" s="2"/>
      <c r="F333163" s="2"/>
      <c r="G333163" s="2"/>
      <c r="H333163" s="2"/>
    </row>
    <row r="333412" spans="3:8" ht="15.6" x14ac:dyDescent="0.25">
      <c r="C333412" s="2"/>
      <c r="D333412" s="2"/>
      <c r="E333412" s="2"/>
      <c r="F333412" s="2"/>
      <c r="G333412" s="2"/>
      <c r="H333412" s="2"/>
    </row>
    <row r="333661" spans="3:8" ht="15.6" x14ac:dyDescent="0.25">
      <c r="C333661" s="2"/>
      <c r="D333661" s="2"/>
      <c r="E333661" s="2"/>
      <c r="F333661" s="2"/>
      <c r="G333661" s="2"/>
      <c r="H333661" s="2"/>
    </row>
    <row r="333910" spans="3:8" ht="15.6" x14ac:dyDescent="0.25">
      <c r="C333910" s="2"/>
      <c r="D333910" s="2"/>
      <c r="E333910" s="2"/>
      <c r="F333910" s="2"/>
      <c r="G333910" s="2"/>
      <c r="H333910" s="2"/>
    </row>
    <row r="334159" spans="3:8" ht="15.6" x14ac:dyDescent="0.25">
      <c r="C334159" s="2"/>
      <c r="D334159" s="2"/>
      <c r="E334159" s="2"/>
      <c r="F334159" s="2"/>
      <c r="G334159" s="2"/>
      <c r="H334159" s="2"/>
    </row>
    <row r="334408" spans="3:8" ht="15.6" x14ac:dyDescent="0.25">
      <c r="C334408" s="2"/>
      <c r="D334408" s="2"/>
      <c r="E334408" s="2"/>
      <c r="F334408" s="2"/>
      <c r="G334408" s="2"/>
      <c r="H334408" s="2"/>
    </row>
    <row r="334657" spans="3:8" ht="15.6" x14ac:dyDescent="0.25">
      <c r="C334657" s="2"/>
      <c r="D334657" s="2"/>
      <c r="E334657" s="2"/>
      <c r="F334657" s="2"/>
      <c r="G334657" s="2"/>
      <c r="H334657" s="2"/>
    </row>
    <row r="334906" spans="3:8" ht="15.6" x14ac:dyDescent="0.25">
      <c r="C334906" s="2"/>
      <c r="D334906" s="2"/>
      <c r="E334906" s="2"/>
      <c r="F334906" s="2"/>
      <c r="G334906" s="2"/>
      <c r="H334906" s="2"/>
    </row>
    <row r="335155" spans="3:8" ht="15.6" x14ac:dyDescent="0.25">
      <c r="C335155" s="2"/>
      <c r="D335155" s="2"/>
      <c r="E335155" s="2"/>
      <c r="F335155" s="2"/>
      <c r="G335155" s="2"/>
      <c r="H335155" s="2"/>
    </row>
    <row r="335404" spans="3:8" ht="15.6" x14ac:dyDescent="0.25">
      <c r="C335404" s="2"/>
      <c r="D335404" s="2"/>
      <c r="E335404" s="2"/>
      <c r="F335404" s="2"/>
      <c r="G335404" s="2"/>
      <c r="H335404" s="2"/>
    </row>
    <row r="335653" spans="3:8" ht="15.6" x14ac:dyDescent="0.25">
      <c r="C335653" s="2"/>
      <c r="D335653" s="2"/>
      <c r="E335653" s="2"/>
      <c r="F335653" s="2"/>
      <c r="G335653" s="2"/>
      <c r="H335653" s="2"/>
    </row>
    <row r="335902" spans="3:8" ht="15.6" x14ac:dyDescent="0.25">
      <c r="C335902" s="2"/>
      <c r="D335902" s="2"/>
      <c r="E335902" s="2"/>
      <c r="F335902" s="2"/>
      <c r="G335902" s="2"/>
      <c r="H335902" s="2"/>
    </row>
    <row r="336151" spans="3:8" ht="15.6" x14ac:dyDescent="0.25">
      <c r="C336151" s="2"/>
      <c r="D336151" s="2"/>
      <c r="E336151" s="2"/>
      <c r="F336151" s="2"/>
      <c r="G336151" s="2"/>
      <c r="H336151" s="2"/>
    </row>
    <row r="336400" spans="3:8" ht="15.6" x14ac:dyDescent="0.25">
      <c r="C336400" s="2"/>
      <c r="D336400" s="2"/>
      <c r="E336400" s="2"/>
      <c r="F336400" s="2"/>
      <c r="G336400" s="2"/>
      <c r="H336400" s="2"/>
    </row>
    <row r="336649" spans="3:8" ht="15.6" x14ac:dyDescent="0.25">
      <c r="C336649" s="2"/>
      <c r="D336649" s="2"/>
      <c r="E336649" s="2"/>
      <c r="F336649" s="2"/>
      <c r="G336649" s="2"/>
      <c r="H336649" s="2"/>
    </row>
    <row r="336898" spans="3:8" ht="15.6" x14ac:dyDescent="0.25">
      <c r="C336898" s="2"/>
      <c r="D336898" s="2"/>
      <c r="E336898" s="2"/>
      <c r="F336898" s="2"/>
      <c r="G336898" s="2"/>
      <c r="H336898" s="2"/>
    </row>
    <row r="337147" spans="3:8" ht="15.6" x14ac:dyDescent="0.25">
      <c r="C337147" s="2"/>
      <c r="D337147" s="2"/>
      <c r="E337147" s="2"/>
      <c r="F337147" s="2"/>
      <c r="G337147" s="2"/>
      <c r="H337147" s="2"/>
    </row>
    <row r="337396" spans="3:8" ht="15.6" x14ac:dyDescent="0.25">
      <c r="C337396" s="2"/>
      <c r="D337396" s="2"/>
      <c r="E337396" s="2"/>
      <c r="F337396" s="2"/>
      <c r="G337396" s="2"/>
      <c r="H337396" s="2"/>
    </row>
    <row r="337645" spans="3:8" ht="15.6" x14ac:dyDescent="0.25">
      <c r="C337645" s="2"/>
      <c r="D337645" s="2"/>
      <c r="E337645" s="2"/>
      <c r="F337645" s="2"/>
      <c r="G337645" s="2"/>
      <c r="H337645" s="2"/>
    </row>
    <row r="337894" spans="3:8" ht="15.6" x14ac:dyDescent="0.25">
      <c r="C337894" s="2"/>
      <c r="D337894" s="2"/>
      <c r="E337894" s="2"/>
      <c r="F337894" s="2"/>
      <c r="G337894" s="2"/>
      <c r="H337894" s="2"/>
    </row>
    <row r="338143" spans="3:8" ht="15.6" x14ac:dyDescent="0.25">
      <c r="C338143" s="2"/>
      <c r="D338143" s="2"/>
      <c r="E338143" s="2"/>
      <c r="F338143" s="2"/>
      <c r="G338143" s="2"/>
      <c r="H338143" s="2"/>
    </row>
    <row r="338392" spans="3:8" ht="15.6" x14ac:dyDescent="0.25">
      <c r="C338392" s="2"/>
      <c r="D338392" s="2"/>
      <c r="E338392" s="2"/>
      <c r="F338392" s="2"/>
      <c r="G338392" s="2"/>
      <c r="H338392" s="2"/>
    </row>
    <row r="338641" spans="3:8" ht="15.6" x14ac:dyDescent="0.25">
      <c r="C338641" s="2"/>
      <c r="D338641" s="2"/>
      <c r="E338641" s="2"/>
      <c r="F338641" s="2"/>
      <c r="G338641" s="2"/>
      <c r="H338641" s="2"/>
    </row>
    <row r="338890" spans="3:8" ht="15.6" x14ac:dyDescent="0.25">
      <c r="C338890" s="2"/>
      <c r="D338890" s="2"/>
      <c r="E338890" s="2"/>
      <c r="F338890" s="2"/>
      <c r="G338890" s="2"/>
      <c r="H338890" s="2"/>
    </row>
    <row r="339139" spans="3:8" ht="15.6" x14ac:dyDescent="0.25">
      <c r="C339139" s="2"/>
      <c r="D339139" s="2"/>
      <c r="E339139" s="2"/>
      <c r="F339139" s="2"/>
      <c r="G339139" s="2"/>
      <c r="H339139" s="2"/>
    </row>
    <row r="339388" spans="3:8" ht="15.6" x14ac:dyDescent="0.25">
      <c r="C339388" s="2"/>
      <c r="D339388" s="2"/>
      <c r="E339388" s="2"/>
      <c r="F339388" s="2"/>
      <c r="G339388" s="2"/>
      <c r="H339388" s="2"/>
    </row>
    <row r="339637" spans="3:8" ht="15.6" x14ac:dyDescent="0.25">
      <c r="C339637" s="2"/>
      <c r="D339637" s="2"/>
      <c r="E339637" s="2"/>
      <c r="F339637" s="2"/>
      <c r="G339637" s="2"/>
      <c r="H339637" s="2"/>
    </row>
    <row r="339886" spans="3:8" ht="15.6" x14ac:dyDescent="0.25">
      <c r="C339886" s="2"/>
      <c r="D339886" s="2"/>
      <c r="E339886" s="2"/>
      <c r="F339886" s="2"/>
      <c r="G339886" s="2"/>
      <c r="H339886" s="2"/>
    </row>
    <row r="340135" spans="3:8" ht="15.6" x14ac:dyDescent="0.25">
      <c r="C340135" s="2"/>
      <c r="D340135" s="2"/>
      <c r="E340135" s="2"/>
      <c r="F340135" s="2"/>
      <c r="G340135" s="2"/>
      <c r="H340135" s="2"/>
    </row>
    <row r="340384" spans="3:8" ht="15.6" x14ac:dyDescent="0.25">
      <c r="C340384" s="2"/>
      <c r="D340384" s="2"/>
      <c r="E340384" s="2"/>
      <c r="F340384" s="2"/>
      <c r="G340384" s="2"/>
      <c r="H340384" s="2"/>
    </row>
    <row r="340633" spans="3:8" ht="15.6" x14ac:dyDescent="0.25">
      <c r="C340633" s="2"/>
      <c r="D340633" s="2"/>
      <c r="E340633" s="2"/>
      <c r="F340633" s="2"/>
      <c r="G340633" s="2"/>
      <c r="H340633" s="2"/>
    </row>
    <row r="340882" spans="3:8" ht="15.6" x14ac:dyDescent="0.25">
      <c r="C340882" s="2"/>
      <c r="D340882" s="2"/>
      <c r="E340882" s="2"/>
      <c r="F340882" s="2"/>
      <c r="G340882" s="2"/>
      <c r="H340882" s="2"/>
    </row>
    <row r="341131" spans="3:8" ht="15.6" x14ac:dyDescent="0.25">
      <c r="C341131" s="2"/>
      <c r="D341131" s="2"/>
      <c r="E341131" s="2"/>
      <c r="F341131" s="2"/>
      <c r="G341131" s="2"/>
      <c r="H341131" s="2"/>
    </row>
    <row r="341380" spans="3:8" ht="15.6" x14ac:dyDescent="0.25">
      <c r="C341380" s="2"/>
      <c r="D341380" s="2"/>
      <c r="E341380" s="2"/>
      <c r="F341380" s="2"/>
      <c r="G341380" s="2"/>
      <c r="H341380" s="2"/>
    </row>
    <row r="341629" spans="3:8" ht="15.6" x14ac:dyDescent="0.25">
      <c r="C341629" s="2"/>
      <c r="D341629" s="2"/>
      <c r="E341629" s="2"/>
      <c r="F341629" s="2"/>
      <c r="G341629" s="2"/>
      <c r="H341629" s="2"/>
    </row>
    <row r="341878" spans="3:8" ht="15.6" x14ac:dyDescent="0.25">
      <c r="C341878" s="2"/>
      <c r="D341878" s="2"/>
      <c r="E341878" s="2"/>
      <c r="F341878" s="2"/>
      <c r="G341878" s="2"/>
      <c r="H341878" s="2"/>
    </row>
    <row r="342127" spans="3:8" ht="15.6" x14ac:dyDescent="0.25">
      <c r="C342127" s="2"/>
      <c r="D342127" s="2"/>
      <c r="E342127" s="2"/>
      <c r="F342127" s="2"/>
      <c r="G342127" s="2"/>
      <c r="H342127" s="2"/>
    </row>
    <row r="342376" spans="3:8" ht="15.6" x14ac:dyDescent="0.25">
      <c r="C342376" s="2"/>
      <c r="D342376" s="2"/>
      <c r="E342376" s="2"/>
      <c r="F342376" s="2"/>
      <c r="G342376" s="2"/>
      <c r="H342376" s="2"/>
    </row>
    <row r="342625" spans="3:8" ht="15.6" x14ac:dyDescent="0.25">
      <c r="C342625" s="2"/>
      <c r="D342625" s="2"/>
      <c r="E342625" s="2"/>
      <c r="F342625" s="2"/>
      <c r="G342625" s="2"/>
      <c r="H342625" s="2"/>
    </row>
    <row r="342874" spans="3:8" ht="15.6" x14ac:dyDescent="0.25">
      <c r="C342874" s="2"/>
      <c r="D342874" s="2"/>
      <c r="E342874" s="2"/>
      <c r="F342874" s="2"/>
      <c r="G342874" s="2"/>
      <c r="H342874" s="2"/>
    </row>
    <row r="343123" spans="3:8" ht="15.6" x14ac:dyDescent="0.25">
      <c r="C343123" s="2"/>
      <c r="D343123" s="2"/>
      <c r="E343123" s="2"/>
      <c r="F343123" s="2"/>
      <c r="G343123" s="2"/>
      <c r="H343123" s="2"/>
    </row>
    <row r="343372" spans="3:8" ht="15.6" x14ac:dyDescent="0.25">
      <c r="C343372" s="2"/>
      <c r="D343372" s="2"/>
      <c r="E343372" s="2"/>
      <c r="F343372" s="2"/>
      <c r="G343372" s="2"/>
      <c r="H343372" s="2"/>
    </row>
    <row r="343621" spans="3:8" ht="15.6" x14ac:dyDescent="0.25">
      <c r="C343621" s="2"/>
      <c r="D343621" s="2"/>
      <c r="E343621" s="2"/>
      <c r="F343621" s="2"/>
      <c r="G343621" s="2"/>
      <c r="H343621" s="2"/>
    </row>
    <row r="343870" spans="3:8" ht="15.6" x14ac:dyDescent="0.25">
      <c r="C343870" s="2"/>
      <c r="D343870" s="2"/>
      <c r="E343870" s="2"/>
      <c r="F343870" s="2"/>
      <c r="G343870" s="2"/>
      <c r="H343870" s="2"/>
    </row>
    <row r="344119" spans="3:8" ht="15.6" x14ac:dyDescent="0.25">
      <c r="C344119" s="2"/>
      <c r="D344119" s="2"/>
      <c r="E344119" s="2"/>
      <c r="F344119" s="2"/>
      <c r="G344119" s="2"/>
      <c r="H344119" s="2"/>
    </row>
    <row r="344368" spans="3:8" ht="15.6" x14ac:dyDescent="0.25">
      <c r="C344368" s="2"/>
      <c r="D344368" s="2"/>
      <c r="E344368" s="2"/>
      <c r="F344368" s="2"/>
      <c r="G344368" s="2"/>
      <c r="H344368" s="2"/>
    </row>
    <row r="344617" spans="3:8" ht="15.6" x14ac:dyDescent="0.25">
      <c r="C344617" s="2"/>
      <c r="D344617" s="2"/>
      <c r="E344617" s="2"/>
      <c r="F344617" s="2"/>
      <c r="G344617" s="2"/>
      <c r="H344617" s="2"/>
    </row>
    <row r="344866" spans="3:8" ht="15.6" x14ac:dyDescent="0.25">
      <c r="C344866" s="2"/>
      <c r="D344866" s="2"/>
      <c r="E344866" s="2"/>
      <c r="F344866" s="2"/>
      <c r="G344866" s="2"/>
      <c r="H344866" s="2"/>
    </row>
    <row r="345115" spans="3:8" ht="15.6" x14ac:dyDescent="0.25">
      <c r="C345115" s="2"/>
      <c r="D345115" s="2"/>
      <c r="E345115" s="2"/>
      <c r="F345115" s="2"/>
      <c r="G345115" s="2"/>
      <c r="H345115" s="2"/>
    </row>
    <row r="345364" spans="3:8" ht="15.6" x14ac:dyDescent="0.25">
      <c r="C345364" s="2"/>
      <c r="D345364" s="2"/>
      <c r="E345364" s="2"/>
      <c r="F345364" s="2"/>
      <c r="G345364" s="2"/>
      <c r="H345364" s="2"/>
    </row>
    <row r="345613" spans="3:8" ht="15.6" x14ac:dyDescent="0.25">
      <c r="C345613" s="2"/>
      <c r="D345613" s="2"/>
      <c r="E345613" s="2"/>
      <c r="F345613" s="2"/>
      <c r="G345613" s="2"/>
      <c r="H345613" s="2"/>
    </row>
    <row r="345862" spans="3:8" ht="15.6" x14ac:dyDescent="0.25">
      <c r="C345862" s="2"/>
      <c r="D345862" s="2"/>
      <c r="E345862" s="2"/>
      <c r="F345862" s="2"/>
      <c r="G345862" s="2"/>
      <c r="H345862" s="2"/>
    </row>
    <row r="346111" spans="3:8" ht="15.6" x14ac:dyDescent="0.25">
      <c r="C346111" s="2"/>
      <c r="D346111" s="2"/>
      <c r="E346111" s="2"/>
      <c r="F346111" s="2"/>
      <c r="G346111" s="2"/>
      <c r="H346111" s="2"/>
    </row>
    <row r="346360" spans="3:8" ht="15.6" x14ac:dyDescent="0.25">
      <c r="C346360" s="2"/>
      <c r="D346360" s="2"/>
      <c r="E346360" s="2"/>
      <c r="F346360" s="2"/>
      <c r="G346360" s="2"/>
      <c r="H346360" s="2"/>
    </row>
    <row r="346609" spans="3:8" ht="15.6" x14ac:dyDescent="0.25">
      <c r="C346609" s="2"/>
      <c r="D346609" s="2"/>
      <c r="E346609" s="2"/>
      <c r="F346609" s="2"/>
      <c r="G346609" s="2"/>
      <c r="H346609" s="2"/>
    </row>
    <row r="346858" spans="3:8" ht="15.6" x14ac:dyDescent="0.25">
      <c r="C346858" s="2"/>
      <c r="D346858" s="2"/>
      <c r="E346858" s="2"/>
      <c r="F346858" s="2"/>
      <c r="G346858" s="2"/>
      <c r="H346858" s="2"/>
    </row>
    <row r="347107" spans="3:8" ht="15.6" x14ac:dyDescent="0.25">
      <c r="C347107" s="2"/>
      <c r="D347107" s="2"/>
      <c r="E347107" s="2"/>
      <c r="F347107" s="2"/>
      <c r="G347107" s="2"/>
      <c r="H347107" s="2"/>
    </row>
    <row r="347356" spans="3:8" ht="15.6" x14ac:dyDescent="0.25">
      <c r="C347356" s="2"/>
      <c r="D347356" s="2"/>
      <c r="E347356" s="2"/>
      <c r="F347356" s="2"/>
      <c r="G347356" s="2"/>
      <c r="H347356" s="2"/>
    </row>
    <row r="347605" spans="3:8" ht="15.6" x14ac:dyDescent="0.25">
      <c r="C347605" s="2"/>
      <c r="D347605" s="2"/>
      <c r="E347605" s="2"/>
      <c r="F347605" s="2"/>
      <c r="G347605" s="2"/>
      <c r="H347605" s="2"/>
    </row>
    <row r="347854" spans="3:8" ht="15.6" x14ac:dyDescent="0.25">
      <c r="C347854" s="2"/>
      <c r="D347854" s="2"/>
      <c r="E347854" s="2"/>
      <c r="F347854" s="2"/>
      <c r="G347854" s="2"/>
      <c r="H347854" s="2"/>
    </row>
    <row r="348103" spans="3:8" ht="15.6" x14ac:dyDescent="0.25">
      <c r="C348103" s="2"/>
      <c r="D348103" s="2"/>
      <c r="E348103" s="2"/>
      <c r="F348103" s="2"/>
      <c r="G348103" s="2"/>
      <c r="H348103" s="2"/>
    </row>
    <row r="348352" spans="3:8" ht="15.6" x14ac:dyDescent="0.25">
      <c r="C348352" s="2"/>
      <c r="D348352" s="2"/>
      <c r="E348352" s="2"/>
      <c r="F348352" s="2"/>
      <c r="G348352" s="2"/>
      <c r="H348352" s="2"/>
    </row>
    <row r="348601" spans="3:8" ht="15.6" x14ac:dyDescent="0.25">
      <c r="C348601" s="2"/>
      <c r="D348601" s="2"/>
      <c r="E348601" s="2"/>
      <c r="F348601" s="2"/>
      <c r="G348601" s="2"/>
      <c r="H348601" s="2"/>
    </row>
    <row r="348850" spans="3:8" ht="15.6" x14ac:dyDescent="0.25">
      <c r="C348850" s="2"/>
      <c r="D348850" s="2"/>
      <c r="E348850" s="2"/>
      <c r="F348850" s="2"/>
      <c r="G348850" s="2"/>
      <c r="H348850" s="2"/>
    </row>
    <row r="349099" spans="3:8" ht="15.6" x14ac:dyDescent="0.25">
      <c r="C349099" s="2"/>
      <c r="D349099" s="2"/>
      <c r="E349099" s="2"/>
      <c r="F349099" s="2"/>
      <c r="G349099" s="2"/>
      <c r="H349099" s="2"/>
    </row>
    <row r="349348" spans="3:8" ht="15.6" x14ac:dyDescent="0.25">
      <c r="C349348" s="2"/>
      <c r="D349348" s="2"/>
      <c r="E349348" s="2"/>
      <c r="F349348" s="2"/>
      <c r="G349348" s="2"/>
      <c r="H349348" s="2"/>
    </row>
    <row r="349597" spans="3:8" ht="15.6" x14ac:dyDescent="0.25">
      <c r="C349597" s="2"/>
      <c r="D349597" s="2"/>
      <c r="E349597" s="2"/>
      <c r="F349597" s="2"/>
      <c r="G349597" s="2"/>
      <c r="H349597" s="2"/>
    </row>
    <row r="349846" spans="3:8" ht="15.6" x14ac:dyDescent="0.25">
      <c r="C349846" s="2"/>
      <c r="D349846" s="2"/>
      <c r="E349846" s="2"/>
      <c r="F349846" s="2"/>
      <c r="G349846" s="2"/>
      <c r="H349846" s="2"/>
    </row>
    <row r="350095" spans="3:8" ht="15.6" x14ac:dyDescent="0.25">
      <c r="C350095" s="2"/>
      <c r="D350095" s="2"/>
      <c r="E350095" s="2"/>
      <c r="F350095" s="2"/>
      <c r="G350095" s="2"/>
      <c r="H350095" s="2"/>
    </row>
    <row r="350344" spans="3:8" ht="15.6" x14ac:dyDescent="0.25">
      <c r="C350344" s="2"/>
      <c r="D350344" s="2"/>
      <c r="E350344" s="2"/>
      <c r="F350344" s="2"/>
      <c r="G350344" s="2"/>
      <c r="H350344" s="2"/>
    </row>
    <row r="350593" spans="3:8" ht="15.6" x14ac:dyDescent="0.25">
      <c r="C350593" s="2"/>
      <c r="D350593" s="2"/>
      <c r="E350593" s="2"/>
      <c r="F350593" s="2"/>
      <c r="G350593" s="2"/>
      <c r="H350593" s="2"/>
    </row>
    <row r="350842" spans="3:8" ht="15.6" x14ac:dyDescent="0.25">
      <c r="C350842" s="2"/>
      <c r="D350842" s="2"/>
      <c r="E350842" s="2"/>
      <c r="F350842" s="2"/>
      <c r="G350842" s="2"/>
      <c r="H350842" s="2"/>
    </row>
    <row r="351091" spans="3:8" ht="15.6" x14ac:dyDescent="0.25">
      <c r="C351091" s="2"/>
      <c r="D351091" s="2"/>
      <c r="E351091" s="2"/>
      <c r="F351091" s="2"/>
      <c r="G351091" s="2"/>
      <c r="H351091" s="2"/>
    </row>
    <row r="351340" spans="3:8" ht="15.6" x14ac:dyDescent="0.25">
      <c r="C351340" s="2"/>
      <c r="D351340" s="2"/>
      <c r="E351340" s="2"/>
      <c r="F351340" s="2"/>
      <c r="G351340" s="2"/>
      <c r="H351340" s="2"/>
    </row>
    <row r="351589" spans="3:8" ht="15.6" x14ac:dyDescent="0.25">
      <c r="C351589" s="2"/>
      <c r="D351589" s="2"/>
      <c r="E351589" s="2"/>
      <c r="F351589" s="2"/>
      <c r="G351589" s="2"/>
      <c r="H351589" s="2"/>
    </row>
    <row r="351838" spans="3:8" ht="15.6" x14ac:dyDescent="0.25">
      <c r="C351838" s="2"/>
      <c r="D351838" s="2"/>
      <c r="E351838" s="2"/>
      <c r="F351838" s="2"/>
      <c r="G351838" s="2"/>
      <c r="H351838" s="2"/>
    </row>
    <row r="352087" spans="3:8" ht="15.6" x14ac:dyDescent="0.25">
      <c r="C352087" s="2"/>
      <c r="D352087" s="2"/>
      <c r="E352087" s="2"/>
      <c r="F352087" s="2"/>
      <c r="G352087" s="2"/>
      <c r="H352087" s="2"/>
    </row>
    <row r="352336" spans="3:8" ht="15.6" x14ac:dyDescent="0.25">
      <c r="C352336" s="2"/>
      <c r="D352336" s="2"/>
      <c r="E352336" s="2"/>
      <c r="F352336" s="2"/>
      <c r="G352336" s="2"/>
      <c r="H352336" s="2"/>
    </row>
    <row r="352585" spans="3:8" ht="15.6" x14ac:dyDescent="0.25">
      <c r="C352585" s="2"/>
      <c r="D352585" s="2"/>
      <c r="E352585" s="2"/>
      <c r="F352585" s="2"/>
      <c r="G352585" s="2"/>
      <c r="H352585" s="2"/>
    </row>
    <row r="352834" spans="3:8" ht="15.6" x14ac:dyDescent="0.25">
      <c r="C352834" s="2"/>
      <c r="D352834" s="2"/>
      <c r="E352834" s="2"/>
      <c r="F352834" s="2"/>
      <c r="G352834" s="2"/>
      <c r="H352834" s="2"/>
    </row>
    <row r="353083" spans="3:8" ht="15.6" x14ac:dyDescent="0.25">
      <c r="C353083" s="2"/>
      <c r="D353083" s="2"/>
      <c r="E353083" s="2"/>
      <c r="F353083" s="2"/>
      <c r="G353083" s="2"/>
      <c r="H353083" s="2"/>
    </row>
    <row r="353332" spans="3:8" ht="15.6" x14ac:dyDescent="0.25">
      <c r="C353332" s="2"/>
      <c r="D353332" s="2"/>
      <c r="E353332" s="2"/>
      <c r="F353332" s="2"/>
      <c r="G353332" s="2"/>
      <c r="H353332" s="2"/>
    </row>
    <row r="353581" spans="3:8" ht="15.6" x14ac:dyDescent="0.25">
      <c r="C353581" s="2"/>
      <c r="D353581" s="2"/>
      <c r="E353581" s="2"/>
      <c r="F353581" s="2"/>
      <c r="G353581" s="2"/>
      <c r="H353581" s="2"/>
    </row>
    <row r="353830" spans="3:8" ht="15.6" x14ac:dyDescent="0.25">
      <c r="C353830" s="2"/>
      <c r="D353830" s="2"/>
      <c r="E353830" s="2"/>
      <c r="F353830" s="2"/>
      <c r="G353830" s="2"/>
      <c r="H353830" s="2"/>
    </row>
    <row r="354079" spans="3:8" ht="15.6" x14ac:dyDescent="0.25">
      <c r="C354079" s="2"/>
      <c r="D354079" s="2"/>
      <c r="E354079" s="2"/>
      <c r="F354079" s="2"/>
      <c r="G354079" s="2"/>
      <c r="H354079" s="2"/>
    </row>
    <row r="354328" spans="3:8" ht="15.6" x14ac:dyDescent="0.25">
      <c r="C354328" s="2"/>
      <c r="D354328" s="2"/>
      <c r="E354328" s="2"/>
      <c r="F354328" s="2"/>
      <c r="G354328" s="2"/>
      <c r="H354328" s="2"/>
    </row>
    <row r="354577" spans="3:8" ht="15.6" x14ac:dyDescent="0.25">
      <c r="C354577" s="2"/>
      <c r="D354577" s="2"/>
      <c r="E354577" s="2"/>
      <c r="F354577" s="2"/>
      <c r="G354577" s="2"/>
      <c r="H354577" s="2"/>
    </row>
    <row r="354826" spans="3:8" ht="15.6" x14ac:dyDescent="0.25">
      <c r="C354826" s="2"/>
      <c r="D354826" s="2"/>
      <c r="E354826" s="2"/>
      <c r="F354826" s="2"/>
      <c r="G354826" s="2"/>
      <c r="H354826" s="2"/>
    </row>
    <row r="355075" spans="3:8" ht="15.6" x14ac:dyDescent="0.25">
      <c r="C355075" s="2"/>
      <c r="D355075" s="2"/>
      <c r="E355075" s="2"/>
      <c r="F355075" s="2"/>
      <c r="G355075" s="2"/>
      <c r="H355075" s="2"/>
    </row>
    <row r="355324" spans="3:8" ht="15.6" x14ac:dyDescent="0.25">
      <c r="C355324" s="2"/>
      <c r="D355324" s="2"/>
      <c r="E355324" s="2"/>
      <c r="F355324" s="2"/>
      <c r="G355324" s="2"/>
      <c r="H355324" s="2"/>
    </row>
    <row r="355573" spans="3:8" ht="15.6" x14ac:dyDescent="0.25">
      <c r="C355573" s="2"/>
      <c r="D355573" s="2"/>
      <c r="E355573" s="2"/>
      <c r="F355573" s="2"/>
      <c r="G355573" s="2"/>
      <c r="H355573" s="2"/>
    </row>
    <row r="355822" spans="3:8" ht="15.6" x14ac:dyDescent="0.25">
      <c r="C355822" s="2"/>
      <c r="D355822" s="2"/>
      <c r="E355822" s="2"/>
      <c r="F355822" s="2"/>
      <c r="G355822" s="2"/>
      <c r="H355822" s="2"/>
    </row>
    <row r="356071" spans="3:8" ht="15.6" x14ac:dyDescent="0.25">
      <c r="C356071" s="2"/>
      <c r="D356071" s="2"/>
      <c r="E356071" s="2"/>
      <c r="F356071" s="2"/>
      <c r="G356071" s="2"/>
      <c r="H356071" s="2"/>
    </row>
    <row r="356320" spans="3:8" ht="15.6" x14ac:dyDescent="0.25">
      <c r="C356320" s="2"/>
      <c r="D356320" s="2"/>
      <c r="E356320" s="2"/>
      <c r="F356320" s="2"/>
      <c r="G356320" s="2"/>
      <c r="H356320" s="2"/>
    </row>
    <row r="356569" spans="3:8" ht="15.6" x14ac:dyDescent="0.25">
      <c r="C356569" s="2"/>
      <c r="D356569" s="2"/>
      <c r="E356569" s="2"/>
      <c r="F356569" s="2"/>
      <c r="G356569" s="2"/>
      <c r="H356569" s="2"/>
    </row>
    <row r="356818" spans="3:8" ht="15.6" x14ac:dyDescent="0.25">
      <c r="C356818" s="2"/>
      <c r="D356818" s="2"/>
      <c r="E356818" s="2"/>
      <c r="F356818" s="2"/>
      <c r="G356818" s="2"/>
      <c r="H356818" s="2"/>
    </row>
    <row r="357067" spans="3:8" ht="15.6" x14ac:dyDescent="0.25">
      <c r="C357067" s="2"/>
      <c r="D357067" s="2"/>
      <c r="E357067" s="2"/>
      <c r="F357067" s="2"/>
      <c r="G357067" s="2"/>
      <c r="H357067" s="2"/>
    </row>
    <row r="357316" spans="3:8" ht="15.6" x14ac:dyDescent="0.25">
      <c r="C357316" s="2"/>
      <c r="D357316" s="2"/>
      <c r="E357316" s="2"/>
      <c r="F357316" s="2"/>
      <c r="G357316" s="2"/>
      <c r="H357316" s="2"/>
    </row>
    <row r="357565" spans="3:8" ht="15.6" x14ac:dyDescent="0.25">
      <c r="C357565" s="2"/>
      <c r="D357565" s="2"/>
      <c r="E357565" s="2"/>
      <c r="F357565" s="2"/>
      <c r="G357565" s="2"/>
      <c r="H357565" s="2"/>
    </row>
    <row r="357814" spans="3:8" ht="15.6" x14ac:dyDescent="0.25">
      <c r="C357814" s="2"/>
      <c r="D357814" s="2"/>
      <c r="E357814" s="2"/>
      <c r="F357814" s="2"/>
      <c r="G357814" s="2"/>
      <c r="H357814" s="2"/>
    </row>
    <row r="358063" spans="3:8" ht="15.6" x14ac:dyDescent="0.25">
      <c r="C358063" s="2"/>
      <c r="D358063" s="2"/>
      <c r="E358063" s="2"/>
      <c r="F358063" s="2"/>
      <c r="G358063" s="2"/>
      <c r="H358063" s="2"/>
    </row>
    <row r="358312" spans="3:8" ht="15.6" x14ac:dyDescent="0.25">
      <c r="C358312" s="2"/>
      <c r="D358312" s="2"/>
      <c r="E358312" s="2"/>
      <c r="F358312" s="2"/>
      <c r="G358312" s="2"/>
      <c r="H358312" s="2"/>
    </row>
    <row r="358561" spans="3:8" ht="15.6" x14ac:dyDescent="0.25">
      <c r="C358561" s="2"/>
      <c r="D358561" s="2"/>
      <c r="E358561" s="2"/>
      <c r="F358561" s="2"/>
      <c r="G358561" s="2"/>
      <c r="H358561" s="2"/>
    </row>
    <row r="358810" spans="3:8" ht="15.6" x14ac:dyDescent="0.25">
      <c r="C358810" s="2"/>
      <c r="D358810" s="2"/>
      <c r="E358810" s="2"/>
      <c r="F358810" s="2"/>
      <c r="G358810" s="2"/>
      <c r="H358810" s="2"/>
    </row>
    <row r="359059" spans="3:8" ht="15.6" x14ac:dyDescent="0.25">
      <c r="C359059" s="2"/>
      <c r="D359059" s="2"/>
      <c r="E359059" s="2"/>
      <c r="F359059" s="2"/>
      <c r="G359059" s="2"/>
      <c r="H359059" s="2"/>
    </row>
    <row r="359308" spans="3:8" ht="15.6" x14ac:dyDescent="0.25">
      <c r="C359308" s="2"/>
      <c r="D359308" s="2"/>
      <c r="E359308" s="2"/>
      <c r="F359308" s="2"/>
      <c r="G359308" s="2"/>
      <c r="H359308" s="2"/>
    </row>
    <row r="359557" spans="3:8" ht="15.6" x14ac:dyDescent="0.25">
      <c r="C359557" s="2"/>
      <c r="D359557" s="2"/>
      <c r="E359557" s="2"/>
      <c r="F359557" s="2"/>
      <c r="G359557" s="2"/>
      <c r="H359557" s="2"/>
    </row>
    <row r="359806" spans="3:8" ht="15.6" x14ac:dyDescent="0.25">
      <c r="C359806" s="2"/>
      <c r="D359806" s="2"/>
      <c r="E359806" s="2"/>
      <c r="F359806" s="2"/>
      <c r="G359806" s="2"/>
      <c r="H359806" s="2"/>
    </row>
    <row r="360055" spans="3:8" ht="15.6" x14ac:dyDescent="0.25">
      <c r="C360055" s="2"/>
      <c r="D360055" s="2"/>
      <c r="E360055" s="2"/>
      <c r="F360055" s="2"/>
      <c r="G360055" s="2"/>
      <c r="H360055" s="2"/>
    </row>
    <row r="360304" spans="3:8" ht="15.6" x14ac:dyDescent="0.25">
      <c r="C360304" s="2"/>
      <c r="D360304" s="2"/>
      <c r="E360304" s="2"/>
      <c r="F360304" s="2"/>
      <c r="G360304" s="2"/>
      <c r="H360304" s="2"/>
    </row>
    <row r="360553" spans="3:8" ht="15.6" x14ac:dyDescent="0.25">
      <c r="C360553" s="2"/>
      <c r="D360553" s="2"/>
      <c r="E360553" s="2"/>
      <c r="F360553" s="2"/>
      <c r="G360553" s="2"/>
      <c r="H360553" s="2"/>
    </row>
    <row r="360802" spans="3:8" ht="15.6" x14ac:dyDescent="0.25">
      <c r="C360802" s="2"/>
      <c r="D360802" s="2"/>
      <c r="E360802" s="2"/>
      <c r="F360802" s="2"/>
      <c r="G360802" s="2"/>
      <c r="H360802" s="2"/>
    </row>
    <row r="361051" spans="3:8" ht="15.6" x14ac:dyDescent="0.25">
      <c r="C361051" s="2"/>
      <c r="D361051" s="2"/>
      <c r="E361051" s="2"/>
      <c r="F361051" s="2"/>
      <c r="G361051" s="2"/>
      <c r="H361051" s="2"/>
    </row>
    <row r="361300" spans="3:8" ht="15.6" x14ac:dyDescent="0.25">
      <c r="C361300" s="2"/>
      <c r="D361300" s="2"/>
      <c r="E361300" s="2"/>
      <c r="F361300" s="2"/>
      <c r="G361300" s="2"/>
      <c r="H361300" s="2"/>
    </row>
    <row r="361549" spans="3:8" ht="15.6" x14ac:dyDescent="0.25">
      <c r="C361549" s="2"/>
      <c r="D361549" s="2"/>
      <c r="E361549" s="2"/>
      <c r="F361549" s="2"/>
      <c r="G361549" s="2"/>
      <c r="H361549" s="2"/>
    </row>
    <row r="361798" spans="3:8" ht="15.6" x14ac:dyDescent="0.25">
      <c r="C361798" s="2"/>
      <c r="D361798" s="2"/>
      <c r="E361798" s="2"/>
      <c r="F361798" s="2"/>
      <c r="G361798" s="2"/>
      <c r="H361798" s="2"/>
    </row>
    <row r="362047" spans="3:8" ht="15.6" x14ac:dyDescent="0.25">
      <c r="C362047" s="2"/>
      <c r="D362047" s="2"/>
      <c r="E362047" s="2"/>
      <c r="F362047" s="2"/>
      <c r="G362047" s="2"/>
      <c r="H362047" s="2"/>
    </row>
    <row r="362296" spans="3:8" ht="15.6" x14ac:dyDescent="0.25">
      <c r="C362296" s="2"/>
      <c r="D362296" s="2"/>
      <c r="E362296" s="2"/>
      <c r="F362296" s="2"/>
      <c r="G362296" s="2"/>
      <c r="H362296" s="2"/>
    </row>
    <row r="362545" spans="3:8" ht="15.6" x14ac:dyDescent="0.25">
      <c r="C362545" s="2"/>
      <c r="D362545" s="2"/>
      <c r="E362545" s="2"/>
      <c r="F362545" s="2"/>
      <c r="G362545" s="2"/>
      <c r="H362545" s="2"/>
    </row>
    <row r="362794" spans="3:8" ht="15.6" x14ac:dyDescent="0.25">
      <c r="C362794" s="2"/>
      <c r="D362794" s="2"/>
      <c r="E362794" s="2"/>
      <c r="F362794" s="2"/>
      <c r="G362794" s="2"/>
      <c r="H362794" s="2"/>
    </row>
    <row r="363043" spans="3:8" ht="15.6" x14ac:dyDescent="0.25">
      <c r="C363043" s="2"/>
      <c r="D363043" s="2"/>
      <c r="E363043" s="2"/>
      <c r="F363043" s="2"/>
      <c r="G363043" s="2"/>
      <c r="H363043" s="2"/>
    </row>
    <row r="363292" spans="3:8" ht="15.6" x14ac:dyDescent="0.25">
      <c r="C363292" s="2"/>
      <c r="D363292" s="2"/>
      <c r="E363292" s="2"/>
      <c r="F363292" s="2"/>
      <c r="G363292" s="2"/>
      <c r="H363292" s="2"/>
    </row>
    <row r="363541" spans="3:8" ht="15.6" x14ac:dyDescent="0.25">
      <c r="C363541" s="2"/>
      <c r="D363541" s="2"/>
      <c r="E363541" s="2"/>
      <c r="F363541" s="2"/>
      <c r="G363541" s="2"/>
      <c r="H363541" s="2"/>
    </row>
    <row r="363790" spans="3:8" ht="15.6" x14ac:dyDescent="0.25">
      <c r="C363790" s="2"/>
      <c r="D363790" s="2"/>
      <c r="E363790" s="2"/>
      <c r="F363790" s="2"/>
      <c r="G363790" s="2"/>
      <c r="H363790" s="2"/>
    </row>
    <row r="364039" spans="3:8" ht="15.6" x14ac:dyDescent="0.25">
      <c r="C364039" s="2"/>
      <c r="D364039" s="2"/>
      <c r="E364039" s="2"/>
      <c r="F364039" s="2"/>
      <c r="G364039" s="2"/>
      <c r="H364039" s="2"/>
    </row>
    <row r="364288" spans="3:8" ht="15.6" x14ac:dyDescent="0.25">
      <c r="C364288" s="2"/>
      <c r="D364288" s="2"/>
      <c r="E364288" s="2"/>
      <c r="F364288" s="2"/>
      <c r="G364288" s="2"/>
      <c r="H364288" s="2"/>
    </row>
    <row r="364537" spans="3:8" ht="15.6" x14ac:dyDescent="0.25">
      <c r="C364537" s="2"/>
      <c r="D364537" s="2"/>
      <c r="E364537" s="2"/>
      <c r="F364537" s="2"/>
      <c r="G364537" s="2"/>
      <c r="H364537" s="2"/>
    </row>
    <row r="364786" spans="3:8" ht="15.6" x14ac:dyDescent="0.25">
      <c r="C364786" s="2"/>
      <c r="D364786" s="2"/>
      <c r="E364786" s="2"/>
      <c r="F364786" s="2"/>
      <c r="G364786" s="2"/>
      <c r="H364786" s="2"/>
    </row>
    <row r="365035" spans="3:8" ht="15.6" x14ac:dyDescent="0.25">
      <c r="C365035" s="2"/>
      <c r="D365035" s="2"/>
      <c r="E365035" s="2"/>
      <c r="F365035" s="2"/>
      <c r="G365035" s="2"/>
      <c r="H365035" s="2"/>
    </row>
    <row r="365284" spans="3:8" ht="15.6" x14ac:dyDescent="0.25">
      <c r="C365284" s="2"/>
      <c r="D365284" s="2"/>
      <c r="E365284" s="2"/>
      <c r="F365284" s="2"/>
      <c r="G365284" s="2"/>
      <c r="H365284" s="2"/>
    </row>
    <row r="365533" spans="3:8" ht="15.6" x14ac:dyDescent="0.25">
      <c r="C365533" s="2"/>
      <c r="D365533" s="2"/>
      <c r="E365533" s="2"/>
      <c r="F365533" s="2"/>
      <c r="G365533" s="2"/>
      <c r="H365533" s="2"/>
    </row>
    <row r="365782" spans="3:8" ht="15.6" x14ac:dyDescent="0.25">
      <c r="C365782" s="2"/>
      <c r="D365782" s="2"/>
      <c r="E365782" s="2"/>
      <c r="F365782" s="2"/>
      <c r="G365782" s="2"/>
      <c r="H365782" s="2"/>
    </row>
    <row r="366031" spans="3:8" ht="15.6" x14ac:dyDescent="0.25">
      <c r="C366031" s="2"/>
      <c r="D366031" s="2"/>
      <c r="E366031" s="2"/>
      <c r="F366031" s="2"/>
      <c r="G366031" s="2"/>
      <c r="H366031" s="2"/>
    </row>
    <row r="366280" spans="3:8" ht="15.6" x14ac:dyDescent="0.25">
      <c r="C366280" s="2"/>
      <c r="D366280" s="2"/>
      <c r="E366280" s="2"/>
      <c r="F366280" s="2"/>
      <c r="G366280" s="2"/>
      <c r="H366280" s="2"/>
    </row>
    <row r="366529" spans="3:8" ht="15.6" x14ac:dyDescent="0.25">
      <c r="C366529" s="2"/>
      <c r="D366529" s="2"/>
      <c r="E366529" s="2"/>
      <c r="F366529" s="2"/>
      <c r="G366529" s="2"/>
      <c r="H366529" s="2"/>
    </row>
    <row r="366778" spans="3:8" ht="15.6" x14ac:dyDescent="0.25">
      <c r="C366778" s="2"/>
      <c r="D366778" s="2"/>
      <c r="E366778" s="2"/>
      <c r="F366778" s="2"/>
      <c r="G366778" s="2"/>
      <c r="H366778" s="2"/>
    </row>
    <row r="367027" spans="3:8" ht="15.6" x14ac:dyDescent="0.25">
      <c r="C367027" s="2"/>
      <c r="D367027" s="2"/>
      <c r="E367027" s="2"/>
      <c r="F367027" s="2"/>
      <c r="G367027" s="2"/>
      <c r="H367027" s="2"/>
    </row>
    <row r="367276" spans="3:8" ht="15.6" x14ac:dyDescent="0.25">
      <c r="C367276" s="2"/>
      <c r="D367276" s="2"/>
      <c r="E367276" s="2"/>
      <c r="F367276" s="2"/>
      <c r="G367276" s="2"/>
      <c r="H367276" s="2"/>
    </row>
    <row r="367525" spans="3:8" ht="15.6" x14ac:dyDescent="0.25">
      <c r="C367525" s="2"/>
      <c r="D367525" s="2"/>
      <c r="E367525" s="2"/>
      <c r="F367525" s="2"/>
      <c r="G367525" s="2"/>
      <c r="H367525" s="2"/>
    </row>
    <row r="367774" spans="3:8" ht="15.6" x14ac:dyDescent="0.25">
      <c r="C367774" s="2"/>
      <c r="D367774" s="2"/>
      <c r="E367774" s="2"/>
      <c r="F367774" s="2"/>
      <c r="G367774" s="2"/>
      <c r="H367774" s="2"/>
    </row>
    <row r="368023" spans="3:8" ht="15.6" x14ac:dyDescent="0.25">
      <c r="C368023" s="2"/>
      <c r="D368023" s="2"/>
      <c r="E368023" s="2"/>
      <c r="F368023" s="2"/>
      <c r="G368023" s="2"/>
      <c r="H368023" s="2"/>
    </row>
    <row r="368272" spans="3:8" ht="15.6" x14ac:dyDescent="0.25">
      <c r="C368272" s="2"/>
      <c r="D368272" s="2"/>
      <c r="E368272" s="2"/>
      <c r="F368272" s="2"/>
      <c r="G368272" s="2"/>
      <c r="H368272" s="2"/>
    </row>
    <row r="368521" spans="3:8" ht="15.6" x14ac:dyDescent="0.25">
      <c r="C368521" s="2"/>
      <c r="D368521" s="2"/>
      <c r="E368521" s="2"/>
      <c r="F368521" s="2"/>
      <c r="G368521" s="2"/>
      <c r="H368521" s="2"/>
    </row>
    <row r="368770" spans="3:8" ht="15.6" x14ac:dyDescent="0.25">
      <c r="C368770" s="2"/>
      <c r="D368770" s="2"/>
      <c r="E368770" s="2"/>
      <c r="F368770" s="2"/>
      <c r="G368770" s="2"/>
      <c r="H368770" s="2"/>
    </row>
    <row r="369019" spans="3:8" ht="15.6" x14ac:dyDescent="0.25">
      <c r="C369019" s="2"/>
      <c r="D369019" s="2"/>
      <c r="E369019" s="2"/>
      <c r="F369019" s="2"/>
      <c r="G369019" s="2"/>
      <c r="H369019" s="2"/>
    </row>
    <row r="369268" spans="3:8" ht="15.6" x14ac:dyDescent="0.25">
      <c r="C369268" s="2"/>
      <c r="D369268" s="2"/>
      <c r="E369268" s="2"/>
      <c r="F369268" s="2"/>
      <c r="G369268" s="2"/>
      <c r="H369268" s="2"/>
    </row>
    <row r="369517" spans="3:8" ht="15.6" x14ac:dyDescent="0.25">
      <c r="C369517" s="2"/>
      <c r="D369517" s="2"/>
      <c r="E369517" s="2"/>
      <c r="F369517" s="2"/>
      <c r="G369517" s="2"/>
      <c r="H369517" s="2"/>
    </row>
    <row r="369766" spans="3:8" ht="15.6" x14ac:dyDescent="0.25">
      <c r="C369766" s="2"/>
      <c r="D369766" s="2"/>
      <c r="E369766" s="2"/>
      <c r="F369766" s="2"/>
      <c r="G369766" s="2"/>
      <c r="H369766" s="2"/>
    </row>
    <row r="370015" spans="3:8" ht="15.6" x14ac:dyDescent="0.25">
      <c r="C370015" s="2"/>
      <c r="D370015" s="2"/>
      <c r="E370015" s="2"/>
      <c r="F370015" s="2"/>
      <c r="G370015" s="2"/>
      <c r="H370015" s="2"/>
    </row>
    <row r="370264" spans="3:8" ht="15.6" x14ac:dyDescent="0.25">
      <c r="C370264" s="2"/>
      <c r="D370264" s="2"/>
      <c r="E370264" s="2"/>
      <c r="F370264" s="2"/>
      <c r="G370264" s="2"/>
      <c r="H370264" s="2"/>
    </row>
    <row r="370513" spans="3:8" ht="15.6" x14ac:dyDescent="0.25">
      <c r="C370513" s="2"/>
      <c r="D370513" s="2"/>
      <c r="E370513" s="2"/>
      <c r="F370513" s="2"/>
      <c r="G370513" s="2"/>
      <c r="H370513" s="2"/>
    </row>
    <row r="370762" spans="3:8" ht="15.6" x14ac:dyDescent="0.25">
      <c r="C370762" s="2"/>
      <c r="D370762" s="2"/>
      <c r="E370762" s="2"/>
      <c r="F370762" s="2"/>
      <c r="G370762" s="2"/>
      <c r="H370762" s="2"/>
    </row>
    <row r="371011" spans="3:8" ht="15.6" x14ac:dyDescent="0.25">
      <c r="C371011" s="2"/>
      <c r="D371011" s="2"/>
      <c r="E371011" s="2"/>
      <c r="F371011" s="2"/>
      <c r="G371011" s="2"/>
      <c r="H371011" s="2"/>
    </row>
    <row r="371260" spans="3:8" ht="15.6" x14ac:dyDescent="0.25">
      <c r="C371260" s="2"/>
      <c r="D371260" s="2"/>
      <c r="E371260" s="2"/>
      <c r="F371260" s="2"/>
      <c r="G371260" s="2"/>
      <c r="H371260" s="2"/>
    </row>
    <row r="371509" spans="3:8" ht="15.6" x14ac:dyDescent="0.25">
      <c r="C371509" s="2"/>
      <c r="D371509" s="2"/>
      <c r="E371509" s="2"/>
      <c r="F371509" s="2"/>
      <c r="G371509" s="2"/>
      <c r="H371509" s="2"/>
    </row>
    <row r="371758" spans="3:8" ht="15.6" x14ac:dyDescent="0.25">
      <c r="C371758" s="2"/>
      <c r="D371758" s="2"/>
      <c r="E371758" s="2"/>
      <c r="F371758" s="2"/>
      <c r="G371758" s="2"/>
      <c r="H371758" s="2"/>
    </row>
    <row r="372007" spans="3:8" ht="15.6" x14ac:dyDescent="0.25">
      <c r="C372007" s="2"/>
      <c r="D372007" s="2"/>
      <c r="E372007" s="2"/>
      <c r="F372007" s="2"/>
      <c r="G372007" s="2"/>
      <c r="H372007" s="2"/>
    </row>
    <row r="372256" spans="3:8" ht="15.6" x14ac:dyDescent="0.25">
      <c r="C372256" s="2"/>
      <c r="D372256" s="2"/>
      <c r="E372256" s="2"/>
      <c r="F372256" s="2"/>
      <c r="G372256" s="2"/>
      <c r="H372256" s="2"/>
    </row>
    <row r="372505" spans="3:8" ht="15.6" x14ac:dyDescent="0.25">
      <c r="C372505" s="2"/>
      <c r="D372505" s="2"/>
      <c r="E372505" s="2"/>
      <c r="F372505" s="2"/>
      <c r="G372505" s="2"/>
      <c r="H372505" s="2"/>
    </row>
    <row r="372754" spans="3:8" ht="15.6" x14ac:dyDescent="0.25">
      <c r="C372754" s="2"/>
      <c r="D372754" s="2"/>
      <c r="E372754" s="2"/>
      <c r="F372754" s="2"/>
      <c r="G372754" s="2"/>
      <c r="H372754" s="2"/>
    </row>
    <row r="373003" spans="3:8" ht="15.6" x14ac:dyDescent="0.25">
      <c r="C373003" s="2"/>
      <c r="D373003" s="2"/>
      <c r="E373003" s="2"/>
      <c r="F373003" s="2"/>
      <c r="G373003" s="2"/>
      <c r="H373003" s="2"/>
    </row>
    <row r="373252" spans="3:8" ht="15.6" x14ac:dyDescent="0.25">
      <c r="C373252" s="2"/>
      <c r="D373252" s="2"/>
      <c r="E373252" s="2"/>
      <c r="F373252" s="2"/>
      <c r="G373252" s="2"/>
      <c r="H373252" s="2"/>
    </row>
    <row r="373501" spans="3:8" ht="15.6" x14ac:dyDescent="0.25">
      <c r="C373501" s="2"/>
      <c r="D373501" s="2"/>
      <c r="E373501" s="2"/>
      <c r="F373501" s="2"/>
      <c r="G373501" s="2"/>
      <c r="H373501" s="2"/>
    </row>
    <row r="373750" spans="3:8" ht="15.6" x14ac:dyDescent="0.25">
      <c r="C373750" s="2"/>
      <c r="D373750" s="2"/>
      <c r="E373750" s="2"/>
      <c r="F373750" s="2"/>
      <c r="G373750" s="2"/>
      <c r="H373750" s="2"/>
    </row>
    <row r="373999" spans="3:8" ht="15.6" x14ac:dyDescent="0.25">
      <c r="C373999" s="2"/>
      <c r="D373999" s="2"/>
      <c r="E373999" s="2"/>
      <c r="F373999" s="2"/>
      <c r="G373999" s="2"/>
      <c r="H373999" s="2"/>
    </row>
    <row r="374248" spans="3:8" ht="15.6" x14ac:dyDescent="0.25">
      <c r="C374248" s="2"/>
      <c r="D374248" s="2"/>
      <c r="E374248" s="2"/>
      <c r="F374248" s="2"/>
      <c r="G374248" s="2"/>
      <c r="H374248" s="2"/>
    </row>
    <row r="374497" spans="3:8" ht="15.6" x14ac:dyDescent="0.25">
      <c r="C374497" s="2"/>
      <c r="D374497" s="2"/>
      <c r="E374497" s="2"/>
      <c r="F374497" s="2"/>
      <c r="G374497" s="2"/>
      <c r="H374497" s="2"/>
    </row>
    <row r="374746" spans="3:8" ht="15.6" x14ac:dyDescent="0.25">
      <c r="C374746" s="2"/>
      <c r="D374746" s="2"/>
      <c r="E374746" s="2"/>
      <c r="F374746" s="2"/>
      <c r="G374746" s="2"/>
      <c r="H374746" s="2"/>
    </row>
    <row r="374995" spans="3:8" ht="15.6" x14ac:dyDescent="0.25">
      <c r="C374995" s="2"/>
      <c r="D374995" s="2"/>
      <c r="E374995" s="2"/>
      <c r="F374995" s="2"/>
      <c r="G374995" s="2"/>
      <c r="H374995" s="2"/>
    </row>
    <row r="375244" spans="3:8" ht="15.6" x14ac:dyDescent="0.25">
      <c r="C375244" s="2"/>
      <c r="D375244" s="2"/>
      <c r="E375244" s="2"/>
      <c r="F375244" s="2"/>
      <c r="G375244" s="2"/>
      <c r="H375244" s="2"/>
    </row>
    <row r="375493" spans="3:8" ht="15.6" x14ac:dyDescent="0.25">
      <c r="C375493" s="2"/>
      <c r="D375493" s="2"/>
      <c r="E375493" s="2"/>
      <c r="F375493" s="2"/>
      <c r="G375493" s="2"/>
      <c r="H375493" s="2"/>
    </row>
    <row r="375742" spans="3:8" ht="15.6" x14ac:dyDescent="0.25">
      <c r="C375742" s="2"/>
      <c r="D375742" s="2"/>
      <c r="E375742" s="2"/>
      <c r="F375742" s="2"/>
      <c r="G375742" s="2"/>
      <c r="H375742" s="2"/>
    </row>
    <row r="375991" spans="3:8" ht="15.6" x14ac:dyDescent="0.25">
      <c r="C375991" s="2"/>
      <c r="D375991" s="2"/>
      <c r="E375991" s="2"/>
      <c r="F375991" s="2"/>
      <c r="G375991" s="2"/>
      <c r="H375991" s="2"/>
    </row>
    <row r="376240" spans="3:8" ht="15.6" x14ac:dyDescent="0.25">
      <c r="C376240" s="2"/>
      <c r="D376240" s="2"/>
      <c r="E376240" s="2"/>
      <c r="F376240" s="2"/>
      <c r="G376240" s="2"/>
      <c r="H376240" s="2"/>
    </row>
    <row r="376489" spans="3:8" ht="15.6" x14ac:dyDescent="0.25">
      <c r="C376489" s="2"/>
      <c r="D376489" s="2"/>
      <c r="E376489" s="2"/>
      <c r="F376489" s="2"/>
      <c r="G376489" s="2"/>
      <c r="H376489" s="2"/>
    </row>
    <row r="376738" spans="3:8" ht="15.6" x14ac:dyDescent="0.25">
      <c r="C376738" s="2"/>
      <c r="D376738" s="2"/>
      <c r="E376738" s="2"/>
      <c r="F376738" s="2"/>
      <c r="G376738" s="2"/>
      <c r="H376738" s="2"/>
    </row>
    <row r="376987" spans="3:8" ht="15.6" x14ac:dyDescent="0.25">
      <c r="C376987" s="2"/>
      <c r="D376987" s="2"/>
      <c r="E376987" s="2"/>
      <c r="F376987" s="2"/>
      <c r="G376987" s="2"/>
      <c r="H376987" s="2"/>
    </row>
    <row r="377236" spans="3:8" ht="15.6" x14ac:dyDescent="0.25">
      <c r="C377236" s="2"/>
      <c r="D377236" s="2"/>
      <c r="E377236" s="2"/>
      <c r="F377236" s="2"/>
      <c r="G377236" s="2"/>
      <c r="H377236" s="2"/>
    </row>
    <row r="377485" spans="3:8" ht="15.6" x14ac:dyDescent="0.25">
      <c r="C377485" s="2"/>
      <c r="D377485" s="2"/>
      <c r="E377485" s="2"/>
      <c r="F377485" s="2"/>
      <c r="G377485" s="2"/>
      <c r="H377485" s="2"/>
    </row>
    <row r="377734" spans="3:8" ht="15.6" x14ac:dyDescent="0.25">
      <c r="C377734" s="2"/>
      <c r="D377734" s="2"/>
      <c r="E377734" s="2"/>
      <c r="F377734" s="2"/>
      <c r="G377734" s="2"/>
      <c r="H377734" s="2"/>
    </row>
    <row r="377983" spans="3:8" ht="15.6" x14ac:dyDescent="0.25">
      <c r="C377983" s="2"/>
      <c r="D377983" s="2"/>
      <c r="E377983" s="2"/>
      <c r="F377983" s="2"/>
      <c r="G377983" s="2"/>
      <c r="H377983" s="2"/>
    </row>
    <row r="378232" spans="3:8" ht="15.6" x14ac:dyDescent="0.25">
      <c r="C378232" s="2"/>
      <c r="D378232" s="2"/>
      <c r="E378232" s="2"/>
      <c r="F378232" s="2"/>
      <c r="G378232" s="2"/>
      <c r="H378232" s="2"/>
    </row>
    <row r="378481" spans="3:8" ht="15.6" x14ac:dyDescent="0.25">
      <c r="C378481" s="2"/>
      <c r="D378481" s="2"/>
      <c r="E378481" s="2"/>
      <c r="F378481" s="2"/>
      <c r="G378481" s="2"/>
      <c r="H378481" s="2"/>
    </row>
    <row r="378730" spans="3:8" ht="15.6" x14ac:dyDescent="0.25">
      <c r="C378730" s="2"/>
      <c r="D378730" s="2"/>
      <c r="E378730" s="2"/>
      <c r="F378730" s="2"/>
      <c r="G378730" s="2"/>
      <c r="H378730" s="2"/>
    </row>
    <row r="378979" spans="3:8" ht="15.6" x14ac:dyDescent="0.25">
      <c r="C378979" s="2"/>
      <c r="D378979" s="2"/>
      <c r="E378979" s="2"/>
      <c r="F378979" s="2"/>
      <c r="G378979" s="2"/>
      <c r="H378979" s="2"/>
    </row>
    <row r="379228" spans="3:8" ht="15.6" x14ac:dyDescent="0.25">
      <c r="C379228" s="2"/>
      <c r="D379228" s="2"/>
      <c r="E379228" s="2"/>
      <c r="F379228" s="2"/>
      <c r="G379228" s="2"/>
      <c r="H379228" s="2"/>
    </row>
    <row r="379477" spans="3:8" ht="15.6" x14ac:dyDescent="0.25">
      <c r="C379477" s="2"/>
      <c r="D379477" s="2"/>
      <c r="E379477" s="2"/>
      <c r="F379477" s="2"/>
      <c r="G379477" s="2"/>
      <c r="H379477" s="2"/>
    </row>
    <row r="379726" spans="3:8" ht="15.6" x14ac:dyDescent="0.25">
      <c r="C379726" s="2"/>
      <c r="D379726" s="2"/>
      <c r="E379726" s="2"/>
      <c r="F379726" s="2"/>
      <c r="G379726" s="2"/>
      <c r="H379726" s="2"/>
    </row>
    <row r="379975" spans="3:8" ht="15.6" x14ac:dyDescent="0.25">
      <c r="C379975" s="2"/>
      <c r="D379975" s="2"/>
      <c r="E379975" s="2"/>
      <c r="F379975" s="2"/>
      <c r="G379975" s="2"/>
      <c r="H379975" s="2"/>
    </row>
    <row r="380224" spans="3:8" ht="15.6" x14ac:dyDescent="0.25">
      <c r="C380224" s="2"/>
      <c r="D380224" s="2"/>
      <c r="E380224" s="2"/>
      <c r="F380224" s="2"/>
      <c r="G380224" s="2"/>
      <c r="H380224" s="2"/>
    </row>
    <row r="380473" spans="3:8" ht="15.6" x14ac:dyDescent="0.25">
      <c r="C380473" s="2"/>
      <c r="D380473" s="2"/>
      <c r="E380473" s="2"/>
      <c r="F380473" s="2"/>
      <c r="G380473" s="2"/>
      <c r="H380473" s="2"/>
    </row>
    <row r="380722" spans="3:8" ht="15.6" x14ac:dyDescent="0.25">
      <c r="C380722" s="2"/>
      <c r="D380722" s="2"/>
      <c r="E380722" s="2"/>
      <c r="F380722" s="2"/>
      <c r="G380722" s="2"/>
      <c r="H380722" s="2"/>
    </row>
    <row r="380971" spans="3:8" ht="15.6" x14ac:dyDescent="0.25">
      <c r="C380971" s="2"/>
      <c r="D380971" s="2"/>
      <c r="E380971" s="2"/>
      <c r="F380971" s="2"/>
      <c r="G380971" s="2"/>
      <c r="H380971" s="2"/>
    </row>
    <row r="381220" spans="3:8" ht="15.6" x14ac:dyDescent="0.25">
      <c r="C381220" s="2"/>
      <c r="D381220" s="2"/>
      <c r="E381220" s="2"/>
      <c r="F381220" s="2"/>
      <c r="G381220" s="2"/>
      <c r="H381220" s="2"/>
    </row>
    <row r="381469" spans="3:8" ht="15.6" x14ac:dyDescent="0.25">
      <c r="C381469" s="2"/>
      <c r="D381469" s="2"/>
      <c r="E381469" s="2"/>
      <c r="F381469" s="2"/>
      <c r="G381469" s="2"/>
      <c r="H381469" s="2"/>
    </row>
    <row r="381718" spans="3:8" ht="15.6" x14ac:dyDescent="0.25">
      <c r="C381718" s="2"/>
      <c r="D381718" s="2"/>
      <c r="E381718" s="2"/>
      <c r="F381718" s="2"/>
      <c r="G381718" s="2"/>
      <c r="H381718" s="2"/>
    </row>
    <row r="381967" spans="3:8" ht="15.6" x14ac:dyDescent="0.25">
      <c r="C381967" s="2"/>
      <c r="D381967" s="2"/>
      <c r="E381967" s="2"/>
      <c r="F381967" s="2"/>
      <c r="G381967" s="2"/>
      <c r="H381967" s="2"/>
    </row>
    <row r="382216" spans="3:8" ht="15.6" x14ac:dyDescent="0.25">
      <c r="C382216" s="2"/>
      <c r="D382216" s="2"/>
      <c r="E382216" s="2"/>
      <c r="F382216" s="2"/>
      <c r="G382216" s="2"/>
      <c r="H382216" s="2"/>
    </row>
    <row r="382465" spans="3:8" ht="15.6" x14ac:dyDescent="0.25">
      <c r="C382465" s="2"/>
      <c r="D382465" s="2"/>
      <c r="E382465" s="2"/>
      <c r="F382465" s="2"/>
      <c r="G382465" s="2"/>
      <c r="H382465" s="2"/>
    </row>
    <row r="382714" spans="3:8" ht="15.6" x14ac:dyDescent="0.25">
      <c r="C382714" s="2"/>
      <c r="D382714" s="2"/>
      <c r="E382714" s="2"/>
      <c r="F382714" s="2"/>
      <c r="G382714" s="2"/>
      <c r="H382714" s="2"/>
    </row>
    <row r="382963" spans="3:8" ht="15.6" x14ac:dyDescent="0.25">
      <c r="C382963" s="2"/>
      <c r="D382963" s="2"/>
      <c r="E382963" s="2"/>
      <c r="F382963" s="2"/>
      <c r="G382963" s="2"/>
      <c r="H382963" s="2"/>
    </row>
    <row r="383212" spans="3:8" ht="15.6" x14ac:dyDescent="0.25">
      <c r="C383212" s="2"/>
      <c r="D383212" s="2"/>
      <c r="E383212" s="2"/>
      <c r="F383212" s="2"/>
      <c r="G383212" s="2"/>
      <c r="H383212" s="2"/>
    </row>
    <row r="383461" spans="3:8" ht="15.6" x14ac:dyDescent="0.25">
      <c r="C383461" s="2"/>
      <c r="D383461" s="2"/>
      <c r="E383461" s="2"/>
      <c r="F383461" s="2"/>
      <c r="G383461" s="2"/>
      <c r="H383461" s="2"/>
    </row>
    <row r="383710" spans="3:8" ht="15.6" x14ac:dyDescent="0.25">
      <c r="C383710" s="2"/>
      <c r="D383710" s="2"/>
      <c r="E383710" s="2"/>
      <c r="F383710" s="2"/>
      <c r="G383710" s="2"/>
      <c r="H383710" s="2"/>
    </row>
    <row r="383959" spans="3:8" ht="15.6" x14ac:dyDescent="0.25">
      <c r="C383959" s="2"/>
      <c r="D383959" s="2"/>
      <c r="E383959" s="2"/>
      <c r="F383959" s="2"/>
      <c r="G383959" s="2"/>
      <c r="H383959" s="2"/>
    </row>
    <row r="384208" spans="3:8" ht="15.6" x14ac:dyDescent="0.25">
      <c r="C384208" s="2"/>
      <c r="D384208" s="2"/>
      <c r="E384208" s="2"/>
      <c r="F384208" s="2"/>
      <c r="G384208" s="2"/>
      <c r="H384208" s="2"/>
    </row>
    <row r="384457" spans="3:8" ht="15.6" x14ac:dyDescent="0.25">
      <c r="C384457" s="2"/>
      <c r="D384457" s="2"/>
      <c r="E384457" s="2"/>
      <c r="F384457" s="2"/>
      <c r="G384457" s="2"/>
      <c r="H384457" s="2"/>
    </row>
    <row r="384706" spans="3:8" ht="15.6" x14ac:dyDescent="0.25">
      <c r="C384706" s="2"/>
      <c r="D384706" s="2"/>
      <c r="E384706" s="2"/>
      <c r="F384706" s="2"/>
      <c r="G384706" s="2"/>
      <c r="H384706" s="2"/>
    </row>
    <row r="384955" spans="3:8" ht="15.6" x14ac:dyDescent="0.25">
      <c r="C384955" s="2"/>
      <c r="D384955" s="2"/>
      <c r="E384955" s="2"/>
      <c r="F384955" s="2"/>
      <c r="G384955" s="2"/>
      <c r="H384955" s="2"/>
    </row>
    <row r="385204" spans="3:8" ht="15.6" x14ac:dyDescent="0.25">
      <c r="C385204" s="2"/>
      <c r="D385204" s="2"/>
      <c r="E385204" s="2"/>
      <c r="F385204" s="2"/>
      <c r="G385204" s="2"/>
      <c r="H385204" s="2"/>
    </row>
    <row r="385453" spans="3:8" ht="15.6" x14ac:dyDescent="0.25">
      <c r="C385453" s="2"/>
      <c r="D385453" s="2"/>
      <c r="E385453" s="2"/>
      <c r="F385453" s="2"/>
      <c r="G385453" s="2"/>
      <c r="H385453" s="2"/>
    </row>
    <row r="385702" spans="3:8" ht="15.6" x14ac:dyDescent="0.25">
      <c r="C385702" s="2"/>
      <c r="D385702" s="2"/>
      <c r="E385702" s="2"/>
      <c r="F385702" s="2"/>
      <c r="G385702" s="2"/>
      <c r="H385702" s="2"/>
    </row>
    <row r="385951" spans="3:8" ht="15.6" x14ac:dyDescent="0.25">
      <c r="C385951" s="2"/>
      <c r="D385951" s="2"/>
      <c r="E385951" s="2"/>
      <c r="F385951" s="2"/>
      <c r="G385951" s="2"/>
      <c r="H385951" s="2"/>
    </row>
    <row r="386200" spans="3:8" ht="15.6" x14ac:dyDescent="0.25">
      <c r="C386200" s="2"/>
      <c r="D386200" s="2"/>
      <c r="E386200" s="2"/>
      <c r="F386200" s="2"/>
      <c r="G386200" s="2"/>
      <c r="H386200" s="2"/>
    </row>
    <row r="386449" spans="3:8" ht="15.6" x14ac:dyDescent="0.25">
      <c r="C386449" s="2"/>
      <c r="D386449" s="2"/>
      <c r="E386449" s="2"/>
      <c r="F386449" s="2"/>
      <c r="G386449" s="2"/>
      <c r="H386449" s="2"/>
    </row>
    <row r="386698" spans="3:8" ht="15.6" x14ac:dyDescent="0.25">
      <c r="C386698" s="2"/>
      <c r="D386698" s="2"/>
      <c r="E386698" s="2"/>
      <c r="F386698" s="2"/>
      <c r="G386698" s="2"/>
      <c r="H386698" s="2"/>
    </row>
    <row r="386947" spans="3:8" ht="15.6" x14ac:dyDescent="0.25">
      <c r="C386947" s="2"/>
      <c r="D386947" s="2"/>
      <c r="E386947" s="2"/>
      <c r="F386947" s="2"/>
      <c r="G386947" s="2"/>
      <c r="H386947" s="2"/>
    </row>
    <row r="387196" spans="3:8" ht="15.6" x14ac:dyDescent="0.25">
      <c r="C387196" s="2"/>
      <c r="D387196" s="2"/>
      <c r="E387196" s="2"/>
      <c r="F387196" s="2"/>
      <c r="G387196" s="2"/>
      <c r="H387196" s="2"/>
    </row>
    <row r="387445" spans="3:8" ht="15.6" x14ac:dyDescent="0.25">
      <c r="C387445" s="2"/>
      <c r="D387445" s="2"/>
      <c r="E387445" s="2"/>
      <c r="F387445" s="2"/>
      <c r="G387445" s="2"/>
      <c r="H387445" s="2"/>
    </row>
    <row r="387694" spans="3:8" ht="15.6" x14ac:dyDescent="0.25">
      <c r="C387694" s="2"/>
      <c r="D387694" s="2"/>
      <c r="E387694" s="2"/>
      <c r="F387694" s="2"/>
      <c r="G387694" s="2"/>
      <c r="H387694" s="2"/>
    </row>
    <row r="387943" spans="3:8" ht="15.6" x14ac:dyDescent="0.25">
      <c r="C387943" s="2"/>
      <c r="D387943" s="2"/>
      <c r="E387943" s="2"/>
      <c r="F387943" s="2"/>
      <c r="G387943" s="2"/>
      <c r="H387943" s="2"/>
    </row>
    <row r="388192" spans="3:8" ht="15.6" x14ac:dyDescent="0.25">
      <c r="C388192" s="2"/>
      <c r="D388192" s="2"/>
      <c r="E388192" s="2"/>
      <c r="F388192" s="2"/>
      <c r="G388192" s="2"/>
      <c r="H388192" s="2"/>
    </row>
    <row r="388441" spans="3:8" ht="15.6" x14ac:dyDescent="0.25">
      <c r="C388441" s="2"/>
      <c r="D388441" s="2"/>
      <c r="E388441" s="2"/>
      <c r="F388441" s="2"/>
      <c r="G388441" s="2"/>
      <c r="H388441" s="2"/>
    </row>
    <row r="388690" spans="3:8" ht="15.6" x14ac:dyDescent="0.25">
      <c r="C388690" s="2"/>
      <c r="D388690" s="2"/>
      <c r="E388690" s="2"/>
      <c r="F388690" s="2"/>
      <c r="G388690" s="2"/>
      <c r="H388690" s="2"/>
    </row>
    <row r="388939" spans="3:8" ht="15.6" x14ac:dyDescent="0.25">
      <c r="C388939" s="2"/>
      <c r="D388939" s="2"/>
      <c r="E388939" s="2"/>
      <c r="F388939" s="2"/>
      <c r="G388939" s="2"/>
      <c r="H388939" s="2"/>
    </row>
    <row r="389188" spans="3:8" ht="15.6" x14ac:dyDescent="0.25">
      <c r="C389188" s="2"/>
      <c r="D389188" s="2"/>
      <c r="E389188" s="2"/>
      <c r="F389188" s="2"/>
      <c r="G389188" s="2"/>
      <c r="H389188" s="2"/>
    </row>
    <row r="389437" spans="3:8" ht="15.6" x14ac:dyDescent="0.25">
      <c r="C389437" s="2"/>
      <c r="D389437" s="2"/>
      <c r="E389437" s="2"/>
      <c r="F389437" s="2"/>
      <c r="G389437" s="2"/>
      <c r="H389437" s="2"/>
    </row>
    <row r="389686" spans="3:8" ht="15.6" x14ac:dyDescent="0.25">
      <c r="C389686" s="2"/>
      <c r="D389686" s="2"/>
      <c r="E389686" s="2"/>
      <c r="F389686" s="2"/>
      <c r="G389686" s="2"/>
      <c r="H389686" s="2"/>
    </row>
    <row r="389935" spans="3:8" ht="15.6" x14ac:dyDescent="0.25">
      <c r="C389935" s="2"/>
      <c r="D389935" s="2"/>
      <c r="E389935" s="2"/>
      <c r="F389935" s="2"/>
      <c r="G389935" s="2"/>
      <c r="H389935" s="2"/>
    </row>
    <row r="390184" spans="3:8" ht="15.6" x14ac:dyDescent="0.25">
      <c r="C390184" s="2"/>
      <c r="D390184" s="2"/>
      <c r="E390184" s="2"/>
      <c r="F390184" s="2"/>
      <c r="G390184" s="2"/>
      <c r="H390184" s="2"/>
    </row>
    <row r="390433" spans="3:8" ht="15.6" x14ac:dyDescent="0.25">
      <c r="C390433" s="2"/>
      <c r="D390433" s="2"/>
      <c r="E390433" s="2"/>
      <c r="F390433" s="2"/>
      <c r="G390433" s="2"/>
      <c r="H390433" s="2"/>
    </row>
    <row r="390682" spans="3:8" ht="15.6" x14ac:dyDescent="0.25">
      <c r="C390682" s="2"/>
      <c r="D390682" s="2"/>
      <c r="E390682" s="2"/>
      <c r="F390682" s="2"/>
      <c r="G390682" s="2"/>
      <c r="H390682" s="2"/>
    </row>
    <row r="390931" spans="3:8" ht="15.6" x14ac:dyDescent="0.25">
      <c r="C390931" s="2"/>
      <c r="D390931" s="2"/>
      <c r="E390931" s="2"/>
      <c r="F390931" s="2"/>
      <c r="G390931" s="2"/>
      <c r="H390931" s="2"/>
    </row>
    <row r="391180" spans="3:8" ht="15.6" x14ac:dyDescent="0.25">
      <c r="C391180" s="2"/>
      <c r="D391180" s="2"/>
      <c r="E391180" s="2"/>
      <c r="F391180" s="2"/>
      <c r="G391180" s="2"/>
      <c r="H391180" s="2"/>
    </row>
    <row r="391429" spans="3:8" ht="15.6" x14ac:dyDescent="0.25">
      <c r="C391429" s="2"/>
      <c r="D391429" s="2"/>
      <c r="E391429" s="2"/>
      <c r="F391429" s="2"/>
      <c r="G391429" s="2"/>
      <c r="H391429" s="2"/>
    </row>
    <row r="391678" spans="3:8" ht="15.6" x14ac:dyDescent="0.25">
      <c r="C391678" s="2"/>
      <c r="D391678" s="2"/>
      <c r="E391678" s="2"/>
      <c r="F391678" s="2"/>
      <c r="G391678" s="2"/>
      <c r="H391678" s="2"/>
    </row>
    <row r="391927" spans="3:8" ht="15.6" x14ac:dyDescent="0.25">
      <c r="C391927" s="2"/>
      <c r="D391927" s="2"/>
      <c r="E391927" s="2"/>
      <c r="F391927" s="2"/>
      <c r="G391927" s="2"/>
      <c r="H391927" s="2"/>
    </row>
    <row r="392176" spans="3:8" ht="15.6" x14ac:dyDescent="0.25">
      <c r="C392176" s="2"/>
      <c r="D392176" s="2"/>
      <c r="E392176" s="2"/>
      <c r="F392176" s="2"/>
      <c r="G392176" s="2"/>
      <c r="H392176" s="2"/>
    </row>
    <row r="392425" spans="3:8" ht="15.6" x14ac:dyDescent="0.25">
      <c r="C392425" s="2"/>
      <c r="D392425" s="2"/>
      <c r="E392425" s="2"/>
      <c r="F392425" s="2"/>
      <c r="G392425" s="2"/>
      <c r="H392425" s="2"/>
    </row>
    <row r="392674" spans="3:8" ht="15.6" x14ac:dyDescent="0.25">
      <c r="C392674" s="2"/>
      <c r="D392674" s="2"/>
      <c r="E392674" s="2"/>
      <c r="F392674" s="2"/>
      <c r="G392674" s="2"/>
      <c r="H392674" s="2"/>
    </row>
    <row r="392923" spans="3:8" ht="15.6" x14ac:dyDescent="0.25">
      <c r="C392923" s="2"/>
      <c r="D392923" s="2"/>
      <c r="E392923" s="2"/>
      <c r="F392923" s="2"/>
      <c r="G392923" s="2"/>
      <c r="H392923" s="2"/>
    </row>
    <row r="393172" spans="3:8" ht="15.6" x14ac:dyDescent="0.25">
      <c r="C393172" s="2"/>
      <c r="D393172" s="2"/>
      <c r="E393172" s="2"/>
      <c r="F393172" s="2"/>
      <c r="G393172" s="2"/>
      <c r="H393172" s="2"/>
    </row>
    <row r="393421" spans="3:8" ht="15.6" x14ac:dyDescent="0.25">
      <c r="C393421" s="2"/>
      <c r="D393421" s="2"/>
      <c r="E393421" s="2"/>
      <c r="F393421" s="2"/>
      <c r="G393421" s="2"/>
      <c r="H393421" s="2"/>
    </row>
    <row r="393670" spans="3:8" ht="15.6" x14ac:dyDescent="0.25">
      <c r="C393670" s="2"/>
      <c r="D393670" s="2"/>
      <c r="E393670" s="2"/>
      <c r="F393670" s="2"/>
      <c r="G393670" s="2"/>
      <c r="H393670" s="2"/>
    </row>
    <row r="393919" spans="3:8" ht="15.6" x14ac:dyDescent="0.25">
      <c r="C393919" s="2"/>
      <c r="D393919" s="2"/>
      <c r="E393919" s="2"/>
      <c r="F393919" s="2"/>
      <c r="G393919" s="2"/>
      <c r="H393919" s="2"/>
    </row>
    <row r="394168" spans="3:8" ht="15.6" x14ac:dyDescent="0.25">
      <c r="C394168" s="2"/>
      <c r="D394168" s="2"/>
      <c r="E394168" s="2"/>
      <c r="F394168" s="2"/>
      <c r="G394168" s="2"/>
      <c r="H394168" s="2"/>
    </row>
    <row r="394417" spans="3:8" ht="15.6" x14ac:dyDescent="0.25">
      <c r="C394417" s="2"/>
      <c r="D394417" s="2"/>
      <c r="E394417" s="2"/>
      <c r="F394417" s="2"/>
      <c r="G394417" s="2"/>
      <c r="H394417" s="2"/>
    </row>
    <row r="394666" spans="3:8" ht="15.6" x14ac:dyDescent="0.25">
      <c r="C394666" s="2"/>
      <c r="D394666" s="2"/>
      <c r="E394666" s="2"/>
      <c r="F394666" s="2"/>
      <c r="G394666" s="2"/>
      <c r="H394666" s="2"/>
    </row>
    <row r="394915" spans="3:8" ht="15.6" x14ac:dyDescent="0.25">
      <c r="C394915" s="2"/>
      <c r="D394915" s="2"/>
      <c r="E394915" s="2"/>
      <c r="F394915" s="2"/>
      <c r="G394915" s="2"/>
      <c r="H394915" s="2"/>
    </row>
    <row r="395164" spans="3:8" ht="15.6" x14ac:dyDescent="0.25">
      <c r="C395164" s="2"/>
      <c r="D395164" s="2"/>
      <c r="E395164" s="2"/>
      <c r="F395164" s="2"/>
      <c r="G395164" s="2"/>
      <c r="H395164" s="2"/>
    </row>
    <row r="395413" spans="3:8" ht="15.6" x14ac:dyDescent="0.25">
      <c r="C395413" s="2"/>
      <c r="D395413" s="2"/>
      <c r="E395413" s="2"/>
      <c r="F395413" s="2"/>
      <c r="G395413" s="2"/>
      <c r="H395413" s="2"/>
    </row>
    <row r="395662" spans="3:8" ht="15.6" x14ac:dyDescent="0.25">
      <c r="C395662" s="2"/>
      <c r="D395662" s="2"/>
      <c r="E395662" s="2"/>
      <c r="F395662" s="2"/>
      <c r="G395662" s="2"/>
      <c r="H395662" s="2"/>
    </row>
    <row r="395911" spans="3:8" ht="15.6" x14ac:dyDescent="0.25">
      <c r="C395911" s="2"/>
      <c r="D395911" s="2"/>
      <c r="E395911" s="2"/>
      <c r="F395911" s="2"/>
      <c r="G395911" s="2"/>
      <c r="H395911" s="2"/>
    </row>
    <row r="396160" spans="3:8" ht="15.6" x14ac:dyDescent="0.25">
      <c r="C396160" s="2"/>
      <c r="D396160" s="2"/>
      <c r="E396160" s="2"/>
      <c r="F396160" s="2"/>
      <c r="G396160" s="2"/>
      <c r="H396160" s="2"/>
    </row>
    <row r="396409" spans="3:8" ht="15.6" x14ac:dyDescent="0.25">
      <c r="C396409" s="2"/>
      <c r="D396409" s="2"/>
      <c r="E396409" s="2"/>
      <c r="F396409" s="2"/>
      <c r="G396409" s="2"/>
      <c r="H396409" s="2"/>
    </row>
    <row r="396658" spans="3:8" ht="15.6" x14ac:dyDescent="0.25">
      <c r="C396658" s="2"/>
      <c r="D396658" s="2"/>
      <c r="E396658" s="2"/>
      <c r="F396658" s="2"/>
      <c r="G396658" s="2"/>
      <c r="H396658" s="2"/>
    </row>
    <row r="396907" spans="3:8" ht="15.6" x14ac:dyDescent="0.25">
      <c r="C396907" s="2"/>
      <c r="D396907" s="2"/>
      <c r="E396907" s="2"/>
      <c r="F396907" s="2"/>
      <c r="G396907" s="2"/>
      <c r="H396907" s="2"/>
    </row>
    <row r="397156" spans="3:8" ht="15.6" x14ac:dyDescent="0.25">
      <c r="C397156" s="2"/>
      <c r="D397156" s="2"/>
      <c r="E397156" s="2"/>
      <c r="F397156" s="2"/>
      <c r="G397156" s="2"/>
      <c r="H397156" s="2"/>
    </row>
    <row r="397405" spans="3:8" ht="15.6" x14ac:dyDescent="0.25">
      <c r="C397405" s="2"/>
      <c r="D397405" s="2"/>
      <c r="E397405" s="2"/>
      <c r="F397405" s="2"/>
      <c r="G397405" s="2"/>
      <c r="H397405" s="2"/>
    </row>
    <row r="397654" spans="3:8" ht="15.6" x14ac:dyDescent="0.25">
      <c r="C397654" s="2"/>
      <c r="D397654" s="2"/>
      <c r="E397654" s="2"/>
      <c r="F397654" s="2"/>
      <c r="G397654" s="2"/>
      <c r="H397654" s="2"/>
    </row>
    <row r="397903" spans="3:8" ht="15.6" x14ac:dyDescent="0.25">
      <c r="C397903" s="2"/>
      <c r="D397903" s="2"/>
      <c r="E397903" s="2"/>
      <c r="F397903" s="2"/>
      <c r="G397903" s="2"/>
      <c r="H397903" s="2"/>
    </row>
    <row r="398152" spans="3:8" ht="15.6" x14ac:dyDescent="0.25">
      <c r="C398152" s="2"/>
      <c r="D398152" s="2"/>
      <c r="E398152" s="2"/>
      <c r="F398152" s="2"/>
      <c r="G398152" s="2"/>
      <c r="H398152" s="2"/>
    </row>
    <row r="398401" spans="3:8" ht="15.6" x14ac:dyDescent="0.25">
      <c r="C398401" s="2"/>
      <c r="D398401" s="2"/>
      <c r="E398401" s="2"/>
      <c r="F398401" s="2"/>
      <c r="G398401" s="2"/>
      <c r="H398401" s="2"/>
    </row>
    <row r="398650" spans="3:8" ht="15.6" x14ac:dyDescent="0.25">
      <c r="C398650" s="2"/>
      <c r="D398650" s="2"/>
      <c r="E398650" s="2"/>
      <c r="F398650" s="2"/>
      <c r="G398650" s="2"/>
      <c r="H398650" s="2"/>
    </row>
    <row r="398899" spans="3:8" ht="15.6" x14ac:dyDescent="0.25">
      <c r="C398899" s="2"/>
      <c r="D398899" s="2"/>
      <c r="E398899" s="2"/>
      <c r="F398899" s="2"/>
      <c r="G398899" s="2"/>
      <c r="H398899" s="2"/>
    </row>
    <row r="399148" spans="3:8" ht="15.6" x14ac:dyDescent="0.25">
      <c r="C399148" s="2"/>
      <c r="D399148" s="2"/>
      <c r="E399148" s="2"/>
      <c r="F399148" s="2"/>
      <c r="G399148" s="2"/>
      <c r="H399148" s="2"/>
    </row>
    <row r="399397" spans="3:8" ht="15.6" x14ac:dyDescent="0.25">
      <c r="C399397" s="2"/>
      <c r="D399397" s="2"/>
      <c r="E399397" s="2"/>
      <c r="F399397" s="2"/>
      <c r="G399397" s="2"/>
      <c r="H399397" s="2"/>
    </row>
    <row r="399646" spans="3:8" ht="15.6" x14ac:dyDescent="0.25">
      <c r="C399646" s="2"/>
      <c r="D399646" s="2"/>
      <c r="E399646" s="2"/>
      <c r="F399646" s="2"/>
      <c r="G399646" s="2"/>
      <c r="H399646" s="2"/>
    </row>
    <row r="399895" spans="3:8" ht="15.6" x14ac:dyDescent="0.25">
      <c r="C399895" s="2"/>
      <c r="D399895" s="2"/>
      <c r="E399895" s="2"/>
      <c r="F399895" s="2"/>
      <c r="G399895" s="2"/>
      <c r="H399895" s="2"/>
    </row>
    <row r="400144" spans="3:8" ht="15.6" x14ac:dyDescent="0.25">
      <c r="C400144" s="2"/>
      <c r="D400144" s="2"/>
      <c r="E400144" s="2"/>
      <c r="F400144" s="2"/>
      <c r="G400144" s="2"/>
      <c r="H400144" s="2"/>
    </row>
    <row r="400393" spans="3:8" ht="15.6" x14ac:dyDescent="0.25">
      <c r="C400393" s="2"/>
      <c r="D400393" s="2"/>
      <c r="E400393" s="2"/>
      <c r="F400393" s="2"/>
      <c r="G400393" s="2"/>
      <c r="H400393" s="2"/>
    </row>
    <row r="400642" spans="3:8" ht="15.6" x14ac:dyDescent="0.25">
      <c r="C400642" s="2"/>
      <c r="D400642" s="2"/>
      <c r="E400642" s="2"/>
      <c r="F400642" s="2"/>
      <c r="G400642" s="2"/>
      <c r="H400642" s="2"/>
    </row>
    <row r="400891" spans="3:8" ht="15.6" x14ac:dyDescent="0.25">
      <c r="C400891" s="2"/>
      <c r="D400891" s="2"/>
      <c r="E400891" s="2"/>
      <c r="F400891" s="2"/>
      <c r="G400891" s="2"/>
      <c r="H400891" s="2"/>
    </row>
    <row r="401140" spans="3:8" ht="15.6" x14ac:dyDescent="0.25">
      <c r="C401140" s="2"/>
      <c r="D401140" s="2"/>
      <c r="E401140" s="2"/>
      <c r="F401140" s="2"/>
      <c r="G401140" s="2"/>
      <c r="H401140" s="2"/>
    </row>
    <row r="401389" spans="3:8" ht="15.6" x14ac:dyDescent="0.25">
      <c r="C401389" s="2"/>
      <c r="D401389" s="2"/>
      <c r="E401389" s="2"/>
      <c r="F401389" s="2"/>
      <c r="G401389" s="2"/>
      <c r="H401389" s="2"/>
    </row>
    <row r="401638" spans="3:8" ht="15.6" x14ac:dyDescent="0.25">
      <c r="C401638" s="2"/>
      <c r="D401638" s="2"/>
      <c r="E401638" s="2"/>
      <c r="F401638" s="2"/>
      <c r="G401638" s="2"/>
      <c r="H401638" s="2"/>
    </row>
    <row r="401887" spans="3:8" ht="15.6" x14ac:dyDescent="0.25">
      <c r="C401887" s="2"/>
      <c r="D401887" s="2"/>
      <c r="E401887" s="2"/>
      <c r="F401887" s="2"/>
      <c r="G401887" s="2"/>
      <c r="H401887" s="2"/>
    </row>
    <row r="402136" spans="3:8" ht="15.6" x14ac:dyDescent="0.25">
      <c r="C402136" s="2"/>
      <c r="D402136" s="2"/>
      <c r="E402136" s="2"/>
      <c r="F402136" s="2"/>
      <c r="G402136" s="2"/>
      <c r="H402136" s="2"/>
    </row>
    <row r="402385" spans="3:8" ht="15.6" x14ac:dyDescent="0.25">
      <c r="C402385" s="2"/>
      <c r="D402385" s="2"/>
      <c r="E402385" s="2"/>
      <c r="F402385" s="2"/>
      <c r="G402385" s="2"/>
      <c r="H402385" s="2"/>
    </row>
    <row r="402634" spans="3:8" ht="15.6" x14ac:dyDescent="0.25">
      <c r="C402634" s="2"/>
      <c r="D402634" s="2"/>
      <c r="E402634" s="2"/>
      <c r="F402634" s="2"/>
      <c r="G402634" s="2"/>
      <c r="H402634" s="2"/>
    </row>
    <row r="402883" spans="3:8" ht="15.6" x14ac:dyDescent="0.25">
      <c r="C402883" s="2"/>
      <c r="D402883" s="2"/>
      <c r="E402883" s="2"/>
      <c r="F402883" s="2"/>
      <c r="G402883" s="2"/>
      <c r="H402883" s="2"/>
    </row>
    <row r="403132" spans="3:8" ht="15.6" x14ac:dyDescent="0.25">
      <c r="C403132" s="2"/>
      <c r="D403132" s="2"/>
      <c r="E403132" s="2"/>
      <c r="F403132" s="2"/>
      <c r="G403132" s="2"/>
      <c r="H403132" s="2"/>
    </row>
    <row r="403381" spans="3:8" ht="15.6" x14ac:dyDescent="0.25">
      <c r="C403381" s="2"/>
      <c r="D403381" s="2"/>
      <c r="E403381" s="2"/>
      <c r="F403381" s="2"/>
      <c r="G403381" s="2"/>
      <c r="H403381" s="2"/>
    </row>
    <row r="403630" spans="3:8" ht="15.6" x14ac:dyDescent="0.25">
      <c r="C403630" s="2"/>
      <c r="D403630" s="2"/>
      <c r="E403630" s="2"/>
      <c r="F403630" s="2"/>
      <c r="G403630" s="2"/>
      <c r="H403630" s="2"/>
    </row>
    <row r="403879" spans="3:8" ht="15.6" x14ac:dyDescent="0.25">
      <c r="C403879" s="2"/>
      <c r="D403879" s="2"/>
      <c r="E403879" s="2"/>
      <c r="F403879" s="2"/>
      <c r="G403879" s="2"/>
      <c r="H403879" s="2"/>
    </row>
    <row r="404128" spans="3:8" ht="15.6" x14ac:dyDescent="0.25">
      <c r="C404128" s="2"/>
      <c r="D404128" s="2"/>
      <c r="E404128" s="2"/>
      <c r="F404128" s="2"/>
      <c r="G404128" s="2"/>
      <c r="H404128" s="2"/>
    </row>
    <row r="404377" spans="3:8" ht="15.6" x14ac:dyDescent="0.25">
      <c r="C404377" s="2"/>
      <c r="D404377" s="2"/>
      <c r="E404377" s="2"/>
      <c r="F404377" s="2"/>
      <c r="G404377" s="2"/>
      <c r="H404377" s="2"/>
    </row>
    <row r="404626" spans="3:8" ht="15.6" x14ac:dyDescent="0.25">
      <c r="C404626" s="2"/>
      <c r="D404626" s="2"/>
      <c r="E404626" s="2"/>
      <c r="F404626" s="2"/>
      <c r="G404626" s="2"/>
      <c r="H404626" s="2"/>
    </row>
    <row r="404875" spans="3:8" ht="15.6" x14ac:dyDescent="0.25">
      <c r="C404875" s="2"/>
      <c r="D404875" s="2"/>
      <c r="E404875" s="2"/>
      <c r="F404875" s="2"/>
      <c r="G404875" s="2"/>
      <c r="H404875" s="2"/>
    </row>
    <row r="405124" spans="3:8" ht="15.6" x14ac:dyDescent="0.25">
      <c r="C405124" s="2"/>
      <c r="D405124" s="2"/>
      <c r="E405124" s="2"/>
      <c r="F405124" s="2"/>
      <c r="G405124" s="2"/>
      <c r="H405124" s="2"/>
    </row>
    <row r="405373" spans="3:8" ht="15.6" x14ac:dyDescent="0.25">
      <c r="C405373" s="2"/>
      <c r="D405373" s="2"/>
      <c r="E405373" s="2"/>
      <c r="F405373" s="2"/>
      <c r="G405373" s="2"/>
      <c r="H405373" s="2"/>
    </row>
    <row r="405622" spans="3:8" ht="15.6" x14ac:dyDescent="0.25">
      <c r="C405622" s="2"/>
      <c r="D405622" s="2"/>
      <c r="E405622" s="2"/>
      <c r="F405622" s="2"/>
      <c r="G405622" s="2"/>
      <c r="H405622" s="2"/>
    </row>
    <row r="405871" spans="3:8" ht="15.6" x14ac:dyDescent="0.25">
      <c r="C405871" s="2"/>
      <c r="D405871" s="2"/>
      <c r="E405871" s="2"/>
      <c r="F405871" s="2"/>
      <c r="G405871" s="2"/>
      <c r="H405871" s="2"/>
    </row>
    <row r="406120" spans="3:8" ht="15.6" x14ac:dyDescent="0.25">
      <c r="C406120" s="2"/>
      <c r="D406120" s="2"/>
      <c r="E406120" s="2"/>
      <c r="F406120" s="2"/>
      <c r="G406120" s="2"/>
      <c r="H406120" s="2"/>
    </row>
    <row r="406369" spans="3:8" ht="15.6" x14ac:dyDescent="0.25">
      <c r="C406369" s="2"/>
      <c r="D406369" s="2"/>
      <c r="E406369" s="2"/>
      <c r="F406369" s="2"/>
      <c r="G406369" s="2"/>
      <c r="H406369" s="2"/>
    </row>
    <row r="406618" spans="3:8" ht="15.6" x14ac:dyDescent="0.25">
      <c r="C406618" s="2"/>
      <c r="D406618" s="2"/>
      <c r="E406618" s="2"/>
      <c r="F406618" s="2"/>
      <c r="G406618" s="2"/>
      <c r="H406618" s="2"/>
    </row>
    <row r="406867" spans="3:8" ht="15.6" x14ac:dyDescent="0.25">
      <c r="C406867" s="2"/>
      <c r="D406867" s="2"/>
      <c r="E406867" s="2"/>
      <c r="F406867" s="2"/>
      <c r="G406867" s="2"/>
      <c r="H406867" s="2"/>
    </row>
    <row r="407116" spans="3:8" ht="15.6" x14ac:dyDescent="0.25">
      <c r="C407116" s="2"/>
      <c r="D407116" s="2"/>
      <c r="E407116" s="2"/>
      <c r="F407116" s="2"/>
      <c r="G407116" s="2"/>
      <c r="H407116" s="2"/>
    </row>
    <row r="407365" spans="3:8" ht="15.6" x14ac:dyDescent="0.25">
      <c r="C407365" s="2"/>
      <c r="D407365" s="2"/>
      <c r="E407365" s="2"/>
      <c r="F407365" s="2"/>
      <c r="G407365" s="2"/>
      <c r="H407365" s="2"/>
    </row>
    <row r="407614" spans="3:8" ht="15.6" x14ac:dyDescent="0.25">
      <c r="C407614" s="2"/>
      <c r="D407614" s="2"/>
      <c r="E407614" s="2"/>
      <c r="F407614" s="2"/>
      <c r="G407614" s="2"/>
      <c r="H407614" s="2"/>
    </row>
    <row r="407863" spans="3:8" ht="15.6" x14ac:dyDescent="0.25">
      <c r="C407863" s="2"/>
      <c r="D407863" s="2"/>
      <c r="E407863" s="2"/>
      <c r="F407863" s="2"/>
      <c r="G407863" s="2"/>
      <c r="H407863" s="2"/>
    </row>
    <row r="408112" spans="3:8" ht="15.6" x14ac:dyDescent="0.25">
      <c r="C408112" s="2"/>
      <c r="D408112" s="2"/>
      <c r="E408112" s="2"/>
      <c r="F408112" s="2"/>
      <c r="G408112" s="2"/>
      <c r="H408112" s="2"/>
    </row>
    <row r="408361" spans="3:8" ht="15.6" x14ac:dyDescent="0.25">
      <c r="C408361" s="2"/>
      <c r="D408361" s="2"/>
      <c r="E408361" s="2"/>
      <c r="F408361" s="2"/>
      <c r="G408361" s="2"/>
      <c r="H408361" s="2"/>
    </row>
    <row r="408610" spans="3:8" ht="15.6" x14ac:dyDescent="0.25">
      <c r="C408610" s="2"/>
      <c r="D408610" s="2"/>
      <c r="E408610" s="2"/>
      <c r="F408610" s="2"/>
      <c r="G408610" s="2"/>
      <c r="H408610" s="2"/>
    </row>
    <row r="408859" spans="3:8" ht="15.6" x14ac:dyDescent="0.25">
      <c r="C408859" s="2"/>
      <c r="D408859" s="2"/>
      <c r="E408859" s="2"/>
      <c r="F408859" s="2"/>
      <c r="G408859" s="2"/>
      <c r="H408859" s="2"/>
    </row>
    <row r="409108" spans="3:8" ht="15.6" x14ac:dyDescent="0.25">
      <c r="C409108" s="2"/>
      <c r="D409108" s="2"/>
      <c r="E409108" s="2"/>
      <c r="F409108" s="2"/>
      <c r="G409108" s="2"/>
      <c r="H409108" s="2"/>
    </row>
    <row r="409357" spans="3:8" ht="15.6" x14ac:dyDescent="0.25">
      <c r="C409357" s="2"/>
      <c r="D409357" s="2"/>
      <c r="E409357" s="2"/>
      <c r="F409357" s="2"/>
      <c r="G409357" s="2"/>
      <c r="H409357" s="2"/>
    </row>
    <row r="409606" spans="3:8" ht="15.6" x14ac:dyDescent="0.25">
      <c r="C409606" s="2"/>
      <c r="D409606" s="2"/>
      <c r="E409606" s="2"/>
      <c r="F409606" s="2"/>
      <c r="G409606" s="2"/>
      <c r="H409606" s="2"/>
    </row>
    <row r="409855" spans="3:8" ht="15.6" x14ac:dyDescent="0.25">
      <c r="C409855" s="2"/>
      <c r="D409855" s="2"/>
      <c r="E409855" s="2"/>
      <c r="F409855" s="2"/>
      <c r="G409855" s="2"/>
      <c r="H409855" s="2"/>
    </row>
    <row r="410104" spans="3:8" ht="15.6" x14ac:dyDescent="0.25">
      <c r="C410104" s="2"/>
      <c r="D410104" s="2"/>
      <c r="E410104" s="2"/>
      <c r="F410104" s="2"/>
      <c r="G410104" s="2"/>
      <c r="H410104" s="2"/>
    </row>
    <row r="410353" spans="3:8" ht="15.6" x14ac:dyDescent="0.25">
      <c r="C410353" s="2"/>
      <c r="D410353" s="2"/>
      <c r="E410353" s="2"/>
      <c r="F410353" s="2"/>
      <c r="G410353" s="2"/>
      <c r="H410353" s="2"/>
    </row>
    <row r="410602" spans="3:8" ht="15.6" x14ac:dyDescent="0.25">
      <c r="C410602" s="2"/>
      <c r="D410602" s="2"/>
      <c r="E410602" s="2"/>
      <c r="F410602" s="2"/>
      <c r="G410602" s="2"/>
      <c r="H410602" s="2"/>
    </row>
    <row r="410851" spans="3:8" ht="15.6" x14ac:dyDescent="0.25">
      <c r="C410851" s="2"/>
      <c r="D410851" s="2"/>
      <c r="E410851" s="2"/>
      <c r="F410851" s="2"/>
      <c r="G410851" s="2"/>
      <c r="H410851" s="2"/>
    </row>
    <row r="411100" spans="3:8" ht="15.6" x14ac:dyDescent="0.25">
      <c r="C411100" s="2"/>
      <c r="D411100" s="2"/>
      <c r="E411100" s="2"/>
      <c r="F411100" s="2"/>
      <c r="G411100" s="2"/>
      <c r="H411100" s="2"/>
    </row>
    <row r="411349" spans="3:8" ht="15.6" x14ac:dyDescent="0.25">
      <c r="C411349" s="2"/>
      <c r="D411349" s="2"/>
      <c r="E411349" s="2"/>
      <c r="F411349" s="2"/>
      <c r="G411349" s="2"/>
      <c r="H411349" s="2"/>
    </row>
    <row r="411598" spans="3:8" ht="15.6" x14ac:dyDescent="0.25">
      <c r="C411598" s="2"/>
      <c r="D411598" s="2"/>
      <c r="E411598" s="2"/>
      <c r="F411598" s="2"/>
      <c r="G411598" s="2"/>
      <c r="H411598" s="2"/>
    </row>
    <row r="411847" spans="3:8" ht="15.6" x14ac:dyDescent="0.25">
      <c r="C411847" s="2"/>
      <c r="D411847" s="2"/>
      <c r="E411847" s="2"/>
      <c r="F411847" s="2"/>
      <c r="G411847" s="2"/>
      <c r="H411847" s="2"/>
    </row>
    <row r="412096" spans="3:8" ht="15.6" x14ac:dyDescent="0.25">
      <c r="C412096" s="2"/>
      <c r="D412096" s="2"/>
      <c r="E412096" s="2"/>
      <c r="F412096" s="2"/>
      <c r="G412096" s="2"/>
      <c r="H412096" s="2"/>
    </row>
    <row r="412345" spans="3:8" ht="15.6" x14ac:dyDescent="0.25">
      <c r="C412345" s="2"/>
      <c r="D412345" s="2"/>
      <c r="E412345" s="2"/>
      <c r="F412345" s="2"/>
      <c r="G412345" s="2"/>
      <c r="H412345" s="2"/>
    </row>
    <row r="412594" spans="3:8" ht="15.6" x14ac:dyDescent="0.25">
      <c r="C412594" s="2"/>
      <c r="D412594" s="2"/>
      <c r="E412594" s="2"/>
      <c r="F412594" s="2"/>
      <c r="G412594" s="2"/>
      <c r="H412594" s="2"/>
    </row>
    <row r="412843" spans="3:8" ht="15.6" x14ac:dyDescent="0.25">
      <c r="C412843" s="2"/>
      <c r="D412843" s="2"/>
      <c r="E412843" s="2"/>
      <c r="F412843" s="2"/>
      <c r="G412843" s="2"/>
      <c r="H412843" s="2"/>
    </row>
    <row r="413092" spans="3:8" ht="15.6" x14ac:dyDescent="0.25">
      <c r="C413092" s="2"/>
      <c r="D413092" s="2"/>
      <c r="E413092" s="2"/>
      <c r="F413092" s="2"/>
      <c r="G413092" s="2"/>
      <c r="H413092" s="2"/>
    </row>
    <row r="413341" spans="3:8" ht="15.6" x14ac:dyDescent="0.25">
      <c r="C413341" s="2"/>
      <c r="D413341" s="2"/>
      <c r="E413341" s="2"/>
      <c r="F413341" s="2"/>
      <c r="G413341" s="2"/>
      <c r="H413341" s="2"/>
    </row>
    <row r="413590" spans="3:8" ht="15.6" x14ac:dyDescent="0.25">
      <c r="C413590" s="2"/>
      <c r="D413590" s="2"/>
      <c r="E413590" s="2"/>
      <c r="F413590" s="2"/>
      <c r="G413590" s="2"/>
      <c r="H413590" s="2"/>
    </row>
    <row r="413839" spans="3:8" ht="15.6" x14ac:dyDescent="0.25">
      <c r="C413839" s="2"/>
      <c r="D413839" s="2"/>
      <c r="E413839" s="2"/>
      <c r="F413839" s="2"/>
      <c r="G413839" s="2"/>
      <c r="H413839" s="2"/>
    </row>
    <row r="414088" spans="3:8" ht="15.6" x14ac:dyDescent="0.25">
      <c r="C414088" s="2"/>
      <c r="D414088" s="2"/>
      <c r="E414088" s="2"/>
      <c r="F414088" s="2"/>
      <c r="G414088" s="2"/>
      <c r="H414088" s="2"/>
    </row>
    <row r="414337" spans="3:8" ht="15.6" x14ac:dyDescent="0.25">
      <c r="C414337" s="2"/>
      <c r="D414337" s="2"/>
      <c r="E414337" s="2"/>
      <c r="F414337" s="2"/>
      <c r="G414337" s="2"/>
      <c r="H414337" s="2"/>
    </row>
    <row r="414586" spans="3:8" ht="15.6" x14ac:dyDescent="0.25">
      <c r="C414586" s="2"/>
      <c r="D414586" s="2"/>
      <c r="E414586" s="2"/>
      <c r="F414586" s="2"/>
      <c r="G414586" s="2"/>
      <c r="H414586" s="2"/>
    </row>
    <row r="414835" spans="3:8" ht="15.6" x14ac:dyDescent="0.25">
      <c r="C414835" s="2"/>
      <c r="D414835" s="2"/>
      <c r="E414835" s="2"/>
      <c r="F414835" s="2"/>
      <c r="G414835" s="2"/>
      <c r="H414835" s="2"/>
    </row>
    <row r="415084" spans="3:8" ht="15.6" x14ac:dyDescent="0.25">
      <c r="C415084" s="2"/>
      <c r="D415084" s="2"/>
      <c r="E415084" s="2"/>
      <c r="F415084" s="2"/>
      <c r="G415084" s="2"/>
      <c r="H415084" s="2"/>
    </row>
    <row r="415333" spans="3:8" ht="15.6" x14ac:dyDescent="0.25">
      <c r="C415333" s="2"/>
      <c r="D415333" s="2"/>
      <c r="E415333" s="2"/>
      <c r="F415333" s="2"/>
      <c r="G415333" s="2"/>
      <c r="H415333" s="2"/>
    </row>
    <row r="415582" spans="3:8" ht="15.6" x14ac:dyDescent="0.25">
      <c r="C415582" s="2"/>
      <c r="D415582" s="2"/>
      <c r="E415582" s="2"/>
      <c r="F415582" s="2"/>
      <c r="G415582" s="2"/>
      <c r="H415582" s="2"/>
    </row>
    <row r="415831" spans="3:8" ht="15.6" x14ac:dyDescent="0.25">
      <c r="C415831" s="2"/>
      <c r="D415831" s="2"/>
      <c r="E415831" s="2"/>
      <c r="F415831" s="2"/>
      <c r="G415831" s="2"/>
      <c r="H415831" s="2"/>
    </row>
    <row r="416080" spans="3:8" ht="15.6" x14ac:dyDescent="0.25">
      <c r="C416080" s="2"/>
      <c r="D416080" s="2"/>
      <c r="E416080" s="2"/>
      <c r="F416080" s="2"/>
      <c r="G416080" s="2"/>
      <c r="H416080" s="2"/>
    </row>
    <row r="416329" spans="3:8" ht="15.6" x14ac:dyDescent="0.25">
      <c r="C416329" s="2"/>
      <c r="D416329" s="2"/>
      <c r="E416329" s="2"/>
      <c r="F416329" s="2"/>
      <c r="G416329" s="2"/>
      <c r="H416329" s="2"/>
    </row>
    <row r="416578" spans="3:8" ht="15.6" x14ac:dyDescent="0.25">
      <c r="C416578" s="2"/>
      <c r="D416578" s="2"/>
      <c r="E416578" s="2"/>
      <c r="F416578" s="2"/>
      <c r="G416578" s="2"/>
      <c r="H416578" s="2"/>
    </row>
    <row r="416827" spans="3:8" ht="15.6" x14ac:dyDescent="0.25">
      <c r="C416827" s="2"/>
      <c r="D416827" s="2"/>
      <c r="E416827" s="2"/>
      <c r="F416827" s="2"/>
      <c r="G416827" s="2"/>
      <c r="H416827" s="2"/>
    </row>
    <row r="417076" spans="3:8" ht="15.6" x14ac:dyDescent="0.25">
      <c r="C417076" s="2"/>
      <c r="D417076" s="2"/>
      <c r="E417076" s="2"/>
      <c r="F417076" s="2"/>
      <c r="G417076" s="2"/>
      <c r="H417076" s="2"/>
    </row>
    <row r="417325" spans="3:8" ht="15.6" x14ac:dyDescent="0.25">
      <c r="C417325" s="2"/>
      <c r="D417325" s="2"/>
      <c r="E417325" s="2"/>
      <c r="F417325" s="2"/>
      <c r="G417325" s="2"/>
      <c r="H417325" s="2"/>
    </row>
    <row r="417574" spans="3:8" ht="15.6" x14ac:dyDescent="0.25">
      <c r="C417574" s="2"/>
      <c r="D417574" s="2"/>
      <c r="E417574" s="2"/>
      <c r="F417574" s="2"/>
      <c r="G417574" s="2"/>
      <c r="H417574" s="2"/>
    </row>
    <row r="417823" spans="3:8" ht="15.6" x14ac:dyDescent="0.25">
      <c r="C417823" s="2"/>
      <c r="D417823" s="2"/>
      <c r="E417823" s="2"/>
      <c r="F417823" s="2"/>
      <c r="G417823" s="2"/>
      <c r="H417823" s="2"/>
    </row>
    <row r="418072" spans="3:8" ht="15.6" x14ac:dyDescent="0.25">
      <c r="C418072" s="2"/>
      <c r="D418072" s="2"/>
      <c r="E418072" s="2"/>
      <c r="F418072" s="2"/>
      <c r="G418072" s="2"/>
      <c r="H418072" s="2"/>
    </row>
    <row r="418321" spans="3:8" ht="15.6" x14ac:dyDescent="0.25">
      <c r="C418321" s="2"/>
      <c r="D418321" s="2"/>
      <c r="E418321" s="2"/>
      <c r="F418321" s="2"/>
      <c r="G418321" s="2"/>
      <c r="H418321" s="2"/>
    </row>
    <row r="418570" spans="3:8" ht="15.6" x14ac:dyDescent="0.25">
      <c r="C418570" s="2"/>
      <c r="D418570" s="2"/>
      <c r="E418570" s="2"/>
      <c r="F418570" s="2"/>
      <c r="G418570" s="2"/>
      <c r="H418570" s="2"/>
    </row>
    <row r="418819" spans="3:8" ht="15.6" x14ac:dyDescent="0.25">
      <c r="C418819" s="2"/>
      <c r="D418819" s="2"/>
      <c r="E418819" s="2"/>
      <c r="F418819" s="2"/>
      <c r="G418819" s="2"/>
      <c r="H418819" s="2"/>
    </row>
    <row r="419068" spans="3:8" ht="15.6" x14ac:dyDescent="0.25">
      <c r="C419068" s="2"/>
      <c r="D419068" s="2"/>
      <c r="E419068" s="2"/>
      <c r="F419068" s="2"/>
      <c r="G419068" s="2"/>
      <c r="H419068" s="2"/>
    </row>
    <row r="419317" spans="3:8" ht="15.6" x14ac:dyDescent="0.25">
      <c r="C419317" s="2"/>
      <c r="D419317" s="2"/>
      <c r="E419317" s="2"/>
      <c r="F419317" s="2"/>
      <c r="G419317" s="2"/>
      <c r="H419317" s="2"/>
    </row>
    <row r="419566" spans="3:8" ht="15.6" x14ac:dyDescent="0.25">
      <c r="C419566" s="2"/>
      <c r="D419566" s="2"/>
      <c r="E419566" s="2"/>
      <c r="F419566" s="2"/>
      <c r="G419566" s="2"/>
      <c r="H419566" s="2"/>
    </row>
    <row r="419815" spans="3:8" ht="15.6" x14ac:dyDescent="0.25">
      <c r="C419815" s="2"/>
      <c r="D419815" s="2"/>
      <c r="E419815" s="2"/>
      <c r="F419815" s="2"/>
      <c r="G419815" s="2"/>
      <c r="H419815" s="2"/>
    </row>
    <row r="420064" spans="3:8" ht="15.6" x14ac:dyDescent="0.25">
      <c r="C420064" s="2"/>
      <c r="D420064" s="2"/>
      <c r="E420064" s="2"/>
      <c r="F420064" s="2"/>
      <c r="G420064" s="2"/>
      <c r="H420064" s="2"/>
    </row>
    <row r="420313" spans="3:8" ht="15.6" x14ac:dyDescent="0.25">
      <c r="C420313" s="2"/>
      <c r="D420313" s="2"/>
      <c r="E420313" s="2"/>
      <c r="F420313" s="2"/>
      <c r="G420313" s="2"/>
      <c r="H420313" s="2"/>
    </row>
    <row r="420562" spans="3:8" ht="15.6" x14ac:dyDescent="0.25">
      <c r="C420562" s="2"/>
      <c r="D420562" s="2"/>
      <c r="E420562" s="2"/>
      <c r="F420562" s="2"/>
      <c r="G420562" s="2"/>
      <c r="H420562" s="2"/>
    </row>
    <row r="420811" spans="3:8" ht="15.6" x14ac:dyDescent="0.25">
      <c r="C420811" s="2"/>
      <c r="D420811" s="2"/>
      <c r="E420811" s="2"/>
      <c r="F420811" s="2"/>
      <c r="G420811" s="2"/>
      <c r="H420811" s="2"/>
    </row>
    <row r="421060" spans="3:8" ht="15.6" x14ac:dyDescent="0.25">
      <c r="C421060" s="2"/>
      <c r="D421060" s="2"/>
      <c r="E421060" s="2"/>
      <c r="F421060" s="2"/>
      <c r="G421060" s="2"/>
      <c r="H421060" s="2"/>
    </row>
    <row r="421309" spans="3:8" ht="15.6" x14ac:dyDescent="0.25">
      <c r="C421309" s="2"/>
      <c r="D421309" s="2"/>
      <c r="E421309" s="2"/>
      <c r="F421309" s="2"/>
      <c r="G421309" s="2"/>
      <c r="H421309" s="2"/>
    </row>
    <row r="421558" spans="3:8" ht="15.6" x14ac:dyDescent="0.25">
      <c r="C421558" s="2"/>
      <c r="D421558" s="2"/>
      <c r="E421558" s="2"/>
      <c r="F421558" s="2"/>
      <c r="G421558" s="2"/>
      <c r="H421558" s="2"/>
    </row>
    <row r="421807" spans="3:8" ht="15.6" x14ac:dyDescent="0.25">
      <c r="C421807" s="2"/>
      <c r="D421807" s="2"/>
      <c r="E421807" s="2"/>
      <c r="F421807" s="2"/>
      <c r="G421807" s="2"/>
      <c r="H421807" s="2"/>
    </row>
    <row r="422056" spans="3:8" ht="15.6" x14ac:dyDescent="0.25">
      <c r="C422056" s="2"/>
      <c r="D422056" s="2"/>
      <c r="E422056" s="2"/>
      <c r="F422056" s="2"/>
      <c r="G422056" s="2"/>
      <c r="H422056" s="2"/>
    </row>
    <row r="422305" spans="3:8" ht="15.6" x14ac:dyDescent="0.25">
      <c r="C422305" s="2"/>
      <c r="D422305" s="2"/>
      <c r="E422305" s="2"/>
      <c r="F422305" s="2"/>
      <c r="G422305" s="2"/>
      <c r="H422305" s="2"/>
    </row>
    <row r="422554" spans="3:8" ht="15.6" x14ac:dyDescent="0.25">
      <c r="C422554" s="2"/>
      <c r="D422554" s="2"/>
      <c r="E422554" s="2"/>
      <c r="F422554" s="2"/>
      <c r="G422554" s="2"/>
      <c r="H422554" s="2"/>
    </row>
    <row r="422803" spans="3:8" ht="15.6" x14ac:dyDescent="0.25">
      <c r="C422803" s="2"/>
      <c r="D422803" s="2"/>
      <c r="E422803" s="2"/>
      <c r="F422803" s="2"/>
      <c r="G422803" s="2"/>
      <c r="H422803" s="2"/>
    </row>
    <row r="423052" spans="3:8" ht="15.6" x14ac:dyDescent="0.25">
      <c r="C423052" s="2"/>
      <c r="D423052" s="2"/>
      <c r="E423052" s="2"/>
      <c r="F423052" s="2"/>
      <c r="G423052" s="2"/>
      <c r="H423052" s="2"/>
    </row>
    <row r="423301" spans="3:8" ht="15.6" x14ac:dyDescent="0.25">
      <c r="C423301" s="2"/>
      <c r="D423301" s="2"/>
      <c r="E423301" s="2"/>
      <c r="F423301" s="2"/>
      <c r="G423301" s="2"/>
      <c r="H423301" s="2"/>
    </row>
    <row r="423550" spans="3:8" ht="15.6" x14ac:dyDescent="0.25">
      <c r="C423550" s="2"/>
      <c r="D423550" s="2"/>
      <c r="E423550" s="2"/>
      <c r="F423550" s="2"/>
      <c r="G423550" s="2"/>
      <c r="H423550" s="2"/>
    </row>
    <row r="423799" spans="3:8" ht="15.6" x14ac:dyDescent="0.25">
      <c r="C423799" s="2"/>
      <c r="D423799" s="2"/>
      <c r="E423799" s="2"/>
      <c r="F423799" s="2"/>
      <c r="G423799" s="2"/>
      <c r="H423799" s="2"/>
    </row>
    <row r="424048" spans="3:8" ht="15.6" x14ac:dyDescent="0.25">
      <c r="C424048" s="2"/>
      <c r="D424048" s="2"/>
      <c r="E424048" s="2"/>
      <c r="F424048" s="2"/>
      <c r="G424048" s="2"/>
      <c r="H424048" s="2"/>
    </row>
    <row r="424297" spans="3:8" ht="15.6" x14ac:dyDescent="0.25">
      <c r="C424297" s="2"/>
      <c r="D424297" s="2"/>
      <c r="E424297" s="2"/>
      <c r="F424297" s="2"/>
      <c r="G424297" s="2"/>
      <c r="H424297" s="2"/>
    </row>
    <row r="424546" spans="3:8" ht="15.6" x14ac:dyDescent="0.25">
      <c r="C424546" s="2"/>
      <c r="D424546" s="2"/>
      <c r="E424546" s="2"/>
      <c r="F424546" s="2"/>
      <c r="G424546" s="2"/>
      <c r="H424546" s="2"/>
    </row>
    <row r="424795" spans="3:8" ht="15.6" x14ac:dyDescent="0.25">
      <c r="C424795" s="2"/>
      <c r="D424795" s="2"/>
      <c r="E424795" s="2"/>
      <c r="F424795" s="2"/>
      <c r="G424795" s="2"/>
      <c r="H424795" s="2"/>
    </row>
    <row r="425044" spans="3:8" ht="15.6" x14ac:dyDescent="0.25">
      <c r="C425044" s="2"/>
      <c r="D425044" s="2"/>
      <c r="E425044" s="2"/>
      <c r="F425044" s="2"/>
      <c r="G425044" s="2"/>
      <c r="H425044" s="2"/>
    </row>
    <row r="425293" spans="3:8" ht="15.6" x14ac:dyDescent="0.25">
      <c r="C425293" s="2"/>
      <c r="D425293" s="2"/>
      <c r="E425293" s="2"/>
      <c r="F425293" s="2"/>
      <c r="G425293" s="2"/>
      <c r="H425293" s="2"/>
    </row>
    <row r="425542" spans="3:8" ht="15.6" x14ac:dyDescent="0.25">
      <c r="C425542" s="2"/>
      <c r="D425542" s="2"/>
      <c r="E425542" s="2"/>
      <c r="F425542" s="2"/>
      <c r="G425542" s="2"/>
      <c r="H425542" s="2"/>
    </row>
    <row r="425791" spans="3:8" ht="15.6" x14ac:dyDescent="0.25">
      <c r="C425791" s="2"/>
      <c r="D425791" s="2"/>
      <c r="E425791" s="2"/>
      <c r="F425791" s="2"/>
      <c r="G425791" s="2"/>
      <c r="H425791" s="2"/>
    </row>
    <row r="426040" spans="3:8" ht="15.6" x14ac:dyDescent="0.25">
      <c r="C426040" s="2"/>
      <c r="D426040" s="2"/>
      <c r="E426040" s="2"/>
      <c r="F426040" s="2"/>
      <c r="G426040" s="2"/>
      <c r="H426040" s="2"/>
    </row>
    <row r="426289" spans="3:8" ht="15.6" x14ac:dyDescent="0.25">
      <c r="C426289" s="2"/>
      <c r="D426289" s="2"/>
      <c r="E426289" s="2"/>
      <c r="F426289" s="2"/>
      <c r="G426289" s="2"/>
      <c r="H426289" s="2"/>
    </row>
    <row r="426538" spans="3:8" ht="15.6" x14ac:dyDescent="0.25">
      <c r="C426538" s="2"/>
      <c r="D426538" s="2"/>
      <c r="E426538" s="2"/>
      <c r="F426538" s="2"/>
      <c r="G426538" s="2"/>
      <c r="H426538" s="2"/>
    </row>
    <row r="426787" spans="3:8" ht="15.6" x14ac:dyDescent="0.25">
      <c r="C426787" s="2"/>
      <c r="D426787" s="2"/>
      <c r="E426787" s="2"/>
      <c r="F426787" s="2"/>
      <c r="G426787" s="2"/>
      <c r="H426787" s="2"/>
    </row>
    <row r="427036" spans="3:8" ht="15.6" x14ac:dyDescent="0.25">
      <c r="C427036" s="2"/>
      <c r="D427036" s="2"/>
      <c r="E427036" s="2"/>
      <c r="F427036" s="2"/>
      <c r="G427036" s="2"/>
      <c r="H427036" s="2"/>
    </row>
    <row r="427285" spans="3:8" ht="15.6" x14ac:dyDescent="0.25">
      <c r="C427285" s="2"/>
      <c r="D427285" s="2"/>
      <c r="E427285" s="2"/>
      <c r="F427285" s="2"/>
      <c r="G427285" s="2"/>
      <c r="H427285" s="2"/>
    </row>
    <row r="427534" spans="3:8" ht="15.6" x14ac:dyDescent="0.25">
      <c r="C427534" s="2"/>
      <c r="D427534" s="2"/>
      <c r="E427534" s="2"/>
      <c r="F427534" s="2"/>
      <c r="G427534" s="2"/>
      <c r="H427534" s="2"/>
    </row>
    <row r="427783" spans="3:8" ht="15.6" x14ac:dyDescent="0.25">
      <c r="C427783" s="2"/>
      <c r="D427783" s="2"/>
      <c r="E427783" s="2"/>
      <c r="F427783" s="2"/>
      <c r="G427783" s="2"/>
      <c r="H427783" s="2"/>
    </row>
    <row r="428032" spans="3:8" ht="15.6" x14ac:dyDescent="0.25">
      <c r="C428032" s="2"/>
      <c r="D428032" s="2"/>
      <c r="E428032" s="2"/>
      <c r="F428032" s="2"/>
      <c r="G428032" s="2"/>
      <c r="H428032" s="2"/>
    </row>
    <row r="428281" spans="3:8" ht="15.6" x14ac:dyDescent="0.25">
      <c r="C428281" s="2"/>
      <c r="D428281" s="2"/>
      <c r="E428281" s="2"/>
      <c r="F428281" s="2"/>
      <c r="G428281" s="2"/>
      <c r="H428281" s="2"/>
    </row>
    <row r="428530" spans="3:8" ht="15.6" x14ac:dyDescent="0.25">
      <c r="C428530" s="2"/>
      <c r="D428530" s="2"/>
      <c r="E428530" s="2"/>
      <c r="F428530" s="2"/>
      <c r="G428530" s="2"/>
      <c r="H428530" s="2"/>
    </row>
    <row r="428779" spans="3:8" ht="15.6" x14ac:dyDescent="0.25">
      <c r="C428779" s="2"/>
      <c r="D428779" s="2"/>
      <c r="E428779" s="2"/>
      <c r="F428779" s="2"/>
      <c r="G428779" s="2"/>
      <c r="H428779" s="2"/>
    </row>
    <row r="429028" spans="3:8" ht="15.6" x14ac:dyDescent="0.25">
      <c r="C429028" s="2"/>
      <c r="D429028" s="2"/>
      <c r="E429028" s="2"/>
      <c r="F429028" s="2"/>
      <c r="G429028" s="2"/>
      <c r="H429028" s="2"/>
    </row>
    <row r="429277" spans="3:8" ht="15.6" x14ac:dyDescent="0.25">
      <c r="C429277" s="2"/>
      <c r="D429277" s="2"/>
      <c r="E429277" s="2"/>
      <c r="F429277" s="2"/>
      <c r="G429277" s="2"/>
      <c r="H429277" s="2"/>
    </row>
    <row r="429526" spans="3:8" ht="15.6" x14ac:dyDescent="0.25">
      <c r="C429526" s="2"/>
      <c r="D429526" s="2"/>
      <c r="E429526" s="2"/>
      <c r="F429526" s="2"/>
      <c r="G429526" s="2"/>
      <c r="H429526" s="2"/>
    </row>
    <row r="429775" spans="3:8" ht="15.6" x14ac:dyDescent="0.25">
      <c r="C429775" s="2"/>
      <c r="D429775" s="2"/>
      <c r="E429775" s="2"/>
      <c r="F429775" s="2"/>
      <c r="G429775" s="2"/>
      <c r="H429775" s="2"/>
    </row>
    <row r="430024" spans="3:8" ht="15.6" x14ac:dyDescent="0.25">
      <c r="C430024" s="2"/>
      <c r="D430024" s="2"/>
      <c r="E430024" s="2"/>
      <c r="F430024" s="2"/>
      <c r="G430024" s="2"/>
      <c r="H430024" s="2"/>
    </row>
    <row r="430273" spans="3:8" ht="15.6" x14ac:dyDescent="0.25">
      <c r="C430273" s="2"/>
      <c r="D430273" s="2"/>
      <c r="E430273" s="2"/>
      <c r="F430273" s="2"/>
      <c r="G430273" s="2"/>
      <c r="H430273" s="2"/>
    </row>
    <row r="430522" spans="3:8" ht="15.6" x14ac:dyDescent="0.25">
      <c r="C430522" s="2"/>
      <c r="D430522" s="2"/>
      <c r="E430522" s="2"/>
      <c r="F430522" s="2"/>
      <c r="G430522" s="2"/>
      <c r="H430522" s="2"/>
    </row>
    <row r="430771" spans="3:8" ht="15.6" x14ac:dyDescent="0.25">
      <c r="C430771" s="2"/>
      <c r="D430771" s="2"/>
      <c r="E430771" s="2"/>
      <c r="F430771" s="2"/>
      <c r="G430771" s="2"/>
      <c r="H430771" s="2"/>
    </row>
    <row r="431020" spans="3:8" ht="15.6" x14ac:dyDescent="0.25">
      <c r="C431020" s="2"/>
      <c r="D431020" s="2"/>
      <c r="E431020" s="2"/>
      <c r="F431020" s="2"/>
      <c r="G431020" s="2"/>
      <c r="H431020" s="2"/>
    </row>
    <row r="431269" spans="3:8" ht="15.6" x14ac:dyDescent="0.25">
      <c r="C431269" s="2"/>
      <c r="D431269" s="2"/>
      <c r="E431269" s="2"/>
      <c r="F431269" s="2"/>
      <c r="G431269" s="2"/>
      <c r="H431269" s="2"/>
    </row>
    <row r="431518" spans="3:8" ht="15.6" x14ac:dyDescent="0.25">
      <c r="C431518" s="2"/>
      <c r="D431518" s="2"/>
      <c r="E431518" s="2"/>
      <c r="F431518" s="2"/>
      <c r="G431518" s="2"/>
      <c r="H431518" s="2"/>
    </row>
    <row r="431767" spans="3:8" ht="15.6" x14ac:dyDescent="0.25">
      <c r="C431767" s="2"/>
      <c r="D431767" s="2"/>
      <c r="E431767" s="2"/>
      <c r="F431767" s="2"/>
      <c r="G431767" s="2"/>
      <c r="H431767" s="2"/>
    </row>
    <row r="432016" spans="3:8" ht="15.6" x14ac:dyDescent="0.25">
      <c r="C432016" s="2"/>
      <c r="D432016" s="2"/>
      <c r="E432016" s="2"/>
      <c r="F432016" s="2"/>
      <c r="G432016" s="2"/>
      <c r="H432016" s="2"/>
    </row>
    <row r="432265" spans="3:8" ht="15.6" x14ac:dyDescent="0.25">
      <c r="C432265" s="2"/>
      <c r="D432265" s="2"/>
      <c r="E432265" s="2"/>
      <c r="F432265" s="2"/>
      <c r="G432265" s="2"/>
      <c r="H432265" s="2"/>
    </row>
    <row r="432514" spans="3:8" ht="15.6" x14ac:dyDescent="0.25">
      <c r="C432514" s="2"/>
      <c r="D432514" s="2"/>
      <c r="E432514" s="2"/>
      <c r="F432514" s="2"/>
      <c r="G432514" s="2"/>
      <c r="H432514" s="2"/>
    </row>
    <row r="432763" spans="3:8" ht="15.6" x14ac:dyDescent="0.25">
      <c r="C432763" s="2"/>
      <c r="D432763" s="2"/>
      <c r="E432763" s="2"/>
      <c r="F432763" s="2"/>
      <c r="G432763" s="2"/>
      <c r="H432763" s="2"/>
    </row>
    <row r="433012" spans="3:8" ht="15.6" x14ac:dyDescent="0.25">
      <c r="C433012" s="2"/>
      <c r="D433012" s="2"/>
      <c r="E433012" s="2"/>
      <c r="F433012" s="2"/>
      <c r="G433012" s="2"/>
      <c r="H433012" s="2"/>
    </row>
    <row r="433261" spans="3:8" ht="15.6" x14ac:dyDescent="0.25">
      <c r="C433261" s="2"/>
      <c r="D433261" s="2"/>
      <c r="E433261" s="2"/>
      <c r="F433261" s="2"/>
      <c r="G433261" s="2"/>
      <c r="H433261" s="2"/>
    </row>
    <row r="433510" spans="3:8" ht="15.6" x14ac:dyDescent="0.25">
      <c r="C433510" s="2"/>
      <c r="D433510" s="2"/>
      <c r="E433510" s="2"/>
      <c r="F433510" s="2"/>
      <c r="G433510" s="2"/>
      <c r="H433510" s="2"/>
    </row>
    <row r="433759" spans="3:8" ht="15.6" x14ac:dyDescent="0.25">
      <c r="C433759" s="2"/>
      <c r="D433759" s="2"/>
      <c r="E433759" s="2"/>
      <c r="F433759" s="2"/>
      <c r="G433759" s="2"/>
      <c r="H433759" s="2"/>
    </row>
    <row r="434008" spans="3:8" ht="15.6" x14ac:dyDescent="0.25">
      <c r="C434008" s="2"/>
      <c r="D434008" s="2"/>
      <c r="E434008" s="2"/>
      <c r="F434008" s="2"/>
      <c r="G434008" s="2"/>
      <c r="H434008" s="2"/>
    </row>
    <row r="434257" spans="3:8" ht="15.6" x14ac:dyDescent="0.25">
      <c r="C434257" s="2"/>
      <c r="D434257" s="2"/>
      <c r="E434257" s="2"/>
      <c r="F434257" s="2"/>
      <c r="G434257" s="2"/>
      <c r="H434257" s="2"/>
    </row>
    <row r="434506" spans="3:8" ht="15.6" x14ac:dyDescent="0.25">
      <c r="C434506" s="2"/>
      <c r="D434506" s="2"/>
      <c r="E434506" s="2"/>
      <c r="F434506" s="2"/>
      <c r="G434506" s="2"/>
      <c r="H434506" s="2"/>
    </row>
    <row r="434755" spans="3:8" ht="15.6" x14ac:dyDescent="0.25">
      <c r="C434755" s="2"/>
      <c r="D434755" s="2"/>
      <c r="E434755" s="2"/>
      <c r="F434755" s="2"/>
      <c r="G434755" s="2"/>
      <c r="H434755" s="2"/>
    </row>
    <row r="435004" spans="3:8" ht="15.6" x14ac:dyDescent="0.25">
      <c r="C435004" s="2"/>
      <c r="D435004" s="2"/>
      <c r="E435004" s="2"/>
      <c r="F435004" s="2"/>
      <c r="G435004" s="2"/>
      <c r="H435004" s="2"/>
    </row>
    <row r="435253" spans="3:8" ht="15.6" x14ac:dyDescent="0.25">
      <c r="C435253" s="2"/>
      <c r="D435253" s="2"/>
      <c r="E435253" s="2"/>
      <c r="F435253" s="2"/>
      <c r="G435253" s="2"/>
      <c r="H435253" s="2"/>
    </row>
    <row r="435502" spans="3:8" ht="15.6" x14ac:dyDescent="0.25">
      <c r="C435502" s="2"/>
      <c r="D435502" s="2"/>
      <c r="E435502" s="2"/>
      <c r="F435502" s="2"/>
      <c r="G435502" s="2"/>
      <c r="H435502" s="2"/>
    </row>
    <row r="435751" spans="3:8" ht="15.6" x14ac:dyDescent="0.25">
      <c r="C435751" s="2"/>
      <c r="D435751" s="2"/>
      <c r="E435751" s="2"/>
      <c r="F435751" s="2"/>
      <c r="G435751" s="2"/>
      <c r="H435751" s="2"/>
    </row>
    <row r="436000" spans="3:8" ht="15.6" x14ac:dyDescent="0.25">
      <c r="C436000" s="2"/>
      <c r="D436000" s="2"/>
      <c r="E436000" s="2"/>
      <c r="F436000" s="2"/>
      <c r="G436000" s="2"/>
      <c r="H436000" s="2"/>
    </row>
    <row r="436249" spans="3:8" ht="15.6" x14ac:dyDescent="0.25">
      <c r="C436249" s="2"/>
      <c r="D436249" s="2"/>
      <c r="E436249" s="2"/>
      <c r="F436249" s="2"/>
      <c r="G436249" s="2"/>
      <c r="H436249" s="2"/>
    </row>
    <row r="436498" spans="3:8" ht="15.6" x14ac:dyDescent="0.25">
      <c r="C436498" s="2"/>
      <c r="D436498" s="2"/>
      <c r="E436498" s="2"/>
      <c r="F436498" s="2"/>
      <c r="G436498" s="2"/>
      <c r="H436498" s="2"/>
    </row>
    <row r="436747" spans="3:8" ht="15.6" x14ac:dyDescent="0.25">
      <c r="C436747" s="2"/>
      <c r="D436747" s="2"/>
      <c r="E436747" s="2"/>
      <c r="F436747" s="2"/>
      <c r="G436747" s="2"/>
      <c r="H436747" s="2"/>
    </row>
    <row r="436996" spans="3:8" ht="15.6" x14ac:dyDescent="0.25">
      <c r="C436996" s="2"/>
      <c r="D436996" s="2"/>
      <c r="E436996" s="2"/>
      <c r="F436996" s="2"/>
      <c r="G436996" s="2"/>
      <c r="H436996" s="2"/>
    </row>
    <row r="437245" spans="3:8" ht="15.6" x14ac:dyDescent="0.25">
      <c r="C437245" s="2"/>
      <c r="D437245" s="2"/>
      <c r="E437245" s="2"/>
      <c r="F437245" s="2"/>
      <c r="G437245" s="2"/>
      <c r="H437245" s="2"/>
    </row>
    <row r="437494" spans="3:8" ht="15.6" x14ac:dyDescent="0.25">
      <c r="C437494" s="2"/>
      <c r="D437494" s="2"/>
      <c r="E437494" s="2"/>
      <c r="F437494" s="2"/>
      <c r="G437494" s="2"/>
      <c r="H437494" s="2"/>
    </row>
    <row r="437743" spans="3:8" ht="15.6" x14ac:dyDescent="0.25">
      <c r="C437743" s="2"/>
      <c r="D437743" s="2"/>
      <c r="E437743" s="2"/>
      <c r="F437743" s="2"/>
      <c r="G437743" s="2"/>
      <c r="H437743" s="2"/>
    </row>
    <row r="437992" spans="3:8" ht="15.6" x14ac:dyDescent="0.25">
      <c r="C437992" s="2"/>
      <c r="D437992" s="2"/>
      <c r="E437992" s="2"/>
      <c r="F437992" s="2"/>
      <c r="G437992" s="2"/>
      <c r="H437992" s="2"/>
    </row>
    <row r="438241" spans="3:8" ht="15.6" x14ac:dyDescent="0.25">
      <c r="C438241" s="2"/>
      <c r="D438241" s="2"/>
      <c r="E438241" s="2"/>
      <c r="F438241" s="2"/>
      <c r="G438241" s="2"/>
      <c r="H438241" s="2"/>
    </row>
    <row r="438490" spans="3:8" ht="15.6" x14ac:dyDescent="0.25">
      <c r="C438490" s="2"/>
      <c r="D438490" s="2"/>
      <c r="E438490" s="2"/>
      <c r="F438490" s="2"/>
      <c r="G438490" s="2"/>
      <c r="H438490" s="2"/>
    </row>
    <row r="438739" spans="3:8" ht="15.6" x14ac:dyDescent="0.25">
      <c r="C438739" s="2"/>
      <c r="D438739" s="2"/>
      <c r="E438739" s="2"/>
      <c r="F438739" s="2"/>
      <c r="G438739" s="2"/>
      <c r="H438739" s="2"/>
    </row>
    <row r="438988" spans="3:8" ht="15.6" x14ac:dyDescent="0.25">
      <c r="C438988" s="2"/>
      <c r="D438988" s="2"/>
      <c r="E438988" s="2"/>
      <c r="F438988" s="2"/>
      <c r="G438988" s="2"/>
      <c r="H438988" s="2"/>
    </row>
    <row r="439237" spans="3:8" ht="15.6" x14ac:dyDescent="0.25">
      <c r="C439237" s="2"/>
      <c r="D439237" s="2"/>
      <c r="E439237" s="2"/>
      <c r="F439237" s="2"/>
      <c r="G439237" s="2"/>
      <c r="H439237" s="2"/>
    </row>
    <row r="439486" spans="3:8" ht="15.6" x14ac:dyDescent="0.25">
      <c r="C439486" s="2"/>
      <c r="D439486" s="2"/>
      <c r="E439486" s="2"/>
      <c r="F439486" s="2"/>
      <c r="G439486" s="2"/>
      <c r="H439486" s="2"/>
    </row>
    <row r="439735" spans="3:8" ht="15.6" x14ac:dyDescent="0.25">
      <c r="C439735" s="2"/>
      <c r="D439735" s="2"/>
      <c r="E439735" s="2"/>
      <c r="F439735" s="2"/>
      <c r="G439735" s="2"/>
      <c r="H439735" s="2"/>
    </row>
    <row r="439984" spans="3:8" ht="15.6" x14ac:dyDescent="0.25">
      <c r="C439984" s="2"/>
      <c r="D439984" s="2"/>
      <c r="E439984" s="2"/>
      <c r="F439984" s="2"/>
      <c r="G439984" s="2"/>
      <c r="H439984" s="2"/>
    </row>
    <row r="440233" spans="3:8" ht="15.6" x14ac:dyDescent="0.25">
      <c r="C440233" s="2"/>
      <c r="D440233" s="2"/>
      <c r="E440233" s="2"/>
      <c r="F440233" s="2"/>
      <c r="G440233" s="2"/>
      <c r="H440233" s="2"/>
    </row>
    <row r="440482" spans="3:8" ht="15.6" x14ac:dyDescent="0.25">
      <c r="C440482" s="2"/>
      <c r="D440482" s="2"/>
      <c r="E440482" s="2"/>
      <c r="F440482" s="2"/>
      <c r="G440482" s="2"/>
      <c r="H440482" s="2"/>
    </row>
    <row r="440731" spans="3:8" ht="15.6" x14ac:dyDescent="0.25">
      <c r="C440731" s="2"/>
      <c r="D440731" s="2"/>
      <c r="E440731" s="2"/>
      <c r="F440731" s="2"/>
      <c r="G440731" s="2"/>
      <c r="H440731" s="2"/>
    </row>
    <row r="440980" spans="3:8" ht="15.6" x14ac:dyDescent="0.25">
      <c r="C440980" s="2"/>
      <c r="D440980" s="2"/>
      <c r="E440980" s="2"/>
      <c r="F440980" s="2"/>
      <c r="G440980" s="2"/>
      <c r="H440980" s="2"/>
    </row>
    <row r="441229" spans="3:8" ht="15.6" x14ac:dyDescent="0.25">
      <c r="C441229" s="2"/>
      <c r="D441229" s="2"/>
      <c r="E441229" s="2"/>
      <c r="F441229" s="2"/>
      <c r="G441229" s="2"/>
      <c r="H441229" s="2"/>
    </row>
    <row r="441478" spans="3:8" ht="15.6" x14ac:dyDescent="0.25">
      <c r="C441478" s="2"/>
      <c r="D441478" s="2"/>
      <c r="E441478" s="2"/>
      <c r="F441478" s="2"/>
      <c r="G441478" s="2"/>
      <c r="H441478" s="2"/>
    </row>
    <row r="441727" spans="3:8" ht="15.6" x14ac:dyDescent="0.25">
      <c r="C441727" s="2"/>
      <c r="D441727" s="2"/>
      <c r="E441727" s="2"/>
      <c r="F441727" s="2"/>
      <c r="G441727" s="2"/>
      <c r="H441727" s="2"/>
    </row>
    <row r="441976" spans="3:8" ht="15.6" x14ac:dyDescent="0.25">
      <c r="C441976" s="2"/>
      <c r="D441976" s="2"/>
      <c r="E441976" s="2"/>
      <c r="F441976" s="2"/>
      <c r="G441976" s="2"/>
      <c r="H441976" s="2"/>
    </row>
    <row r="442225" spans="3:8" ht="15.6" x14ac:dyDescent="0.25">
      <c r="C442225" s="2"/>
      <c r="D442225" s="2"/>
      <c r="E442225" s="2"/>
      <c r="F442225" s="2"/>
      <c r="G442225" s="2"/>
      <c r="H442225" s="2"/>
    </row>
    <row r="442474" spans="3:8" ht="15.6" x14ac:dyDescent="0.25">
      <c r="C442474" s="2"/>
      <c r="D442474" s="2"/>
      <c r="E442474" s="2"/>
      <c r="F442474" s="2"/>
      <c r="G442474" s="2"/>
      <c r="H442474" s="2"/>
    </row>
    <row r="442723" spans="3:8" ht="15.6" x14ac:dyDescent="0.25">
      <c r="C442723" s="2"/>
      <c r="D442723" s="2"/>
      <c r="E442723" s="2"/>
      <c r="F442723" s="2"/>
      <c r="G442723" s="2"/>
      <c r="H442723" s="2"/>
    </row>
    <row r="442972" spans="3:8" ht="15.6" x14ac:dyDescent="0.25">
      <c r="C442972" s="2"/>
      <c r="D442972" s="2"/>
      <c r="E442972" s="2"/>
      <c r="F442972" s="2"/>
      <c r="G442972" s="2"/>
      <c r="H442972" s="2"/>
    </row>
    <row r="443221" spans="3:8" ht="15.6" x14ac:dyDescent="0.25">
      <c r="C443221" s="2"/>
      <c r="D443221" s="2"/>
      <c r="E443221" s="2"/>
      <c r="F443221" s="2"/>
      <c r="G443221" s="2"/>
      <c r="H443221" s="2"/>
    </row>
    <row r="443470" spans="3:8" ht="15.6" x14ac:dyDescent="0.25">
      <c r="C443470" s="2"/>
      <c r="D443470" s="2"/>
      <c r="E443470" s="2"/>
      <c r="F443470" s="2"/>
      <c r="G443470" s="2"/>
      <c r="H443470" s="2"/>
    </row>
    <row r="443719" spans="3:8" ht="15.6" x14ac:dyDescent="0.25">
      <c r="C443719" s="2"/>
      <c r="D443719" s="2"/>
      <c r="E443719" s="2"/>
      <c r="F443719" s="2"/>
      <c r="G443719" s="2"/>
      <c r="H443719" s="2"/>
    </row>
    <row r="443968" spans="3:8" ht="15.6" x14ac:dyDescent="0.25">
      <c r="C443968" s="2"/>
      <c r="D443968" s="2"/>
      <c r="E443968" s="2"/>
      <c r="F443968" s="2"/>
      <c r="G443968" s="2"/>
      <c r="H443968" s="2"/>
    </row>
    <row r="444217" spans="3:8" ht="15.6" x14ac:dyDescent="0.25">
      <c r="C444217" s="2"/>
      <c r="D444217" s="2"/>
      <c r="E444217" s="2"/>
      <c r="F444217" s="2"/>
      <c r="G444217" s="2"/>
      <c r="H444217" s="2"/>
    </row>
    <row r="444466" spans="3:8" ht="15.6" x14ac:dyDescent="0.25">
      <c r="C444466" s="2"/>
      <c r="D444466" s="2"/>
      <c r="E444466" s="2"/>
      <c r="F444466" s="2"/>
      <c r="G444466" s="2"/>
      <c r="H444466" s="2"/>
    </row>
    <row r="444715" spans="3:8" ht="15.6" x14ac:dyDescent="0.25">
      <c r="C444715" s="2"/>
      <c r="D444715" s="2"/>
      <c r="E444715" s="2"/>
      <c r="F444715" s="2"/>
      <c r="G444715" s="2"/>
      <c r="H444715" s="2"/>
    </row>
    <row r="444964" spans="3:8" ht="15.6" x14ac:dyDescent="0.25">
      <c r="C444964" s="2"/>
      <c r="D444964" s="2"/>
      <c r="E444964" s="2"/>
      <c r="F444964" s="2"/>
      <c r="G444964" s="2"/>
      <c r="H444964" s="2"/>
    </row>
    <row r="445213" spans="3:8" ht="15.6" x14ac:dyDescent="0.25">
      <c r="C445213" s="2"/>
      <c r="D445213" s="2"/>
      <c r="E445213" s="2"/>
      <c r="F445213" s="2"/>
      <c r="G445213" s="2"/>
      <c r="H445213" s="2"/>
    </row>
    <row r="445462" spans="3:8" ht="15.6" x14ac:dyDescent="0.25">
      <c r="C445462" s="2"/>
      <c r="D445462" s="2"/>
      <c r="E445462" s="2"/>
      <c r="F445462" s="2"/>
      <c r="G445462" s="2"/>
      <c r="H445462" s="2"/>
    </row>
    <row r="445711" spans="3:8" ht="15.6" x14ac:dyDescent="0.25">
      <c r="C445711" s="2"/>
      <c r="D445711" s="2"/>
      <c r="E445711" s="2"/>
      <c r="F445711" s="2"/>
      <c r="G445711" s="2"/>
      <c r="H445711" s="2"/>
    </row>
    <row r="445960" spans="3:8" ht="15.6" x14ac:dyDescent="0.25">
      <c r="C445960" s="2"/>
      <c r="D445960" s="2"/>
      <c r="E445960" s="2"/>
      <c r="F445960" s="2"/>
      <c r="G445960" s="2"/>
      <c r="H445960" s="2"/>
    </row>
    <row r="446209" spans="3:8" ht="15.6" x14ac:dyDescent="0.25">
      <c r="C446209" s="2"/>
      <c r="D446209" s="2"/>
      <c r="E446209" s="2"/>
      <c r="F446209" s="2"/>
      <c r="G446209" s="2"/>
      <c r="H446209" s="2"/>
    </row>
    <row r="446458" spans="3:8" ht="15.6" x14ac:dyDescent="0.25">
      <c r="C446458" s="2"/>
      <c r="D446458" s="2"/>
      <c r="E446458" s="2"/>
      <c r="F446458" s="2"/>
      <c r="G446458" s="2"/>
      <c r="H446458" s="2"/>
    </row>
    <row r="446707" spans="3:8" ht="15.6" x14ac:dyDescent="0.25">
      <c r="C446707" s="2"/>
      <c r="D446707" s="2"/>
      <c r="E446707" s="2"/>
      <c r="F446707" s="2"/>
      <c r="G446707" s="2"/>
      <c r="H446707" s="2"/>
    </row>
    <row r="446956" spans="3:8" ht="15.6" x14ac:dyDescent="0.25">
      <c r="C446956" s="2"/>
      <c r="D446956" s="2"/>
      <c r="E446956" s="2"/>
      <c r="F446956" s="2"/>
      <c r="G446956" s="2"/>
      <c r="H446956" s="2"/>
    </row>
    <row r="447205" spans="3:8" ht="15.6" x14ac:dyDescent="0.25">
      <c r="C447205" s="2"/>
      <c r="D447205" s="2"/>
      <c r="E447205" s="2"/>
      <c r="F447205" s="2"/>
      <c r="G447205" s="2"/>
      <c r="H447205" s="2"/>
    </row>
    <row r="447454" spans="3:8" ht="15.6" x14ac:dyDescent="0.25">
      <c r="C447454" s="2"/>
      <c r="D447454" s="2"/>
      <c r="E447454" s="2"/>
      <c r="F447454" s="2"/>
      <c r="G447454" s="2"/>
      <c r="H447454" s="2"/>
    </row>
    <row r="447703" spans="3:8" ht="15.6" x14ac:dyDescent="0.25">
      <c r="C447703" s="2"/>
      <c r="D447703" s="2"/>
      <c r="E447703" s="2"/>
      <c r="F447703" s="2"/>
      <c r="G447703" s="2"/>
      <c r="H447703" s="2"/>
    </row>
    <row r="447952" spans="3:8" ht="15.6" x14ac:dyDescent="0.25">
      <c r="C447952" s="2"/>
      <c r="D447952" s="2"/>
      <c r="E447952" s="2"/>
      <c r="F447952" s="2"/>
      <c r="G447952" s="2"/>
      <c r="H447952" s="2"/>
    </row>
    <row r="448201" spans="3:8" ht="15.6" x14ac:dyDescent="0.25">
      <c r="C448201" s="2"/>
      <c r="D448201" s="2"/>
      <c r="E448201" s="2"/>
      <c r="F448201" s="2"/>
      <c r="G448201" s="2"/>
      <c r="H448201" s="2"/>
    </row>
    <row r="448450" spans="3:8" ht="15.6" x14ac:dyDescent="0.25">
      <c r="C448450" s="2"/>
      <c r="D448450" s="2"/>
      <c r="E448450" s="2"/>
      <c r="F448450" s="2"/>
      <c r="G448450" s="2"/>
      <c r="H448450" s="2"/>
    </row>
    <row r="448699" spans="3:8" ht="15.6" x14ac:dyDescent="0.25">
      <c r="C448699" s="2"/>
      <c r="D448699" s="2"/>
      <c r="E448699" s="2"/>
      <c r="F448699" s="2"/>
      <c r="G448699" s="2"/>
      <c r="H448699" s="2"/>
    </row>
    <row r="448948" spans="3:8" ht="15.6" x14ac:dyDescent="0.25">
      <c r="C448948" s="2"/>
      <c r="D448948" s="2"/>
      <c r="E448948" s="2"/>
      <c r="F448948" s="2"/>
      <c r="G448948" s="2"/>
      <c r="H448948" s="2"/>
    </row>
    <row r="449197" spans="3:8" ht="15.6" x14ac:dyDescent="0.25">
      <c r="C449197" s="2"/>
      <c r="D449197" s="2"/>
      <c r="E449197" s="2"/>
      <c r="F449197" s="2"/>
      <c r="G449197" s="2"/>
      <c r="H449197" s="2"/>
    </row>
    <row r="449446" spans="3:8" ht="15.6" x14ac:dyDescent="0.25">
      <c r="C449446" s="2"/>
      <c r="D449446" s="2"/>
      <c r="E449446" s="2"/>
      <c r="F449446" s="2"/>
      <c r="G449446" s="2"/>
      <c r="H449446" s="2"/>
    </row>
    <row r="449695" spans="3:8" ht="15.6" x14ac:dyDescent="0.25">
      <c r="C449695" s="2"/>
      <c r="D449695" s="2"/>
      <c r="E449695" s="2"/>
      <c r="F449695" s="2"/>
      <c r="G449695" s="2"/>
      <c r="H449695" s="2"/>
    </row>
    <row r="449944" spans="3:8" ht="15.6" x14ac:dyDescent="0.25">
      <c r="C449944" s="2"/>
      <c r="D449944" s="2"/>
      <c r="E449944" s="2"/>
      <c r="F449944" s="2"/>
      <c r="G449944" s="2"/>
      <c r="H449944" s="2"/>
    </row>
    <row r="450193" spans="3:8" ht="15.6" x14ac:dyDescent="0.25">
      <c r="C450193" s="2"/>
      <c r="D450193" s="2"/>
      <c r="E450193" s="2"/>
      <c r="F450193" s="2"/>
      <c r="G450193" s="2"/>
      <c r="H450193" s="2"/>
    </row>
    <row r="450442" spans="3:8" ht="15.6" x14ac:dyDescent="0.25">
      <c r="C450442" s="2"/>
      <c r="D450442" s="2"/>
      <c r="E450442" s="2"/>
      <c r="F450442" s="2"/>
      <c r="G450442" s="2"/>
      <c r="H450442" s="2"/>
    </row>
    <row r="450691" spans="3:8" ht="15.6" x14ac:dyDescent="0.25">
      <c r="C450691" s="2"/>
      <c r="D450691" s="2"/>
      <c r="E450691" s="2"/>
      <c r="F450691" s="2"/>
      <c r="G450691" s="2"/>
      <c r="H450691" s="2"/>
    </row>
    <row r="450940" spans="3:8" ht="15.6" x14ac:dyDescent="0.25">
      <c r="C450940" s="2"/>
      <c r="D450940" s="2"/>
      <c r="E450940" s="2"/>
      <c r="F450940" s="2"/>
      <c r="G450940" s="2"/>
      <c r="H450940" s="2"/>
    </row>
    <row r="451189" spans="3:8" ht="15.6" x14ac:dyDescent="0.25">
      <c r="C451189" s="2"/>
      <c r="D451189" s="2"/>
      <c r="E451189" s="2"/>
      <c r="F451189" s="2"/>
      <c r="G451189" s="2"/>
      <c r="H451189" s="2"/>
    </row>
    <row r="451438" spans="3:8" ht="15.6" x14ac:dyDescent="0.25">
      <c r="C451438" s="2"/>
      <c r="D451438" s="2"/>
      <c r="E451438" s="2"/>
      <c r="F451438" s="2"/>
      <c r="G451438" s="2"/>
      <c r="H451438" s="2"/>
    </row>
    <row r="451687" spans="3:8" ht="15.6" x14ac:dyDescent="0.25">
      <c r="C451687" s="2"/>
      <c r="D451687" s="2"/>
      <c r="E451687" s="2"/>
      <c r="F451687" s="2"/>
      <c r="G451687" s="2"/>
      <c r="H451687" s="2"/>
    </row>
    <row r="451936" spans="3:8" ht="15.6" x14ac:dyDescent="0.25">
      <c r="C451936" s="2"/>
      <c r="D451936" s="2"/>
      <c r="E451936" s="2"/>
      <c r="F451936" s="2"/>
      <c r="G451936" s="2"/>
      <c r="H451936" s="2"/>
    </row>
    <row r="452185" spans="3:8" ht="15.6" x14ac:dyDescent="0.25">
      <c r="C452185" s="2"/>
      <c r="D452185" s="2"/>
      <c r="E452185" s="2"/>
      <c r="F452185" s="2"/>
      <c r="G452185" s="2"/>
      <c r="H452185" s="2"/>
    </row>
    <row r="452434" spans="3:8" ht="15.6" x14ac:dyDescent="0.25">
      <c r="C452434" s="2"/>
      <c r="D452434" s="2"/>
      <c r="E452434" s="2"/>
      <c r="F452434" s="2"/>
      <c r="G452434" s="2"/>
      <c r="H452434" s="2"/>
    </row>
    <row r="452683" spans="3:8" ht="15.6" x14ac:dyDescent="0.25">
      <c r="C452683" s="2"/>
      <c r="D452683" s="2"/>
      <c r="E452683" s="2"/>
      <c r="F452683" s="2"/>
      <c r="G452683" s="2"/>
      <c r="H452683" s="2"/>
    </row>
    <row r="452932" spans="3:8" ht="15.6" x14ac:dyDescent="0.25">
      <c r="C452932" s="2"/>
      <c r="D452932" s="2"/>
      <c r="E452932" s="2"/>
      <c r="F452932" s="2"/>
      <c r="G452932" s="2"/>
      <c r="H452932" s="2"/>
    </row>
    <row r="453181" spans="3:8" ht="15.6" x14ac:dyDescent="0.25">
      <c r="C453181" s="2"/>
      <c r="D453181" s="2"/>
      <c r="E453181" s="2"/>
      <c r="F453181" s="2"/>
      <c r="G453181" s="2"/>
      <c r="H453181" s="2"/>
    </row>
    <row r="453430" spans="3:8" ht="15.6" x14ac:dyDescent="0.25">
      <c r="C453430" s="2"/>
      <c r="D453430" s="2"/>
      <c r="E453430" s="2"/>
      <c r="F453430" s="2"/>
      <c r="G453430" s="2"/>
      <c r="H453430" s="2"/>
    </row>
    <row r="453679" spans="3:8" ht="15.6" x14ac:dyDescent="0.25">
      <c r="C453679" s="2"/>
      <c r="D453679" s="2"/>
      <c r="E453679" s="2"/>
      <c r="F453679" s="2"/>
      <c r="G453679" s="2"/>
      <c r="H453679" s="2"/>
    </row>
    <row r="453928" spans="3:8" ht="15.6" x14ac:dyDescent="0.25">
      <c r="C453928" s="2"/>
      <c r="D453928" s="2"/>
      <c r="E453928" s="2"/>
      <c r="F453928" s="2"/>
      <c r="G453928" s="2"/>
      <c r="H453928" s="2"/>
    </row>
    <row r="454177" spans="3:8" ht="15.6" x14ac:dyDescent="0.25">
      <c r="C454177" s="2"/>
      <c r="D454177" s="2"/>
      <c r="E454177" s="2"/>
      <c r="F454177" s="2"/>
      <c r="G454177" s="2"/>
      <c r="H454177" s="2"/>
    </row>
    <row r="454426" spans="3:8" ht="15.6" x14ac:dyDescent="0.25">
      <c r="C454426" s="2"/>
      <c r="D454426" s="2"/>
      <c r="E454426" s="2"/>
      <c r="F454426" s="2"/>
      <c r="G454426" s="2"/>
      <c r="H454426" s="2"/>
    </row>
    <row r="454675" spans="3:8" ht="15.6" x14ac:dyDescent="0.25">
      <c r="C454675" s="2"/>
      <c r="D454675" s="2"/>
      <c r="E454675" s="2"/>
      <c r="F454675" s="2"/>
      <c r="G454675" s="2"/>
      <c r="H454675" s="2"/>
    </row>
    <row r="454924" spans="3:8" ht="15.6" x14ac:dyDescent="0.25">
      <c r="C454924" s="2"/>
      <c r="D454924" s="2"/>
      <c r="E454924" s="2"/>
      <c r="F454924" s="2"/>
      <c r="G454924" s="2"/>
      <c r="H454924" s="2"/>
    </row>
    <row r="455173" spans="3:8" ht="15.6" x14ac:dyDescent="0.25">
      <c r="C455173" s="2"/>
      <c r="D455173" s="2"/>
      <c r="E455173" s="2"/>
      <c r="F455173" s="2"/>
      <c r="G455173" s="2"/>
      <c r="H455173" s="2"/>
    </row>
    <row r="455422" spans="3:8" ht="15.6" x14ac:dyDescent="0.25">
      <c r="C455422" s="2"/>
      <c r="D455422" s="2"/>
      <c r="E455422" s="2"/>
      <c r="F455422" s="2"/>
      <c r="G455422" s="2"/>
      <c r="H455422" s="2"/>
    </row>
    <row r="455671" spans="3:8" ht="15.6" x14ac:dyDescent="0.25">
      <c r="C455671" s="2"/>
      <c r="D455671" s="2"/>
      <c r="E455671" s="2"/>
      <c r="F455671" s="2"/>
      <c r="G455671" s="2"/>
      <c r="H455671" s="2"/>
    </row>
    <row r="455920" spans="3:8" ht="15.6" x14ac:dyDescent="0.25">
      <c r="C455920" s="2"/>
      <c r="D455920" s="2"/>
      <c r="E455920" s="2"/>
      <c r="F455920" s="2"/>
      <c r="G455920" s="2"/>
      <c r="H455920" s="2"/>
    </row>
    <row r="456169" spans="3:8" ht="15.6" x14ac:dyDescent="0.25">
      <c r="C456169" s="2"/>
      <c r="D456169" s="2"/>
      <c r="E456169" s="2"/>
      <c r="F456169" s="2"/>
      <c r="G456169" s="2"/>
      <c r="H456169" s="2"/>
    </row>
    <row r="456418" spans="3:8" ht="15.6" x14ac:dyDescent="0.25">
      <c r="C456418" s="2"/>
      <c r="D456418" s="2"/>
      <c r="E456418" s="2"/>
      <c r="F456418" s="2"/>
      <c r="G456418" s="2"/>
      <c r="H456418" s="2"/>
    </row>
    <row r="456667" spans="3:8" ht="15.6" x14ac:dyDescent="0.25">
      <c r="C456667" s="2"/>
      <c r="D456667" s="2"/>
      <c r="E456667" s="2"/>
      <c r="F456667" s="2"/>
      <c r="G456667" s="2"/>
      <c r="H456667" s="2"/>
    </row>
    <row r="456916" spans="3:8" ht="15.6" x14ac:dyDescent="0.25">
      <c r="C456916" s="2"/>
      <c r="D456916" s="2"/>
      <c r="E456916" s="2"/>
      <c r="F456916" s="2"/>
      <c r="G456916" s="2"/>
      <c r="H456916" s="2"/>
    </row>
    <row r="457165" spans="3:8" ht="15.6" x14ac:dyDescent="0.25">
      <c r="C457165" s="2"/>
      <c r="D457165" s="2"/>
      <c r="E457165" s="2"/>
      <c r="F457165" s="2"/>
      <c r="G457165" s="2"/>
      <c r="H457165" s="2"/>
    </row>
    <row r="457414" spans="3:8" ht="15.6" x14ac:dyDescent="0.25">
      <c r="C457414" s="2"/>
      <c r="D457414" s="2"/>
      <c r="E457414" s="2"/>
      <c r="F457414" s="2"/>
      <c r="G457414" s="2"/>
      <c r="H457414" s="2"/>
    </row>
    <row r="457663" spans="3:8" ht="15.6" x14ac:dyDescent="0.25">
      <c r="C457663" s="2"/>
      <c r="D457663" s="2"/>
      <c r="E457663" s="2"/>
      <c r="F457663" s="2"/>
      <c r="G457663" s="2"/>
      <c r="H457663" s="2"/>
    </row>
    <row r="457912" spans="3:8" ht="15.6" x14ac:dyDescent="0.25">
      <c r="C457912" s="2"/>
      <c r="D457912" s="2"/>
      <c r="E457912" s="2"/>
      <c r="F457912" s="2"/>
      <c r="G457912" s="2"/>
      <c r="H457912" s="2"/>
    </row>
    <row r="458161" spans="3:8" ht="15.6" x14ac:dyDescent="0.25">
      <c r="C458161" s="2"/>
      <c r="D458161" s="2"/>
      <c r="E458161" s="2"/>
      <c r="F458161" s="2"/>
      <c r="G458161" s="2"/>
      <c r="H458161" s="2"/>
    </row>
    <row r="458410" spans="3:8" ht="15.6" x14ac:dyDescent="0.25">
      <c r="C458410" s="2"/>
      <c r="D458410" s="2"/>
      <c r="E458410" s="2"/>
      <c r="F458410" s="2"/>
      <c r="G458410" s="2"/>
      <c r="H458410" s="2"/>
    </row>
    <row r="458659" spans="3:8" ht="15.6" x14ac:dyDescent="0.25">
      <c r="C458659" s="2"/>
      <c r="D458659" s="2"/>
      <c r="E458659" s="2"/>
      <c r="F458659" s="2"/>
      <c r="G458659" s="2"/>
      <c r="H458659" s="2"/>
    </row>
    <row r="458908" spans="3:8" ht="15.6" x14ac:dyDescent="0.25">
      <c r="C458908" s="2"/>
      <c r="D458908" s="2"/>
      <c r="E458908" s="2"/>
      <c r="F458908" s="2"/>
      <c r="G458908" s="2"/>
      <c r="H458908" s="2"/>
    </row>
    <row r="459157" spans="3:8" ht="15.6" x14ac:dyDescent="0.25">
      <c r="C459157" s="2"/>
      <c r="D459157" s="2"/>
      <c r="E459157" s="2"/>
      <c r="F459157" s="2"/>
      <c r="G459157" s="2"/>
      <c r="H459157" s="2"/>
    </row>
    <row r="459406" spans="3:8" ht="15.6" x14ac:dyDescent="0.25">
      <c r="C459406" s="2"/>
      <c r="D459406" s="2"/>
      <c r="E459406" s="2"/>
      <c r="F459406" s="2"/>
      <c r="G459406" s="2"/>
      <c r="H459406" s="2"/>
    </row>
    <row r="459655" spans="3:8" ht="15.6" x14ac:dyDescent="0.25">
      <c r="C459655" s="2"/>
      <c r="D459655" s="2"/>
      <c r="E459655" s="2"/>
      <c r="F459655" s="2"/>
      <c r="G459655" s="2"/>
      <c r="H459655" s="2"/>
    </row>
    <row r="459904" spans="3:8" ht="15.6" x14ac:dyDescent="0.25">
      <c r="C459904" s="2"/>
      <c r="D459904" s="2"/>
      <c r="E459904" s="2"/>
      <c r="F459904" s="2"/>
      <c r="G459904" s="2"/>
      <c r="H459904" s="2"/>
    </row>
    <row r="460153" spans="3:8" ht="15.6" x14ac:dyDescent="0.25">
      <c r="C460153" s="2"/>
      <c r="D460153" s="2"/>
      <c r="E460153" s="2"/>
      <c r="F460153" s="2"/>
      <c r="G460153" s="2"/>
      <c r="H460153" s="2"/>
    </row>
    <row r="460402" spans="3:8" ht="15.6" x14ac:dyDescent="0.25">
      <c r="C460402" s="2"/>
      <c r="D460402" s="2"/>
      <c r="E460402" s="2"/>
      <c r="F460402" s="2"/>
      <c r="G460402" s="2"/>
      <c r="H460402" s="2"/>
    </row>
    <row r="460651" spans="3:8" ht="15.6" x14ac:dyDescent="0.25">
      <c r="C460651" s="2"/>
      <c r="D460651" s="2"/>
      <c r="E460651" s="2"/>
      <c r="F460651" s="2"/>
      <c r="G460651" s="2"/>
      <c r="H460651" s="2"/>
    </row>
    <row r="460900" spans="3:8" ht="15.6" x14ac:dyDescent="0.25">
      <c r="C460900" s="2"/>
      <c r="D460900" s="2"/>
      <c r="E460900" s="2"/>
      <c r="F460900" s="2"/>
      <c r="G460900" s="2"/>
      <c r="H460900" s="2"/>
    </row>
    <row r="461149" spans="3:8" ht="15.6" x14ac:dyDescent="0.25">
      <c r="C461149" s="2"/>
      <c r="D461149" s="2"/>
      <c r="E461149" s="2"/>
      <c r="F461149" s="2"/>
      <c r="G461149" s="2"/>
      <c r="H461149" s="2"/>
    </row>
    <row r="461398" spans="3:8" ht="15.6" x14ac:dyDescent="0.25">
      <c r="C461398" s="2"/>
      <c r="D461398" s="2"/>
      <c r="E461398" s="2"/>
      <c r="F461398" s="2"/>
      <c r="G461398" s="2"/>
      <c r="H461398" s="2"/>
    </row>
    <row r="461647" spans="3:8" ht="15.6" x14ac:dyDescent="0.25">
      <c r="C461647" s="2"/>
      <c r="D461647" s="2"/>
      <c r="E461647" s="2"/>
      <c r="F461647" s="2"/>
      <c r="G461647" s="2"/>
      <c r="H461647" s="2"/>
    </row>
    <row r="461896" spans="3:8" ht="15.6" x14ac:dyDescent="0.25">
      <c r="C461896" s="2"/>
      <c r="D461896" s="2"/>
      <c r="E461896" s="2"/>
      <c r="F461896" s="2"/>
      <c r="G461896" s="2"/>
      <c r="H461896" s="2"/>
    </row>
    <row r="462145" spans="3:8" ht="15.6" x14ac:dyDescent="0.25">
      <c r="C462145" s="2"/>
      <c r="D462145" s="2"/>
      <c r="E462145" s="2"/>
      <c r="F462145" s="2"/>
      <c r="G462145" s="2"/>
      <c r="H462145" s="2"/>
    </row>
    <row r="462394" spans="3:8" ht="15.6" x14ac:dyDescent="0.25">
      <c r="C462394" s="2"/>
      <c r="D462394" s="2"/>
      <c r="E462394" s="2"/>
      <c r="F462394" s="2"/>
      <c r="G462394" s="2"/>
      <c r="H462394" s="2"/>
    </row>
    <row r="462643" spans="3:8" ht="15.6" x14ac:dyDescent="0.25">
      <c r="C462643" s="2"/>
      <c r="D462643" s="2"/>
      <c r="E462643" s="2"/>
      <c r="F462643" s="2"/>
      <c r="G462643" s="2"/>
      <c r="H462643" s="2"/>
    </row>
    <row r="462892" spans="3:8" ht="15.6" x14ac:dyDescent="0.25">
      <c r="C462892" s="2"/>
      <c r="D462892" s="2"/>
      <c r="E462892" s="2"/>
      <c r="F462892" s="2"/>
      <c r="G462892" s="2"/>
      <c r="H462892" s="2"/>
    </row>
    <row r="463141" spans="3:8" ht="15.6" x14ac:dyDescent="0.25">
      <c r="C463141" s="2"/>
      <c r="D463141" s="2"/>
      <c r="E463141" s="2"/>
      <c r="F463141" s="2"/>
      <c r="G463141" s="2"/>
      <c r="H463141" s="2"/>
    </row>
    <row r="463390" spans="3:8" ht="15.6" x14ac:dyDescent="0.25">
      <c r="C463390" s="2"/>
      <c r="D463390" s="2"/>
      <c r="E463390" s="2"/>
      <c r="F463390" s="2"/>
      <c r="G463390" s="2"/>
      <c r="H463390" s="2"/>
    </row>
    <row r="463639" spans="3:8" ht="15.6" x14ac:dyDescent="0.25">
      <c r="C463639" s="2"/>
      <c r="D463639" s="2"/>
      <c r="E463639" s="2"/>
      <c r="F463639" s="2"/>
      <c r="G463639" s="2"/>
      <c r="H463639" s="2"/>
    </row>
    <row r="463888" spans="3:8" ht="15.6" x14ac:dyDescent="0.25">
      <c r="C463888" s="2"/>
      <c r="D463888" s="2"/>
      <c r="E463888" s="2"/>
      <c r="F463888" s="2"/>
      <c r="G463888" s="2"/>
      <c r="H463888" s="2"/>
    </row>
    <row r="464137" spans="3:8" ht="15.6" x14ac:dyDescent="0.25">
      <c r="C464137" s="2"/>
      <c r="D464137" s="2"/>
      <c r="E464137" s="2"/>
      <c r="F464137" s="2"/>
      <c r="G464137" s="2"/>
      <c r="H464137" s="2"/>
    </row>
    <row r="464386" spans="3:8" ht="15.6" x14ac:dyDescent="0.25">
      <c r="C464386" s="2"/>
      <c r="D464386" s="2"/>
      <c r="E464386" s="2"/>
      <c r="F464386" s="2"/>
      <c r="G464386" s="2"/>
      <c r="H464386" s="2"/>
    </row>
    <row r="464635" spans="3:8" ht="15.6" x14ac:dyDescent="0.25">
      <c r="C464635" s="2"/>
      <c r="D464635" s="2"/>
      <c r="E464635" s="2"/>
      <c r="F464635" s="2"/>
      <c r="G464635" s="2"/>
      <c r="H464635" s="2"/>
    </row>
    <row r="464884" spans="3:8" ht="15.6" x14ac:dyDescent="0.25">
      <c r="C464884" s="2"/>
      <c r="D464884" s="2"/>
      <c r="E464884" s="2"/>
      <c r="F464884" s="2"/>
      <c r="G464884" s="2"/>
      <c r="H464884" s="2"/>
    </row>
    <row r="465133" spans="3:8" ht="15.6" x14ac:dyDescent="0.25">
      <c r="C465133" s="2"/>
      <c r="D465133" s="2"/>
      <c r="E465133" s="2"/>
      <c r="F465133" s="2"/>
      <c r="G465133" s="2"/>
      <c r="H465133" s="2"/>
    </row>
    <row r="465382" spans="3:8" ht="15.6" x14ac:dyDescent="0.25">
      <c r="C465382" s="2"/>
      <c r="D465382" s="2"/>
      <c r="E465382" s="2"/>
      <c r="F465382" s="2"/>
      <c r="G465382" s="2"/>
      <c r="H465382" s="2"/>
    </row>
    <row r="465631" spans="3:8" ht="15.6" x14ac:dyDescent="0.25">
      <c r="C465631" s="2"/>
      <c r="D465631" s="2"/>
      <c r="E465631" s="2"/>
      <c r="F465631" s="2"/>
      <c r="G465631" s="2"/>
      <c r="H465631" s="2"/>
    </row>
    <row r="465880" spans="3:8" ht="15.6" x14ac:dyDescent="0.25">
      <c r="C465880" s="2"/>
      <c r="D465880" s="2"/>
      <c r="E465880" s="2"/>
      <c r="F465880" s="2"/>
      <c r="G465880" s="2"/>
      <c r="H465880" s="2"/>
    </row>
    <row r="466129" spans="3:8" ht="15.6" x14ac:dyDescent="0.25">
      <c r="C466129" s="2"/>
      <c r="D466129" s="2"/>
      <c r="E466129" s="2"/>
      <c r="F466129" s="2"/>
      <c r="G466129" s="2"/>
      <c r="H466129" s="2"/>
    </row>
    <row r="466378" spans="3:8" ht="15.6" x14ac:dyDescent="0.25">
      <c r="C466378" s="2"/>
      <c r="D466378" s="2"/>
      <c r="E466378" s="2"/>
      <c r="F466378" s="2"/>
      <c r="G466378" s="2"/>
      <c r="H466378" s="2"/>
    </row>
    <row r="466627" spans="3:8" ht="15.6" x14ac:dyDescent="0.25">
      <c r="C466627" s="2"/>
      <c r="D466627" s="2"/>
      <c r="E466627" s="2"/>
      <c r="F466627" s="2"/>
      <c r="G466627" s="2"/>
      <c r="H466627" s="2"/>
    </row>
    <row r="466876" spans="3:8" ht="15.6" x14ac:dyDescent="0.25">
      <c r="C466876" s="2"/>
      <c r="D466876" s="2"/>
      <c r="E466876" s="2"/>
      <c r="F466876" s="2"/>
      <c r="G466876" s="2"/>
      <c r="H466876" s="2"/>
    </row>
    <row r="467125" spans="3:8" ht="15.6" x14ac:dyDescent="0.25">
      <c r="C467125" s="2"/>
      <c r="D467125" s="2"/>
      <c r="E467125" s="2"/>
      <c r="F467125" s="2"/>
      <c r="G467125" s="2"/>
      <c r="H467125" s="2"/>
    </row>
    <row r="467374" spans="3:8" ht="15.6" x14ac:dyDescent="0.25">
      <c r="C467374" s="2"/>
      <c r="D467374" s="2"/>
      <c r="E467374" s="2"/>
      <c r="F467374" s="2"/>
      <c r="G467374" s="2"/>
      <c r="H467374" s="2"/>
    </row>
    <row r="467623" spans="3:8" ht="15.6" x14ac:dyDescent="0.25">
      <c r="C467623" s="2"/>
      <c r="D467623" s="2"/>
      <c r="E467623" s="2"/>
      <c r="F467623" s="2"/>
      <c r="G467623" s="2"/>
      <c r="H467623" s="2"/>
    </row>
    <row r="467872" spans="3:8" ht="15.6" x14ac:dyDescent="0.25">
      <c r="C467872" s="2"/>
      <c r="D467872" s="2"/>
      <c r="E467872" s="2"/>
      <c r="F467872" s="2"/>
      <c r="G467872" s="2"/>
      <c r="H467872" s="2"/>
    </row>
    <row r="468121" spans="3:8" ht="15.6" x14ac:dyDescent="0.25">
      <c r="C468121" s="2"/>
      <c r="D468121" s="2"/>
      <c r="E468121" s="2"/>
      <c r="F468121" s="2"/>
      <c r="G468121" s="2"/>
      <c r="H468121" s="2"/>
    </row>
    <row r="468370" spans="3:8" ht="15.6" x14ac:dyDescent="0.25">
      <c r="C468370" s="2"/>
      <c r="D468370" s="2"/>
      <c r="E468370" s="2"/>
      <c r="F468370" s="2"/>
      <c r="G468370" s="2"/>
      <c r="H468370" s="2"/>
    </row>
    <row r="468619" spans="3:8" ht="15.6" x14ac:dyDescent="0.25">
      <c r="C468619" s="2"/>
      <c r="D468619" s="2"/>
      <c r="E468619" s="2"/>
      <c r="F468619" s="2"/>
      <c r="G468619" s="2"/>
      <c r="H468619" s="2"/>
    </row>
    <row r="468868" spans="3:8" ht="15.6" x14ac:dyDescent="0.25">
      <c r="C468868" s="2"/>
      <c r="D468868" s="2"/>
      <c r="E468868" s="2"/>
      <c r="F468868" s="2"/>
      <c r="G468868" s="2"/>
      <c r="H468868" s="2"/>
    </row>
    <row r="469117" spans="3:8" ht="15.6" x14ac:dyDescent="0.25">
      <c r="C469117" s="2"/>
      <c r="D469117" s="2"/>
      <c r="E469117" s="2"/>
      <c r="F469117" s="2"/>
      <c r="G469117" s="2"/>
      <c r="H469117" s="2"/>
    </row>
    <row r="469366" spans="3:8" ht="15.6" x14ac:dyDescent="0.25">
      <c r="C469366" s="2"/>
      <c r="D469366" s="2"/>
      <c r="E469366" s="2"/>
      <c r="F469366" s="2"/>
      <c r="G469366" s="2"/>
      <c r="H469366" s="2"/>
    </row>
    <row r="469615" spans="3:8" ht="15.6" x14ac:dyDescent="0.25">
      <c r="C469615" s="2"/>
      <c r="D469615" s="2"/>
      <c r="E469615" s="2"/>
      <c r="F469615" s="2"/>
      <c r="G469615" s="2"/>
      <c r="H469615" s="2"/>
    </row>
    <row r="469864" spans="3:8" ht="15.6" x14ac:dyDescent="0.25">
      <c r="C469864" s="2"/>
      <c r="D469864" s="2"/>
      <c r="E469864" s="2"/>
      <c r="F469864" s="2"/>
      <c r="G469864" s="2"/>
      <c r="H469864" s="2"/>
    </row>
    <row r="470113" spans="3:8" ht="15.6" x14ac:dyDescent="0.25">
      <c r="C470113" s="2"/>
      <c r="D470113" s="2"/>
      <c r="E470113" s="2"/>
      <c r="F470113" s="2"/>
      <c r="G470113" s="2"/>
      <c r="H470113" s="2"/>
    </row>
    <row r="470362" spans="3:8" ht="15.6" x14ac:dyDescent="0.25">
      <c r="C470362" s="2"/>
      <c r="D470362" s="2"/>
      <c r="E470362" s="2"/>
      <c r="F470362" s="2"/>
      <c r="G470362" s="2"/>
      <c r="H470362" s="2"/>
    </row>
    <row r="470611" spans="3:8" ht="15.6" x14ac:dyDescent="0.25">
      <c r="C470611" s="2"/>
      <c r="D470611" s="2"/>
      <c r="E470611" s="2"/>
      <c r="F470611" s="2"/>
      <c r="G470611" s="2"/>
      <c r="H470611" s="2"/>
    </row>
    <row r="470860" spans="3:8" ht="15.6" x14ac:dyDescent="0.25">
      <c r="C470860" s="2"/>
      <c r="D470860" s="2"/>
      <c r="E470860" s="2"/>
      <c r="F470860" s="2"/>
      <c r="G470860" s="2"/>
      <c r="H470860" s="2"/>
    </row>
    <row r="471109" spans="3:8" ht="15.6" x14ac:dyDescent="0.25">
      <c r="C471109" s="2"/>
      <c r="D471109" s="2"/>
      <c r="E471109" s="2"/>
      <c r="F471109" s="2"/>
      <c r="G471109" s="2"/>
      <c r="H471109" s="2"/>
    </row>
    <row r="471358" spans="3:8" ht="15.6" x14ac:dyDescent="0.25">
      <c r="C471358" s="2"/>
      <c r="D471358" s="2"/>
      <c r="E471358" s="2"/>
      <c r="F471358" s="2"/>
      <c r="G471358" s="2"/>
      <c r="H471358" s="2"/>
    </row>
    <row r="471607" spans="3:8" ht="15.6" x14ac:dyDescent="0.25">
      <c r="C471607" s="2"/>
      <c r="D471607" s="2"/>
      <c r="E471607" s="2"/>
      <c r="F471607" s="2"/>
      <c r="G471607" s="2"/>
      <c r="H471607" s="2"/>
    </row>
    <row r="471856" spans="3:8" ht="15.6" x14ac:dyDescent="0.25">
      <c r="C471856" s="2"/>
      <c r="D471856" s="2"/>
      <c r="E471856" s="2"/>
      <c r="F471856" s="2"/>
      <c r="G471856" s="2"/>
      <c r="H471856" s="2"/>
    </row>
    <row r="472105" spans="3:8" ht="15.6" x14ac:dyDescent="0.25">
      <c r="C472105" s="2"/>
      <c r="D472105" s="2"/>
      <c r="E472105" s="2"/>
      <c r="F472105" s="2"/>
      <c r="G472105" s="2"/>
      <c r="H472105" s="2"/>
    </row>
    <row r="472354" spans="3:8" ht="15.6" x14ac:dyDescent="0.25">
      <c r="C472354" s="2"/>
      <c r="D472354" s="2"/>
      <c r="E472354" s="2"/>
      <c r="F472354" s="2"/>
      <c r="G472354" s="2"/>
      <c r="H472354" s="2"/>
    </row>
    <row r="472603" spans="3:8" ht="15.6" x14ac:dyDescent="0.25">
      <c r="C472603" s="2"/>
      <c r="D472603" s="2"/>
      <c r="E472603" s="2"/>
      <c r="F472603" s="2"/>
      <c r="G472603" s="2"/>
      <c r="H472603" s="2"/>
    </row>
    <row r="472852" spans="3:8" ht="15.6" x14ac:dyDescent="0.25">
      <c r="C472852" s="2"/>
      <c r="D472852" s="2"/>
      <c r="E472852" s="2"/>
      <c r="F472852" s="2"/>
      <c r="G472852" s="2"/>
      <c r="H472852" s="2"/>
    </row>
    <row r="473101" spans="3:8" ht="15.6" x14ac:dyDescent="0.25">
      <c r="C473101" s="2"/>
      <c r="D473101" s="2"/>
      <c r="E473101" s="2"/>
      <c r="F473101" s="2"/>
      <c r="G473101" s="2"/>
      <c r="H473101" s="2"/>
    </row>
    <row r="473350" spans="3:8" ht="15.6" x14ac:dyDescent="0.25">
      <c r="C473350" s="2"/>
      <c r="D473350" s="2"/>
      <c r="E473350" s="2"/>
      <c r="F473350" s="2"/>
      <c r="G473350" s="2"/>
      <c r="H473350" s="2"/>
    </row>
    <row r="473599" spans="3:8" ht="15.6" x14ac:dyDescent="0.25">
      <c r="C473599" s="2"/>
      <c r="D473599" s="2"/>
      <c r="E473599" s="2"/>
      <c r="F473599" s="2"/>
      <c r="G473599" s="2"/>
      <c r="H473599" s="2"/>
    </row>
    <row r="473848" spans="3:8" ht="15.6" x14ac:dyDescent="0.25">
      <c r="C473848" s="2"/>
      <c r="D473848" s="2"/>
      <c r="E473848" s="2"/>
      <c r="F473848" s="2"/>
      <c r="G473848" s="2"/>
      <c r="H473848" s="2"/>
    </row>
    <row r="474097" spans="3:8" ht="15.6" x14ac:dyDescent="0.25">
      <c r="C474097" s="2"/>
      <c r="D474097" s="2"/>
      <c r="E474097" s="2"/>
      <c r="F474097" s="2"/>
      <c r="G474097" s="2"/>
      <c r="H474097" s="2"/>
    </row>
    <row r="474346" spans="3:8" ht="15.6" x14ac:dyDescent="0.25">
      <c r="C474346" s="2"/>
      <c r="D474346" s="2"/>
      <c r="E474346" s="2"/>
      <c r="F474346" s="2"/>
      <c r="G474346" s="2"/>
      <c r="H474346" s="2"/>
    </row>
    <row r="474595" spans="3:8" ht="15.6" x14ac:dyDescent="0.25">
      <c r="C474595" s="2"/>
      <c r="D474595" s="2"/>
      <c r="E474595" s="2"/>
      <c r="F474595" s="2"/>
      <c r="G474595" s="2"/>
      <c r="H474595" s="2"/>
    </row>
    <row r="474844" spans="3:8" ht="15.6" x14ac:dyDescent="0.25">
      <c r="C474844" s="2"/>
      <c r="D474844" s="2"/>
      <c r="E474844" s="2"/>
      <c r="F474844" s="2"/>
      <c r="G474844" s="2"/>
      <c r="H474844" s="2"/>
    </row>
    <row r="475093" spans="3:8" ht="15.6" x14ac:dyDescent="0.25">
      <c r="C475093" s="2"/>
      <c r="D475093" s="2"/>
      <c r="E475093" s="2"/>
      <c r="F475093" s="2"/>
      <c r="G475093" s="2"/>
      <c r="H475093" s="2"/>
    </row>
    <row r="475342" spans="3:8" ht="15.6" x14ac:dyDescent="0.25">
      <c r="C475342" s="2"/>
      <c r="D475342" s="2"/>
      <c r="E475342" s="2"/>
      <c r="F475342" s="2"/>
      <c r="G475342" s="2"/>
      <c r="H475342" s="2"/>
    </row>
    <row r="475591" spans="3:8" ht="15.6" x14ac:dyDescent="0.25">
      <c r="C475591" s="2"/>
      <c r="D475591" s="2"/>
      <c r="E475591" s="2"/>
      <c r="F475591" s="2"/>
      <c r="G475591" s="2"/>
      <c r="H475591" s="2"/>
    </row>
    <row r="475840" spans="3:8" ht="15.6" x14ac:dyDescent="0.25">
      <c r="C475840" s="2"/>
      <c r="D475840" s="2"/>
      <c r="E475840" s="2"/>
      <c r="F475840" s="2"/>
      <c r="G475840" s="2"/>
      <c r="H475840" s="2"/>
    </row>
    <row r="476089" spans="3:8" ht="15.6" x14ac:dyDescent="0.25">
      <c r="C476089" s="2"/>
      <c r="D476089" s="2"/>
      <c r="E476089" s="2"/>
      <c r="F476089" s="2"/>
      <c r="G476089" s="2"/>
      <c r="H476089" s="2"/>
    </row>
    <row r="476338" spans="3:8" ht="15.6" x14ac:dyDescent="0.25">
      <c r="C476338" s="2"/>
      <c r="D476338" s="2"/>
      <c r="E476338" s="2"/>
      <c r="F476338" s="2"/>
      <c r="G476338" s="2"/>
      <c r="H476338" s="2"/>
    </row>
    <row r="476587" spans="3:8" ht="15.6" x14ac:dyDescent="0.25">
      <c r="C476587" s="2"/>
      <c r="D476587" s="2"/>
      <c r="E476587" s="2"/>
      <c r="F476587" s="2"/>
      <c r="G476587" s="2"/>
      <c r="H476587" s="2"/>
    </row>
    <row r="476836" spans="3:8" ht="15.6" x14ac:dyDescent="0.25">
      <c r="C476836" s="2"/>
      <c r="D476836" s="2"/>
      <c r="E476836" s="2"/>
      <c r="F476836" s="2"/>
      <c r="G476836" s="2"/>
      <c r="H476836" s="2"/>
    </row>
    <row r="477085" spans="3:8" ht="15.6" x14ac:dyDescent="0.25">
      <c r="C477085" s="2"/>
      <c r="D477085" s="2"/>
      <c r="E477085" s="2"/>
      <c r="F477085" s="2"/>
      <c r="G477085" s="2"/>
      <c r="H477085" s="2"/>
    </row>
    <row r="477334" spans="3:8" ht="15.6" x14ac:dyDescent="0.25">
      <c r="C477334" s="2"/>
      <c r="D477334" s="2"/>
      <c r="E477334" s="2"/>
      <c r="F477334" s="2"/>
      <c r="G477334" s="2"/>
      <c r="H477334" s="2"/>
    </row>
    <row r="477583" spans="3:8" ht="15.6" x14ac:dyDescent="0.25">
      <c r="C477583" s="2"/>
      <c r="D477583" s="2"/>
      <c r="E477583" s="2"/>
      <c r="F477583" s="2"/>
      <c r="G477583" s="2"/>
      <c r="H477583" s="2"/>
    </row>
    <row r="477832" spans="3:8" ht="15.6" x14ac:dyDescent="0.25">
      <c r="C477832" s="2"/>
      <c r="D477832" s="2"/>
      <c r="E477832" s="2"/>
      <c r="F477832" s="2"/>
      <c r="G477832" s="2"/>
      <c r="H477832" s="2"/>
    </row>
    <row r="478081" spans="3:8" ht="15.6" x14ac:dyDescent="0.25">
      <c r="C478081" s="2"/>
      <c r="D478081" s="2"/>
      <c r="E478081" s="2"/>
      <c r="F478081" s="2"/>
      <c r="G478081" s="2"/>
      <c r="H478081" s="2"/>
    </row>
    <row r="478330" spans="3:8" ht="15.6" x14ac:dyDescent="0.25">
      <c r="C478330" s="2"/>
      <c r="D478330" s="2"/>
      <c r="E478330" s="2"/>
      <c r="F478330" s="2"/>
      <c r="G478330" s="2"/>
      <c r="H478330" s="2"/>
    </row>
    <row r="478579" spans="3:8" ht="15.6" x14ac:dyDescent="0.25">
      <c r="C478579" s="2"/>
      <c r="D478579" s="2"/>
      <c r="E478579" s="2"/>
      <c r="F478579" s="2"/>
      <c r="G478579" s="2"/>
      <c r="H478579" s="2"/>
    </row>
    <row r="478828" spans="3:8" ht="15.6" x14ac:dyDescent="0.25">
      <c r="C478828" s="2"/>
      <c r="D478828" s="2"/>
      <c r="E478828" s="2"/>
      <c r="F478828" s="2"/>
      <c r="G478828" s="2"/>
      <c r="H478828" s="2"/>
    </row>
    <row r="479077" spans="3:8" ht="15.6" x14ac:dyDescent="0.25">
      <c r="C479077" s="2"/>
      <c r="D479077" s="2"/>
      <c r="E479077" s="2"/>
      <c r="F479077" s="2"/>
      <c r="G479077" s="2"/>
      <c r="H479077" s="2"/>
    </row>
    <row r="479326" spans="3:8" ht="15.6" x14ac:dyDescent="0.25">
      <c r="C479326" s="2"/>
      <c r="D479326" s="2"/>
      <c r="E479326" s="2"/>
      <c r="F479326" s="2"/>
      <c r="G479326" s="2"/>
      <c r="H479326" s="2"/>
    </row>
    <row r="479575" spans="3:8" ht="15.6" x14ac:dyDescent="0.25">
      <c r="C479575" s="2"/>
      <c r="D479575" s="2"/>
      <c r="E479575" s="2"/>
      <c r="F479575" s="2"/>
      <c r="G479575" s="2"/>
      <c r="H479575" s="2"/>
    </row>
    <row r="479824" spans="3:8" ht="15.6" x14ac:dyDescent="0.25">
      <c r="C479824" s="2"/>
      <c r="D479824" s="2"/>
      <c r="E479824" s="2"/>
      <c r="F479824" s="2"/>
      <c r="G479824" s="2"/>
      <c r="H479824" s="2"/>
    </row>
    <row r="480073" spans="3:8" ht="15.6" x14ac:dyDescent="0.25">
      <c r="C480073" s="2"/>
      <c r="D480073" s="2"/>
      <c r="E480073" s="2"/>
      <c r="F480073" s="2"/>
      <c r="G480073" s="2"/>
      <c r="H480073" s="2"/>
    </row>
    <row r="480322" spans="3:8" ht="15.6" x14ac:dyDescent="0.25">
      <c r="C480322" s="2"/>
      <c r="D480322" s="2"/>
      <c r="E480322" s="2"/>
      <c r="F480322" s="2"/>
      <c r="G480322" s="2"/>
      <c r="H480322" s="2"/>
    </row>
    <row r="480571" spans="3:8" ht="15.6" x14ac:dyDescent="0.25">
      <c r="C480571" s="2"/>
      <c r="D480571" s="2"/>
      <c r="E480571" s="2"/>
      <c r="F480571" s="2"/>
      <c r="G480571" s="2"/>
      <c r="H480571" s="2"/>
    </row>
    <row r="480820" spans="3:8" ht="15.6" x14ac:dyDescent="0.25">
      <c r="C480820" s="2"/>
      <c r="D480820" s="2"/>
      <c r="E480820" s="2"/>
      <c r="F480820" s="2"/>
      <c r="G480820" s="2"/>
      <c r="H480820" s="2"/>
    </row>
    <row r="481069" spans="3:8" ht="15.6" x14ac:dyDescent="0.25">
      <c r="C481069" s="2"/>
      <c r="D481069" s="2"/>
      <c r="E481069" s="2"/>
      <c r="F481069" s="2"/>
      <c r="G481069" s="2"/>
      <c r="H481069" s="2"/>
    </row>
    <row r="481318" spans="3:8" ht="15.6" x14ac:dyDescent="0.25">
      <c r="C481318" s="2"/>
      <c r="D481318" s="2"/>
      <c r="E481318" s="2"/>
      <c r="F481318" s="2"/>
      <c r="G481318" s="2"/>
      <c r="H481318" s="2"/>
    </row>
    <row r="481567" spans="3:8" ht="15.6" x14ac:dyDescent="0.25">
      <c r="C481567" s="2"/>
      <c r="D481567" s="2"/>
      <c r="E481567" s="2"/>
      <c r="F481567" s="2"/>
      <c r="G481567" s="2"/>
      <c r="H481567" s="2"/>
    </row>
    <row r="481816" spans="3:8" ht="15.6" x14ac:dyDescent="0.25">
      <c r="C481816" s="2"/>
      <c r="D481816" s="2"/>
      <c r="E481816" s="2"/>
      <c r="F481816" s="2"/>
      <c r="G481816" s="2"/>
      <c r="H481816" s="2"/>
    </row>
    <row r="482065" spans="3:8" ht="15.6" x14ac:dyDescent="0.25">
      <c r="C482065" s="2"/>
      <c r="D482065" s="2"/>
      <c r="E482065" s="2"/>
      <c r="F482065" s="2"/>
      <c r="G482065" s="2"/>
      <c r="H482065" s="2"/>
    </row>
    <row r="482314" spans="3:8" ht="15.6" x14ac:dyDescent="0.25">
      <c r="C482314" s="2"/>
      <c r="D482314" s="2"/>
      <c r="E482314" s="2"/>
      <c r="F482314" s="2"/>
      <c r="G482314" s="2"/>
      <c r="H482314" s="2"/>
    </row>
    <row r="482563" spans="3:8" ht="15.6" x14ac:dyDescent="0.25">
      <c r="C482563" s="2"/>
      <c r="D482563" s="2"/>
      <c r="E482563" s="2"/>
      <c r="F482563" s="2"/>
      <c r="G482563" s="2"/>
      <c r="H482563" s="2"/>
    </row>
    <row r="482812" spans="3:8" ht="15.6" x14ac:dyDescent="0.25">
      <c r="C482812" s="2"/>
      <c r="D482812" s="2"/>
      <c r="E482812" s="2"/>
      <c r="F482812" s="2"/>
      <c r="G482812" s="2"/>
      <c r="H482812" s="2"/>
    </row>
    <row r="483061" spans="3:8" ht="15.6" x14ac:dyDescent="0.25">
      <c r="C483061" s="2"/>
      <c r="D483061" s="2"/>
      <c r="E483061" s="2"/>
      <c r="F483061" s="2"/>
      <c r="G483061" s="2"/>
      <c r="H483061" s="2"/>
    </row>
    <row r="483310" spans="3:8" ht="15.6" x14ac:dyDescent="0.25">
      <c r="C483310" s="2"/>
      <c r="D483310" s="2"/>
      <c r="E483310" s="2"/>
      <c r="F483310" s="2"/>
      <c r="G483310" s="2"/>
      <c r="H483310" s="2"/>
    </row>
    <row r="483559" spans="3:8" ht="15.6" x14ac:dyDescent="0.25">
      <c r="C483559" s="2"/>
      <c r="D483559" s="2"/>
      <c r="E483559" s="2"/>
      <c r="F483559" s="2"/>
      <c r="G483559" s="2"/>
      <c r="H483559" s="2"/>
    </row>
    <row r="483808" spans="3:8" ht="15.6" x14ac:dyDescent="0.25">
      <c r="C483808" s="2"/>
      <c r="D483808" s="2"/>
      <c r="E483808" s="2"/>
      <c r="F483808" s="2"/>
      <c r="G483808" s="2"/>
      <c r="H483808" s="2"/>
    </row>
    <row r="484057" spans="3:8" ht="15.6" x14ac:dyDescent="0.25">
      <c r="C484057" s="2"/>
      <c r="D484057" s="2"/>
      <c r="E484057" s="2"/>
      <c r="F484057" s="2"/>
      <c r="G484057" s="2"/>
      <c r="H484057" s="2"/>
    </row>
    <row r="484306" spans="3:8" ht="15.6" x14ac:dyDescent="0.25">
      <c r="C484306" s="2"/>
      <c r="D484306" s="2"/>
      <c r="E484306" s="2"/>
      <c r="F484306" s="2"/>
      <c r="G484306" s="2"/>
      <c r="H484306" s="2"/>
    </row>
    <row r="484555" spans="3:8" ht="15.6" x14ac:dyDescent="0.25">
      <c r="C484555" s="2"/>
      <c r="D484555" s="2"/>
      <c r="E484555" s="2"/>
      <c r="F484555" s="2"/>
      <c r="G484555" s="2"/>
      <c r="H484555" s="2"/>
    </row>
    <row r="484804" spans="3:8" ht="15.6" x14ac:dyDescent="0.25">
      <c r="C484804" s="2"/>
      <c r="D484804" s="2"/>
      <c r="E484804" s="2"/>
      <c r="F484804" s="2"/>
      <c r="G484804" s="2"/>
      <c r="H484804" s="2"/>
    </row>
    <row r="485053" spans="3:8" ht="15.6" x14ac:dyDescent="0.25">
      <c r="C485053" s="2"/>
      <c r="D485053" s="2"/>
      <c r="E485053" s="2"/>
      <c r="F485053" s="2"/>
      <c r="G485053" s="2"/>
      <c r="H485053" s="2"/>
    </row>
    <row r="485302" spans="3:8" ht="15.6" x14ac:dyDescent="0.25">
      <c r="C485302" s="2"/>
      <c r="D485302" s="2"/>
      <c r="E485302" s="2"/>
      <c r="F485302" s="2"/>
      <c r="G485302" s="2"/>
      <c r="H485302" s="2"/>
    </row>
    <row r="485551" spans="3:8" ht="15.6" x14ac:dyDescent="0.25">
      <c r="C485551" s="2"/>
      <c r="D485551" s="2"/>
      <c r="E485551" s="2"/>
      <c r="F485551" s="2"/>
      <c r="G485551" s="2"/>
      <c r="H485551" s="2"/>
    </row>
    <row r="485800" spans="3:8" ht="15.6" x14ac:dyDescent="0.25">
      <c r="C485800" s="2"/>
      <c r="D485800" s="2"/>
      <c r="E485800" s="2"/>
      <c r="F485800" s="2"/>
      <c r="G485800" s="2"/>
      <c r="H485800" s="2"/>
    </row>
    <row r="486049" spans="3:8" ht="15.6" x14ac:dyDescent="0.25">
      <c r="C486049" s="2"/>
      <c r="D486049" s="2"/>
      <c r="E486049" s="2"/>
      <c r="F486049" s="2"/>
      <c r="G486049" s="2"/>
      <c r="H486049" s="2"/>
    </row>
    <row r="486298" spans="3:8" ht="15.6" x14ac:dyDescent="0.25">
      <c r="C486298" s="2"/>
      <c r="D486298" s="2"/>
      <c r="E486298" s="2"/>
      <c r="F486298" s="2"/>
      <c r="G486298" s="2"/>
      <c r="H486298" s="2"/>
    </row>
    <row r="486547" spans="3:8" ht="15.6" x14ac:dyDescent="0.25">
      <c r="C486547" s="2"/>
      <c r="D486547" s="2"/>
      <c r="E486547" s="2"/>
      <c r="F486547" s="2"/>
      <c r="G486547" s="2"/>
      <c r="H486547" s="2"/>
    </row>
    <row r="486796" spans="3:8" ht="15.6" x14ac:dyDescent="0.25">
      <c r="C486796" s="2"/>
      <c r="D486796" s="2"/>
      <c r="E486796" s="2"/>
      <c r="F486796" s="2"/>
      <c r="G486796" s="2"/>
      <c r="H486796" s="2"/>
    </row>
    <row r="487045" spans="3:8" ht="15.6" x14ac:dyDescent="0.25">
      <c r="C487045" s="2"/>
      <c r="D487045" s="2"/>
      <c r="E487045" s="2"/>
      <c r="F487045" s="2"/>
      <c r="G487045" s="2"/>
      <c r="H487045" s="2"/>
    </row>
    <row r="487294" spans="3:8" ht="15.6" x14ac:dyDescent="0.25">
      <c r="C487294" s="2"/>
      <c r="D487294" s="2"/>
      <c r="E487294" s="2"/>
      <c r="F487294" s="2"/>
      <c r="G487294" s="2"/>
      <c r="H487294" s="2"/>
    </row>
    <row r="487543" spans="3:8" ht="15.6" x14ac:dyDescent="0.25">
      <c r="C487543" s="2"/>
      <c r="D487543" s="2"/>
      <c r="E487543" s="2"/>
      <c r="F487543" s="2"/>
      <c r="G487543" s="2"/>
      <c r="H487543" s="2"/>
    </row>
    <row r="487792" spans="3:8" ht="15.6" x14ac:dyDescent="0.25">
      <c r="C487792" s="2"/>
      <c r="D487792" s="2"/>
      <c r="E487792" s="2"/>
      <c r="F487792" s="2"/>
      <c r="G487792" s="2"/>
      <c r="H487792" s="2"/>
    </row>
    <row r="488041" spans="3:8" ht="15.6" x14ac:dyDescent="0.25">
      <c r="C488041" s="2"/>
      <c r="D488041" s="2"/>
      <c r="E488041" s="2"/>
      <c r="F488041" s="2"/>
      <c r="G488041" s="2"/>
      <c r="H488041" s="2"/>
    </row>
    <row r="488290" spans="3:8" ht="15.6" x14ac:dyDescent="0.25">
      <c r="C488290" s="2"/>
      <c r="D488290" s="2"/>
      <c r="E488290" s="2"/>
      <c r="F488290" s="2"/>
      <c r="G488290" s="2"/>
      <c r="H488290" s="2"/>
    </row>
    <row r="488539" spans="3:8" ht="15.6" x14ac:dyDescent="0.25">
      <c r="C488539" s="2"/>
      <c r="D488539" s="2"/>
      <c r="E488539" s="2"/>
      <c r="F488539" s="2"/>
      <c r="G488539" s="2"/>
      <c r="H488539" s="2"/>
    </row>
    <row r="488788" spans="3:8" ht="15.6" x14ac:dyDescent="0.25">
      <c r="C488788" s="2"/>
      <c r="D488788" s="2"/>
      <c r="E488788" s="2"/>
      <c r="F488788" s="2"/>
      <c r="G488788" s="2"/>
      <c r="H488788" s="2"/>
    </row>
    <row r="489037" spans="3:8" ht="15.6" x14ac:dyDescent="0.25">
      <c r="C489037" s="2"/>
      <c r="D489037" s="2"/>
      <c r="E489037" s="2"/>
      <c r="F489037" s="2"/>
      <c r="G489037" s="2"/>
      <c r="H489037" s="2"/>
    </row>
    <row r="489286" spans="3:8" ht="15.6" x14ac:dyDescent="0.25">
      <c r="C489286" s="2"/>
      <c r="D489286" s="2"/>
      <c r="E489286" s="2"/>
      <c r="F489286" s="2"/>
      <c r="G489286" s="2"/>
      <c r="H489286" s="2"/>
    </row>
    <row r="489535" spans="3:8" ht="15.6" x14ac:dyDescent="0.25">
      <c r="C489535" s="2"/>
      <c r="D489535" s="2"/>
      <c r="E489535" s="2"/>
      <c r="F489535" s="2"/>
      <c r="G489535" s="2"/>
      <c r="H489535" s="2"/>
    </row>
    <row r="489784" spans="3:8" ht="15.6" x14ac:dyDescent="0.25">
      <c r="C489784" s="2"/>
      <c r="D489784" s="2"/>
      <c r="E489784" s="2"/>
      <c r="F489784" s="2"/>
      <c r="G489784" s="2"/>
      <c r="H489784" s="2"/>
    </row>
    <row r="490033" spans="3:8" ht="15.6" x14ac:dyDescent="0.25">
      <c r="C490033" s="2"/>
      <c r="D490033" s="2"/>
      <c r="E490033" s="2"/>
      <c r="F490033" s="2"/>
      <c r="G490033" s="2"/>
      <c r="H490033" s="2"/>
    </row>
    <row r="490282" spans="3:8" ht="15.6" x14ac:dyDescent="0.25">
      <c r="C490282" s="2"/>
      <c r="D490282" s="2"/>
      <c r="E490282" s="2"/>
      <c r="F490282" s="2"/>
      <c r="G490282" s="2"/>
      <c r="H490282" s="2"/>
    </row>
    <row r="490531" spans="3:8" ht="15.6" x14ac:dyDescent="0.25">
      <c r="C490531" s="2"/>
      <c r="D490531" s="2"/>
      <c r="E490531" s="2"/>
      <c r="F490531" s="2"/>
      <c r="G490531" s="2"/>
      <c r="H490531" s="2"/>
    </row>
    <row r="490780" spans="3:8" ht="15.6" x14ac:dyDescent="0.25">
      <c r="C490780" s="2"/>
      <c r="D490780" s="2"/>
      <c r="E490780" s="2"/>
      <c r="F490780" s="2"/>
      <c r="G490780" s="2"/>
      <c r="H490780" s="2"/>
    </row>
    <row r="491029" spans="3:8" ht="15.6" x14ac:dyDescent="0.25">
      <c r="C491029" s="2"/>
      <c r="D491029" s="2"/>
      <c r="E491029" s="2"/>
      <c r="F491029" s="2"/>
      <c r="G491029" s="2"/>
      <c r="H491029" s="2"/>
    </row>
    <row r="491278" spans="3:8" ht="15.6" x14ac:dyDescent="0.25">
      <c r="C491278" s="2"/>
      <c r="D491278" s="2"/>
      <c r="E491278" s="2"/>
      <c r="F491278" s="2"/>
      <c r="G491278" s="2"/>
      <c r="H491278" s="2"/>
    </row>
    <row r="491527" spans="3:8" ht="15.6" x14ac:dyDescent="0.25">
      <c r="C491527" s="2"/>
      <c r="D491527" s="2"/>
      <c r="E491527" s="2"/>
      <c r="F491527" s="2"/>
      <c r="G491527" s="2"/>
      <c r="H491527" s="2"/>
    </row>
    <row r="491776" spans="3:8" ht="15.6" x14ac:dyDescent="0.25">
      <c r="C491776" s="2"/>
      <c r="D491776" s="2"/>
      <c r="E491776" s="2"/>
      <c r="F491776" s="2"/>
      <c r="G491776" s="2"/>
      <c r="H491776" s="2"/>
    </row>
    <row r="492025" spans="3:8" ht="15.6" x14ac:dyDescent="0.25">
      <c r="C492025" s="2"/>
      <c r="D492025" s="2"/>
      <c r="E492025" s="2"/>
      <c r="F492025" s="2"/>
      <c r="G492025" s="2"/>
      <c r="H492025" s="2"/>
    </row>
    <row r="492274" spans="3:8" ht="15.6" x14ac:dyDescent="0.25">
      <c r="C492274" s="2"/>
      <c r="D492274" s="2"/>
      <c r="E492274" s="2"/>
      <c r="F492274" s="2"/>
      <c r="G492274" s="2"/>
      <c r="H492274" s="2"/>
    </row>
    <row r="492523" spans="3:8" ht="15.6" x14ac:dyDescent="0.25">
      <c r="C492523" s="2"/>
      <c r="D492523" s="2"/>
      <c r="E492523" s="2"/>
      <c r="F492523" s="2"/>
      <c r="G492523" s="2"/>
      <c r="H492523" s="2"/>
    </row>
    <row r="492772" spans="3:8" ht="15.6" x14ac:dyDescent="0.25">
      <c r="C492772" s="2"/>
      <c r="D492772" s="2"/>
      <c r="E492772" s="2"/>
      <c r="F492772" s="2"/>
      <c r="G492772" s="2"/>
      <c r="H492772" s="2"/>
    </row>
    <row r="493021" spans="3:8" ht="15.6" x14ac:dyDescent="0.25">
      <c r="C493021" s="2"/>
      <c r="D493021" s="2"/>
      <c r="E493021" s="2"/>
      <c r="F493021" s="2"/>
      <c r="G493021" s="2"/>
      <c r="H493021" s="2"/>
    </row>
    <row r="493270" spans="3:8" ht="15.6" x14ac:dyDescent="0.25">
      <c r="C493270" s="2"/>
      <c r="D493270" s="2"/>
      <c r="E493270" s="2"/>
      <c r="F493270" s="2"/>
      <c r="G493270" s="2"/>
      <c r="H493270" s="2"/>
    </row>
    <row r="493519" spans="3:8" ht="15.6" x14ac:dyDescent="0.25">
      <c r="C493519" s="2"/>
      <c r="D493519" s="2"/>
      <c r="E493519" s="2"/>
      <c r="F493519" s="2"/>
      <c r="G493519" s="2"/>
      <c r="H493519" s="2"/>
    </row>
    <row r="493768" spans="3:8" ht="15.6" x14ac:dyDescent="0.25">
      <c r="C493768" s="2"/>
      <c r="D493768" s="2"/>
      <c r="E493768" s="2"/>
      <c r="F493768" s="2"/>
      <c r="G493768" s="2"/>
      <c r="H493768" s="2"/>
    </row>
    <row r="494017" spans="3:8" ht="15.6" x14ac:dyDescent="0.25">
      <c r="C494017" s="2"/>
      <c r="D494017" s="2"/>
      <c r="E494017" s="2"/>
      <c r="F494017" s="2"/>
      <c r="G494017" s="2"/>
      <c r="H494017" s="2"/>
    </row>
    <row r="494266" spans="3:8" ht="15.6" x14ac:dyDescent="0.25">
      <c r="C494266" s="2"/>
      <c r="D494266" s="2"/>
      <c r="E494266" s="2"/>
      <c r="F494266" s="2"/>
      <c r="G494266" s="2"/>
      <c r="H494266" s="2"/>
    </row>
    <row r="494515" spans="3:8" ht="15.6" x14ac:dyDescent="0.25">
      <c r="C494515" s="2"/>
      <c r="D494515" s="2"/>
      <c r="E494515" s="2"/>
      <c r="F494515" s="2"/>
      <c r="G494515" s="2"/>
      <c r="H494515" s="2"/>
    </row>
    <row r="494764" spans="3:8" ht="15.6" x14ac:dyDescent="0.25">
      <c r="C494764" s="2"/>
      <c r="D494764" s="2"/>
      <c r="E494764" s="2"/>
      <c r="F494764" s="2"/>
      <c r="G494764" s="2"/>
      <c r="H494764" s="2"/>
    </row>
    <row r="495013" spans="3:8" ht="15.6" x14ac:dyDescent="0.25">
      <c r="C495013" s="2"/>
      <c r="D495013" s="2"/>
      <c r="E495013" s="2"/>
      <c r="F495013" s="2"/>
      <c r="G495013" s="2"/>
      <c r="H495013" s="2"/>
    </row>
    <row r="495262" spans="3:8" ht="15.6" x14ac:dyDescent="0.25">
      <c r="C495262" s="2"/>
      <c r="D495262" s="2"/>
      <c r="E495262" s="2"/>
      <c r="F495262" s="2"/>
      <c r="G495262" s="2"/>
      <c r="H495262" s="2"/>
    </row>
    <row r="495511" spans="3:8" ht="15.6" x14ac:dyDescent="0.25">
      <c r="C495511" s="2"/>
      <c r="D495511" s="2"/>
      <c r="E495511" s="2"/>
      <c r="F495511" s="2"/>
      <c r="G495511" s="2"/>
      <c r="H495511" s="2"/>
    </row>
    <row r="495760" spans="3:8" ht="15.6" x14ac:dyDescent="0.25">
      <c r="C495760" s="2"/>
      <c r="D495760" s="2"/>
      <c r="E495760" s="2"/>
      <c r="F495760" s="2"/>
      <c r="G495760" s="2"/>
      <c r="H495760" s="2"/>
    </row>
    <row r="496009" spans="3:8" ht="15.6" x14ac:dyDescent="0.25">
      <c r="C496009" s="2"/>
      <c r="D496009" s="2"/>
      <c r="E496009" s="2"/>
      <c r="F496009" s="2"/>
      <c r="G496009" s="2"/>
      <c r="H496009" s="2"/>
    </row>
    <row r="496258" spans="3:8" ht="15.6" x14ac:dyDescent="0.25">
      <c r="C496258" s="2"/>
      <c r="D496258" s="2"/>
      <c r="E496258" s="2"/>
      <c r="F496258" s="2"/>
      <c r="G496258" s="2"/>
      <c r="H496258" s="2"/>
    </row>
    <row r="496507" spans="3:8" ht="15.6" x14ac:dyDescent="0.25">
      <c r="C496507" s="2"/>
      <c r="D496507" s="2"/>
      <c r="E496507" s="2"/>
      <c r="F496507" s="2"/>
      <c r="G496507" s="2"/>
      <c r="H496507" s="2"/>
    </row>
    <row r="496756" spans="3:8" ht="15.6" x14ac:dyDescent="0.25">
      <c r="C496756" s="2"/>
      <c r="D496756" s="2"/>
      <c r="E496756" s="2"/>
      <c r="F496756" s="2"/>
      <c r="G496756" s="2"/>
      <c r="H496756" s="2"/>
    </row>
    <row r="497005" spans="3:8" ht="15.6" x14ac:dyDescent="0.25">
      <c r="C497005" s="2"/>
      <c r="D497005" s="2"/>
      <c r="E497005" s="2"/>
      <c r="F497005" s="2"/>
      <c r="G497005" s="2"/>
      <c r="H497005" s="2"/>
    </row>
    <row r="497254" spans="3:8" ht="15.6" x14ac:dyDescent="0.25">
      <c r="C497254" s="2"/>
      <c r="D497254" s="2"/>
      <c r="E497254" s="2"/>
      <c r="F497254" s="2"/>
      <c r="G497254" s="2"/>
      <c r="H497254" s="2"/>
    </row>
    <row r="497503" spans="3:8" ht="15.6" x14ac:dyDescent="0.25">
      <c r="C497503" s="2"/>
      <c r="D497503" s="2"/>
      <c r="E497503" s="2"/>
      <c r="F497503" s="2"/>
      <c r="G497503" s="2"/>
      <c r="H497503" s="2"/>
    </row>
    <row r="497752" spans="3:8" ht="15.6" x14ac:dyDescent="0.25">
      <c r="C497752" s="2"/>
      <c r="D497752" s="2"/>
      <c r="E497752" s="2"/>
      <c r="F497752" s="2"/>
      <c r="G497752" s="2"/>
      <c r="H497752" s="2"/>
    </row>
    <row r="498001" spans="3:8" ht="15.6" x14ac:dyDescent="0.25">
      <c r="C498001" s="2"/>
      <c r="D498001" s="2"/>
      <c r="E498001" s="2"/>
      <c r="F498001" s="2"/>
      <c r="G498001" s="2"/>
      <c r="H498001" s="2"/>
    </row>
    <row r="498250" spans="3:8" ht="15.6" x14ac:dyDescent="0.25">
      <c r="C498250" s="2"/>
      <c r="D498250" s="2"/>
      <c r="E498250" s="2"/>
      <c r="F498250" s="2"/>
      <c r="G498250" s="2"/>
      <c r="H498250" s="2"/>
    </row>
    <row r="498499" spans="3:8" ht="15.6" x14ac:dyDescent="0.25">
      <c r="C498499" s="2"/>
      <c r="D498499" s="2"/>
      <c r="E498499" s="2"/>
      <c r="F498499" s="2"/>
      <c r="G498499" s="2"/>
      <c r="H498499" s="2"/>
    </row>
    <row r="498748" spans="3:8" ht="15.6" x14ac:dyDescent="0.25">
      <c r="C498748" s="2"/>
      <c r="D498748" s="2"/>
      <c r="E498748" s="2"/>
      <c r="F498748" s="2"/>
      <c r="G498748" s="2"/>
      <c r="H498748" s="2"/>
    </row>
    <row r="498997" spans="3:8" ht="15.6" x14ac:dyDescent="0.25">
      <c r="C498997" s="2"/>
      <c r="D498997" s="2"/>
      <c r="E498997" s="2"/>
      <c r="F498997" s="2"/>
      <c r="G498997" s="2"/>
      <c r="H498997" s="2"/>
    </row>
    <row r="499246" spans="3:8" ht="15.6" x14ac:dyDescent="0.25">
      <c r="C499246" s="2"/>
      <c r="D499246" s="2"/>
      <c r="E499246" s="2"/>
      <c r="F499246" s="2"/>
      <c r="G499246" s="2"/>
      <c r="H499246" s="2"/>
    </row>
    <row r="499495" spans="3:8" ht="15.6" x14ac:dyDescent="0.25">
      <c r="C499495" s="2"/>
      <c r="D499495" s="2"/>
      <c r="E499495" s="2"/>
      <c r="F499495" s="2"/>
      <c r="G499495" s="2"/>
      <c r="H499495" s="2"/>
    </row>
    <row r="499744" spans="3:8" ht="15.6" x14ac:dyDescent="0.25">
      <c r="C499744" s="2"/>
      <c r="D499744" s="2"/>
      <c r="E499744" s="2"/>
      <c r="F499744" s="2"/>
      <c r="G499744" s="2"/>
      <c r="H499744" s="2"/>
    </row>
    <row r="499993" spans="3:8" ht="15.6" x14ac:dyDescent="0.25">
      <c r="C499993" s="2"/>
      <c r="D499993" s="2"/>
      <c r="E499993" s="2"/>
      <c r="F499993" s="2"/>
      <c r="G499993" s="2"/>
      <c r="H499993" s="2"/>
    </row>
    <row r="500242" spans="3:8" ht="15.6" x14ac:dyDescent="0.25">
      <c r="C500242" s="2"/>
      <c r="D500242" s="2"/>
      <c r="E500242" s="2"/>
      <c r="F500242" s="2"/>
      <c r="G500242" s="2"/>
      <c r="H500242" s="2"/>
    </row>
    <row r="500491" spans="3:8" ht="15.6" x14ac:dyDescent="0.25">
      <c r="C500491" s="2"/>
      <c r="D500491" s="2"/>
      <c r="E500491" s="2"/>
      <c r="F500491" s="2"/>
      <c r="G500491" s="2"/>
      <c r="H500491" s="2"/>
    </row>
    <row r="500740" spans="3:8" ht="15.6" x14ac:dyDescent="0.25">
      <c r="C500740" s="2"/>
      <c r="D500740" s="2"/>
      <c r="E500740" s="2"/>
      <c r="F500740" s="2"/>
      <c r="G500740" s="2"/>
      <c r="H500740" s="2"/>
    </row>
    <row r="500989" spans="3:8" ht="15.6" x14ac:dyDescent="0.25">
      <c r="C500989" s="2"/>
      <c r="D500989" s="2"/>
      <c r="E500989" s="2"/>
      <c r="F500989" s="2"/>
      <c r="G500989" s="2"/>
      <c r="H500989" s="2"/>
    </row>
    <row r="501238" spans="3:8" ht="15.6" x14ac:dyDescent="0.25">
      <c r="C501238" s="2"/>
      <c r="D501238" s="2"/>
      <c r="E501238" s="2"/>
      <c r="F501238" s="2"/>
      <c r="G501238" s="2"/>
      <c r="H501238" s="2"/>
    </row>
    <row r="501487" spans="3:8" ht="15.6" x14ac:dyDescent="0.25">
      <c r="C501487" s="2"/>
      <c r="D501487" s="2"/>
      <c r="E501487" s="2"/>
      <c r="F501487" s="2"/>
      <c r="G501487" s="2"/>
      <c r="H501487" s="2"/>
    </row>
    <row r="501736" spans="3:8" ht="15.6" x14ac:dyDescent="0.25">
      <c r="C501736" s="2"/>
      <c r="D501736" s="2"/>
      <c r="E501736" s="2"/>
      <c r="F501736" s="2"/>
      <c r="G501736" s="2"/>
      <c r="H501736" s="2"/>
    </row>
    <row r="501985" spans="3:8" ht="15.6" x14ac:dyDescent="0.25">
      <c r="C501985" s="2"/>
      <c r="D501985" s="2"/>
      <c r="E501985" s="2"/>
      <c r="F501985" s="2"/>
      <c r="G501985" s="2"/>
      <c r="H501985" s="2"/>
    </row>
    <row r="502234" spans="3:8" ht="15.6" x14ac:dyDescent="0.25">
      <c r="C502234" s="2"/>
      <c r="D502234" s="2"/>
      <c r="E502234" s="2"/>
      <c r="F502234" s="2"/>
      <c r="G502234" s="2"/>
      <c r="H502234" s="2"/>
    </row>
    <row r="502483" spans="3:8" ht="15.6" x14ac:dyDescent="0.25">
      <c r="C502483" s="2"/>
      <c r="D502483" s="2"/>
      <c r="E502483" s="2"/>
      <c r="F502483" s="2"/>
      <c r="G502483" s="2"/>
      <c r="H502483" s="2"/>
    </row>
    <row r="502732" spans="3:8" ht="15.6" x14ac:dyDescent="0.25">
      <c r="C502732" s="2"/>
      <c r="D502732" s="2"/>
      <c r="E502732" s="2"/>
      <c r="F502732" s="2"/>
      <c r="G502732" s="2"/>
      <c r="H502732" s="2"/>
    </row>
    <row r="502981" spans="3:8" ht="15.6" x14ac:dyDescent="0.25">
      <c r="C502981" s="2"/>
      <c r="D502981" s="2"/>
      <c r="E502981" s="2"/>
      <c r="F502981" s="2"/>
      <c r="G502981" s="2"/>
      <c r="H502981" s="2"/>
    </row>
    <row r="503230" spans="3:8" ht="15.6" x14ac:dyDescent="0.25">
      <c r="C503230" s="2"/>
      <c r="D503230" s="2"/>
      <c r="E503230" s="2"/>
      <c r="F503230" s="2"/>
      <c r="G503230" s="2"/>
      <c r="H503230" s="2"/>
    </row>
    <row r="503479" spans="3:8" ht="15.6" x14ac:dyDescent="0.25">
      <c r="C503479" s="2"/>
      <c r="D503479" s="2"/>
      <c r="E503479" s="2"/>
      <c r="F503479" s="2"/>
      <c r="G503479" s="2"/>
      <c r="H503479" s="2"/>
    </row>
    <row r="503728" spans="3:8" ht="15.6" x14ac:dyDescent="0.25">
      <c r="C503728" s="2"/>
      <c r="D503728" s="2"/>
      <c r="E503728" s="2"/>
      <c r="F503728" s="2"/>
      <c r="G503728" s="2"/>
      <c r="H503728" s="2"/>
    </row>
    <row r="503977" spans="3:8" ht="15.6" x14ac:dyDescent="0.25">
      <c r="C503977" s="2"/>
      <c r="D503977" s="2"/>
      <c r="E503977" s="2"/>
      <c r="F503977" s="2"/>
      <c r="G503977" s="2"/>
      <c r="H503977" s="2"/>
    </row>
    <row r="504226" spans="3:8" ht="15.6" x14ac:dyDescent="0.25">
      <c r="C504226" s="2"/>
      <c r="D504226" s="2"/>
      <c r="E504226" s="2"/>
      <c r="F504226" s="2"/>
      <c r="G504226" s="2"/>
      <c r="H504226" s="2"/>
    </row>
    <row r="504475" spans="3:8" ht="15.6" x14ac:dyDescent="0.25">
      <c r="C504475" s="2"/>
      <c r="D504475" s="2"/>
      <c r="E504475" s="2"/>
      <c r="F504475" s="2"/>
      <c r="G504475" s="2"/>
      <c r="H504475" s="2"/>
    </row>
    <row r="504724" spans="3:8" ht="15.6" x14ac:dyDescent="0.25">
      <c r="C504724" s="2"/>
      <c r="D504724" s="2"/>
      <c r="E504724" s="2"/>
      <c r="F504724" s="2"/>
      <c r="G504724" s="2"/>
      <c r="H504724" s="2"/>
    </row>
    <row r="504973" spans="3:8" ht="15.6" x14ac:dyDescent="0.25">
      <c r="C504973" s="2"/>
      <c r="D504973" s="2"/>
      <c r="E504973" s="2"/>
      <c r="F504973" s="2"/>
      <c r="G504973" s="2"/>
      <c r="H504973" s="2"/>
    </row>
    <row r="505222" spans="3:8" ht="15.6" x14ac:dyDescent="0.25">
      <c r="C505222" s="2"/>
      <c r="D505222" s="2"/>
      <c r="E505222" s="2"/>
      <c r="F505222" s="2"/>
      <c r="G505222" s="2"/>
      <c r="H505222" s="2"/>
    </row>
    <row r="505471" spans="3:8" ht="15.6" x14ac:dyDescent="0.25">
      <c r="C505471" s="2"/>
      <c r="D505471" s="2"/>
      <c r="E505471" s="2"/>
      <c r="F505471" s="2"/>
      <c r="G505471" s="2"/>
      <c r="H505471" s="2"/>
    </row>
    <row r="505720" spans="3:8" ht="15.6" x14ac:dyDescent="0.25">
      <c r="C505720" s="2"/>
      <c r="D505720" s="2"/>
      <c r="E505720" s="2"/>
      <c r="F505720" s="2"/>
      <c r="G505720" s="2"/>
      <c r="H505720" s="2"/>
    </row>
    <row r="505969" spans="3:8" ht="15.6" x14ac:dyDescent="0.25">
      <c r="C505969" s="2"/>
      <c r="D505969" s="2"/>
      <c r="E505969" s="2"/>
      <c r="F505969" s="2"/>
      <c r="G505969" s="2"/>
      <c r="H505969" s="2"/>
    </row>
    <row r="506218" spans="3:8" ht="15.6" x14ac:dyDescent="0.25">
      <c r="C506218" s="2"/>
      <c r="D506218" s="2"/>
      <c r="E506218" s="2"/>
      <c r="F506218" s="2"/>
      <c r="G506218" s="2"/>
      <c r="H506218" s="2"/>
    </row>
    <row r="506467" spans="3:8" ht="15.6" x14ac:dyDescent="0.25">
      <c r="C506467" s="2"/>
      <c r="D506467" s="2"/>
      <c r="E506467" s="2"/>
      <c r="F506467" s="2"/>
      <c r="G506467" s="2"/>
      <c r="H506467" s="2"/>
    </row>
    <row r="506716" spans="3:8" ht="15.6" x14ac:dyDescent="0.25">
      <c r="C506716" s="2"/>
      <c r="D506716" s="2"/>
      <c r="E506716" s="2"/>
      <c r="F506716" s="2"/>
      <c r="G506716" s="2"/>
      <c r="H506716" s="2"/>
    </row>
    <row r="506965" spans="3:8" ht="15.6" x14ac:dyDescent="0.25">
      <c r="C506965" s="2"/>
      <c r="D506965" s="2"/>
      <c r="E506965" s="2"/>
      <c r="F506965" s="2"/>
      <c r="G506965" s="2"/>
      <c r="H506965" s="2"/>
    </row>
    <row r="507214" spans="3:8" ht="15.6" x14ac:dyDescent="0.25">
      <c r="C507214" s="2"/>
      <c r="D507214" s="2"/>
      <c r="E507214" s="2"/>
      <c r="F507214" s="2"/>
      <c r="G507214" s="2"/>
      <c r="H507214" s="2"/>
    </row>
    <row r="507463" spans="3:8" ht="15.6" x14ac:dyDescent="0.25">
      <c r="C507463" s="2"/>
      <c r="D507463" s="2"/>
      <c r="E507463" s="2"/>
      <c r="F507463" s="2"/>
      <c r="G507463" s="2"/>
      <c r="H507463" s="2"/>
    </row>
    <row r="507712" spans="3:8" ht="15.6" x14ac:dyDescent="0.25">
      <c r="C507712" s="2"/>
      <c r="D507712" s="2"/>
      <c r="E507712" s="2"/>
      <c r="F507712" s="2"/>
      <c r="G507712" s="2"/>
      <c r="H507712" s="2"/>
    </row>
    <row r="507961" spans="3:8" ht="15.6" x14ac:dyDescent="0.25">
      <c r="C507961" s="2"/>
      <c r="D507961" s="2"/>
      <c r="E507961" s="2"/>
      <c r="F507961" s="2"/>
      <c r="G507961" s="2"/>
      <c r="H507961" s="2"/>
    </row>
    <row r="508210" spans="3:8" ht="15.6" x14ac:dyDescent="0.25">
      <c r="C508210" s="2"/>
      <c r="D508210" s="2"/>
      <c r="E508210" s="2"/>
      <c r="F508210" s="2"/>
      <c r="G508210" s="2"/>
      <c r="H508210" s="2"/>
    </row>
    <row r="508459" spans="3:8" ht="15.6" x14ac:dyDescent="0.25">
      <c r="C508459" s="2"/>
      <c r="D508459" s="2"/>
      <c r="E508459" s="2"/>
      <c r="F508459" s="2"/>
      <c r="G508459" s="2"/>
      <c r="H508459" s="2"/>
    </row>
    <row r="508708" spans="3:8" ht="15.6" x14ac:dyDescent="0.25">
      <c r="C508708" s="2"/>
      <c r="D508708" s="2"/>
      <c r="E508708" s="2"/>
      <c r="F508708" s="2"/>
      <c r="G508708" s="2"/>
      <c r="H508708" s="2"/>
    </row>
    <row r="508957" spans="3:8" ht="15.6" x14ac:dyDescent="0.25">
      <c r="C508957" s="2"/>
      <c r="D508957" s="2"/>
      <c r="E508957" s="2"/>
      <c r="F508957" s="2"/>
      <c r="G508957" s="2"/>
      <c r="H508957" s="2"/>
    </row>
    <row r="509206" spans="3:8" ht="15.6" x14ac:dyDescent="0.25">
      <c r="C509206" s="2"/>
      <c r="D509206" s="2"/>
      <c r="E509206" s="2"/>
      <c r="F509206" s="2"/>
      <c r="G509206" s="2"/>
      <c r="H509206" s="2"/>
    </row>
    <row r="509455" spans="3:8" ht="15.6" x14ac:dyDescent="0.25">
      <c r="C509455" s="2"/>
      <c r="D509455" s="2"/>
      <c r="E509455" s="2"/>
      <c r="F509455" s="2"/>
      <c r="G509455" s="2"/>
      <c r="H509455" s="2"/>
    </row>
    <row r="509704" spans="3:8" ht="15.6" x14ac:dyDescent="0.25">
      <c r="C509704" s="2"/>
      <c r="D509704" s="2"/>
      <c r="E509704" s="2"/>
      <c r="F509704" s="2"/>
      <c r="G509704" s="2"/>
      <c r="H509704" s="2"/>
    </row>
    <row r="509953" spans="3:8" ht="15.6" x14ac:dyDescent="0.25">
      <c r="C509953" s="2"/>
      <c r="D509953" s="2"/>
      <c r="E509953" s="2"/>
      <c r="F509953" s="2"/>
      <c r="G509953" s="2"/>
      <c r="H509953" s="2"/>
    </row>
    <row r="510202" spans="3:8" ht="15.6" x14ac:dyDescent="0.25">
      <c r="C510202" s="2"/>
      <c r="D510202" s="2"/>
      <c r="E510202" s="2"/>
      <c r="F510202" s="2"/>
      <c r="G510202" s="2"/>
      <c r="H510202" s="2"/>
    </row>
    <row r="510451" spans="3:8" ht="15.6" x14ac:dyDescent="0.25">
      <c r="C510451" s="2"/>
      <c r="D510451" s="2"/>
      <c r="E510451" s="2"/>
      <c r="F510451" s="2"/>
      <c r="G510451" s="2"/>
      <c r="H510451" s="2"/>
    </row>
    <row r="510700" spans="3:8" ht="15.6" x14ac:dyDescent="0.25">
      <c r="C510700" s="2"/>
      <c r="D510700" s="2"/>
      <c r="E510700" s="2"/>
      <c r="F510700" s="2"/>
      <c r="G510700" s="2"/>
      <c r="H510700" s="2"/>
    </row>
    <row r="510949" spans="3:8" ht="15.6" x14ac:dyDescent="0.25">
      <c r="C510949" s="2"/>
      <c r="D510949" s="2"/>
      <c r="E510949" s="2"/>
      <c r="F510949" s="2"/>
      <c r="G510949" s="2"/>
      <c r="H510949" s="2"/>
    </row>
    <row r="511198" spans="3:8" ht="15.6" x14ac:dyDescent="0.25">
      <c r="C511198" s="2"/>
      <c r="D511198" s="2"/>
      <c r="E511198" s="2"/>
      <c r="F511198" s="2"/>
      <c r="G511198" s="2"/>
      <c r="H511198" s="2"/>
    </row>
    <row r="511447" spans="3:8" ht="15.6" x14ac:dyDescent="0.25">
      <c r="C511447" s="2"/>
      <c r="D511447" s="2"/>
      <c r="E511447" s="2"/>
      <c r="F511447" s="2"/>
      <c r="G511447" s="2"/>
      <c r="H511447" s="2"/>
    </row>
    <row r="511696" spans="3:8" ht="15.6" x14ac:dyDescent="0.25">
      <c r="C511696" s="2"/>
      <c r="D511696" s="2"/>
      <c r="E511696" s="2"/>
      <c r="F511696" s="2"/>
      <c r="G511696" s="2"/>
      <c r="H511696" s="2"/>
    </row>
    <row r="511945" spans="3:8" ht="15.6" x14ac:dyDescent="0.25">
      <c r="C511945" s="2"/>
      <c r="D511945" s="2"/>
      <c r="E511945" s="2"/>
      <c r="F511945" s="2"/>
      <c r="G511945" s="2"/>
      <c r="H511945" s="2"/>
    </row>
    <row r="512194" spans="3:8" ht="15.6" x14ac:dyDescent="0.25">
      <c r="C512194" s="2"/>
      <c r="D512194" s="2"/>
      <c r="E512194" s="2"/>
      <c r="F512194" s="2"/>
      <c r="G512194" s="2"/>
      <c r="H512194" s="2"/>
    </row>
    <row r="512443" spans="3:8" ht="15.6" x14ac:dyDescent="0.25">
      <c r="C512443" s="2"/>
      <c r="D512443" s="2"/>
      <c r="E512443" s="2"/>
      <c r="F512443" s="2"/>
      <c r="G512443" s="2"/>
      <c r="H512443" s="2"/>
    </row>
    <row r="512692" spans="3:8" ht="15.6" x14ac:dyDescent="0.25">
      <c r="C512692" s="2"/>
      <c r="D512692" s="2"/>
      <c r="E512692" s="2"/>
      <c r="F512692" s="2"/>
      <c r="G512692" s="2"/>
      <c r="H512692" s="2"/>
    </row>
    <row r="512941" spans="3:8" ht="15.6" x14ac:dyDescent="0.25">
      <c r="C512941" s="2"/>
      <c r="D512941" s="2"/>
      <c r="E512941" s="2"/>
      <c r="F512941" s="2"/>
      <c r="G512941" s="2"/>
      <c r="H512941" s="2"/>
    </row>
    <row r="513190" spans="3:8" ht="15.6" x14ac:dyDescent="0.25">
      <c r="C513190" s="2"/>
      <c r="D513190" s="2"/>
      <c r="E513190" s="2"/>
      <c r="F513190" s="2"/>
      <c r="G513190" s="2"/>
      <c r="H513190" s="2"/>
    </row>
    <row r="513439" spans="3:8" ht="15.6" x14ac:dyDescent="0.25">
      <c r="C513439" s="2"/>
      <c r="D513439" s="2"/>
      <c r="E513439" s="2"/>
      <c r="F513439" s="2"/>
      <c r="G513439" s="2"/>
      <c r="H513439" s="2"/>
    </row>
    <row r="513688" spans="3:8" ht="15.6" x14ac:dyDescent="0.25">
      <c r="C513688" s="2"/>
      <c r="D513688" s="2"/>
      <c r="E513688" s="2"/>
      <c r="F513688" s="2"/>
      <c r="G513688" s="2"/>
      <c r="H513688" s="2"/>
    </row>
    <row r="513937" spans="3:8" ht="15.6" x14ac:dyDescent="0.25">
      <c r="C513937" s="2"/>
      <c r="D513937" s="2"/>
      <c r="E513937" s="2"/>
      <c r="F513937" s="2"/>
      <c r="G513937" s="2"/>
      <c r="H513937" s="2"/>
    </row>
    <row r="514186" spans="3:8" ht="15.6" x14ac:dyDescent="0.25">
      <c r="C514186" s="2"/>
      <c r="D514186" s="2"/>
      <c r="E514186" s="2"/>
      <c r="F514186" s="2"/>
      <c r="G514186" s="2"/>
      <c r="H514186" s="2"/>
    </row>
    <row r="514435" spans="3:8" ht="15.6" x14ac:dyDescent="0.25">
      <c r="C514435" s="2"/>
      <c r="D514435" s="2"/>
      <c r="E514435" s="2"/>
      <c r="F514435" s="2"/>
      <c r="G514435" s="2"/>
      <c r="H514435" s="2"/>
    </row>
    <row r="514684" spans="3:8" ht="15.6" x14ac:dyDescent="0.25">
      <c r="C514684" s="2"/>
      <c r="D514684" s="2"/>
      <c r="E514684" s="2"/>
      <c r="F514684" s="2"/>
      <c r="G514684" s="2"/>
      <c r="H514684" s="2"/>
    </row>
    <row r="514933" spans="3:8" ht="15.6" x14ac:dyDescent="0.25">
      <c r="C514933" s="2"/>
      <c r="D514933" s="2"/>
      <c r="E514933" s="2"/>
      <c r="F514933" s="2"/>
      <c r="G514933" s="2"/>
      <c r="H514933" s="2"/>
    </row>
    <row r="515182" spans="3:8" ht="15.6" x14ac:dyDescent="0.25">
      <c r="C515182" s="2"/>
      <c r="D515182" s="2"/>
      <c r="E515182" s="2"/>
      <c r="F515182" s="2"/>
      <c r="G515182" s="2"/>
      <c r="H515182" s="2"/>
    </row>
    <row r="515431" spans="3:8" ht="15.6" x14ac:dyDescent="0.25">
      <c r="C515431" s="2"/>
      <c r="D515431" s="2"/>
      <c r="E515431" s="2"/>
      <c r="F515431" s="2"/>
      <c r="G515431" s="2"/>
      <c r="H515431" s="2"/>
    </row>
    <row r="515680" spans="3:8" ht="15.6" x14ac:dyDescent="0.25">
      <c r="C515680" s="2"/>
      <c r="D515680" s="2"/>
      <c r="E515680" s="2"/>
      <c r="F515680" s="2"/>
      <c r="G515680" s="2"/>
      <c r="H515680" s="2"/>
    </row>
    <row r="515929" spans="3:8" ht="15.6" x14ac:dyDescent="0.25">
      <c r="C515929" s="2"/>
      <c r="D515929" s="2"/>
      <c r="E515929" s="2"/>
      <c r="F515929" s="2"/>
      <c r="G515929" s="2"/>
      <c r="H515929" s="2"/>
    </row>
    <row r="516178" spans="3:8" ht="15.6" x14ac:dyDescent="0.25">
      <c r="C516178" s="2"/>
      <c r="D516178" s="2"/>
      <c r="E516178" s="2"/>
      <c r="F516178" s="2"/>
      <c r="G516178" s="2"/>
      <c r="H516178" s="2"/>
    </row>
    <row r="516427" spans="3:8" ht="15.6" x14ac:dyDescent="0.25">
      <c r="C516427" s="2"/>
      <c r="D516427" s="2"/>
      <c r="E516427" s="2"/>
      <c r="F516427" s="2"/>
      <c r="G516427" s="2"/>
      <c r="H516427" s="2"/>
    </row>
    <row r="516676" spans="3:8" ht="15.6" x14ac:dyDescent="0.25">
      <c r="C516676" s="2"/>
      <c r="D516676" s="2"/>
      <c r="E516676" s="2"/>
      <c r="F516676" s="2"/>
      <c r="G516676" s="2"/>
      <c r="H516676" s="2"/>
    </row>
    <row r="516925" spans="3:8" ht="15.6" x14ac:dyDescent="0.25">
      <c r="C516925" s="2"/>
      <c r="D516925" s="2"/>
      <c r="E516925" s="2"/>
      <c r="F516925" s="2"/>
      <c r="G516925" s="2"/>
      <c r="H516925" s="2"/>
    </row>
    <row r="517174" spans="3:8" ht="15.6" x14ac:dyDescent="0.25">
      <c r="C517174" s="2"/>
      <c r="D517174" s="2"/>
      <c r="E517174" s="2"/>
      <c r="F517174" s="2"/>
      <c r="G517174" s="2"/>
      <c r="H517174" s="2"/>
    </row>
    <row r="517423" spans="3:8" ht="15.6" x14ac:dyDescent="0.25">
      <c r="C517423" s="2"/>
      <c r="D517423" s="2"/>
      <c r="E517423" s="2"/>
      <c r="F517423" s="2"/>
      <c r="G517423" s="2"/>
      <c r="H517423" s="2"/>
    </row>
    <row r="517672" spans="3:8" ht="15.6" x14ac:dyDescent="0.25">
      <c r="C517672" s="2"/>
      <c r="D517672" s="2"/>
      <c r="E517672" s="2"/>
      <c r="F517672" s="2"/>
      <c r="G517672" s="2"/>
      <c r="H517672" s="2"/>
    </row>
    <row r="517921" spans="3:8" ht="15.6" x14ac:dyDescent="0.25">
      <c r="C517921" s="2"/>
      <c r="D517921" s="2"/>
      <c r="E517921" s="2"/>
      <c r="F517921" s="2"/>
      <c r="G517921" s="2"/>
      <c r="H517921" s="2"/>
    </row>
    <row r="518170" spans="3:8" ht="15.6" x14ac:dyDescent="0.25">
      <c r="C518170" s="2"/>
      <c r="D518170" s="2"/>
      <c r="E518170" s="2"/>
      <c r="F518170" s="2"/>
      <c r="G518170" s="2"/>
      <c r="H518170" s="2"/>
    </row>
    <row r="518419" spans="3:8" ht="15.6" x14ac:dyDescent="0.25">
      <c r="C518419" s="2"/>
      <c r="D518419" s="2"/>
      <c r="E518419" s="2"/>
      <c r="F518419" s="2"/>
      <c r="G518419" s="2"/>
      <c r="H518419" s="2"/>
    </row>
    <row r="518668" spans="3:8" ht="15.6" x14ac:dyDescent="0.25">
      <c r="C518668" s="2"/>
      <c r="D518668" s="2"/>
      <c r="E518668" s="2"/>
      <c r="F518668" s="2"/>
      <c r="G518668" s="2"/>
      <c r="H518668" s="2"/>
    </row>
    <row r="518917" spans="3:8" ht="15.6" x14ac:dyDescent="0.25">
      <c r="C518917" s="2"/>
      <c r="D518917" s="2"/>
      <c r="E518917" s="2"/>
      <c r="F518917" s="2"/>
      <c r="G518917" s="2"/>
      <c r="H518917" s="2"/>
    </row>
    <row r="519166" spans="3:8" ht="15.6" x14ac:dyDescent="0.25">
      <c r="C519166" s="2"/>
      <c r="D519166" s="2"/>
      <c r="E519166" s="2"/>
      <c r="F519166" s="2"/>
      <c r="G519166" s="2"/>
      <c r="H519166" s="2"/>
    </row>
    <row r="519415" spans="3:8" ht="15.6" x14ac:dyDescent="0.25">
      <c r="C519415" s="2"/>
      <c r="D519415" s="2"/>
      <c r="E519415" s="2"/>
      <c r="F519415" s="2"/>
      <c r="G519415" s="2"/>
      <c r="H519415" s="2"/>
    </row>
    <row r="519664" spans="3:8" ht="15.6" x14ac:dyDescent="0.25">
      <c r="C519664" s="2"/>
      <c r="D519664" s="2"/>
      <c r="E519664" s="2"/>
      <c r="F519664" s="2"/>
      <c r="G519664" s="2"/>
      <c r="H519664" s="2"/>
    </row>
    <row r="519913" spans="3:8" ht="15.6" x14ac:dyDescent="0.25">
      <c r="C519913" s="2"/>
      <c r="D519913" s="2"/>
      <c r="E519913" s="2"/>
      <c r="F519913" s="2"/>
      <c r="G519913" s="2"/>
      <c r="H519913" s="2"/>
    </row>
    <row r="520162" spans="3:8" ht="15.6" x14ac:dyDescent="0.25">
      <c r="C520162" s="2"/>
      <c r="D520162" s="2"/>
      <c r="E520162" s="2"/>
      <c r="F520162" s="2"/>
      <c r="G520162" s="2"/>
      <c r="H520162" s="2"/>
    </row>
    <row r="520411" spans="3:8" ht="15.6" x14ac:dyDescent="0.25">
      <c r="C520411" s="2"/>
      <c r="D520411" s="2"/>
      <c r="E520411" s="2"/>
      <c r="F520411" s="2"/>
      <c r="G520411" s="2"/>
      <c r="H520411" s="2"/>
    </row>
    <row r="520660" spans="3:8" ht="15.6" x14ac:dyDescent="0.25">
      <c r="C520660" s="2"/>
      <c r="D520660" s="2"/>
      <c r="E520660" s="2"/>
      <c r="F520660" s="2"/>
      <c r="G520660" s="2"/>
      <c r="H520660" s="2"/>
    </row>
    <row r="520909" spans="3:8" ht="15.6" x14ac:dyDescent="0.25">
      <c r="C520909" s="2"/>
      <c r="D520909" s="2"/>
      <c r="E520909" s="2"/>
      <c r="F520909" s="2"/>
      <c r="G520909" s="2"/>
      <c r="H520909" s="2"/>
    </row>
    <row r="521158" spans="3:8" ht="15.6" x14ac:dyDescent="0.25">
      <c r="C521158" s="2"/>
      <c r="D521158" s="2"/>
      <c r="E521158" s="2"/>
      <c r="F521158" s="2"/>
      <c r="G521158" s="2"/>
      <c r="H521158" s="2"/>
    </row>
    <row r="521407" spans="3:8" ht="15.6" x14ac:dyDescent="0.25">
      <c r="C521407" s="2"/>
      <c r="D521407" s="2"/>
      <c r="E521407" s="2"/>
      <c r="F521407" s="2"/>
      <c r="G521407" s="2"/>
      <c r="H521407" s="2"/>
    </row>
    <row r="521656" spans="3:8" ht="15.6" x14ac:dyDescent="0.25">
      <c r="C521656" s="2"/>
      <c r="D521656" s="2"/>
      <c r="E521656" s="2"/>
      <c r="F521656" s="2"/>
      <c r="G521656" s="2"/>
      <c r="H521656" s="2"/>
    </row>
    <row r="521905" spans="3:8" ht="15.6" x14ac:dyDescent="0.25">
      <c r="C521905" s="2"/>
      <c r="D521905" s="2"/>
      <c r="E521905" s="2"/>
      <c r="F521905" s="2"/>
      <c r="G521905" s="2"/>
      <c r="H521905" s="2"/>
    </row>
    <row r="522154" spans="3:8" ht="15.6" x14ac:dyDescent="0.25">
      <c r="C522154" s="2"/>
      <c r="D522154" s="2"/>
      <c r="E522154" s="2"/>
      <c r="F522154" s="2"/>
      <c r="G522154" s="2"/>
      <c r="H522154" s="2"/>
    </row>
    <row r="522403" spans="3:8" ht="15.6" x14ac:dyDescent="0.25">
      <c r="C522403" s="2"/>
      <c r="D522403" s="2"/>
      <c r="E522403" s="2"/>
      <c r="F522403" s="2"/>
      <c r="G522403" s="2"/>
      <c r="H522403" s="2"/>
    </row>
    <row r="522652" spans="3:8" ht="15.6" x14ac:dyDescent="0.25">
      <c r="C522652" s="2"/>
      <c r="D522652" s="2"/>
      <c r="E522652" s="2"/>
      <c r="F522652" s="2"/>
      <c r="G522652" s="2"/>
      <c r="H522652" s="2"/>
    </row>
    <row r="522901" spans="3:8" ht="15.6" x14ac:dyDescent="0.25">
      <c r="C522901" s="2"/>
      <c r="D522901" s="2"/>
      <c r="E522901" s="2"/>
      <c r="F522901" s="2"/>
      <c r="G522901" s="2"/>
      <c r="H522901" s="2"/>
    </row>
    <row r="523150" spans="3:8" ht="15.6" x14ac:dyDescent="0.25">
      <c r="C523150" s="2"/>
      <c r="D523150" s="2"/>
      <c r="E523150" s="2"/>
      <c r="F523150" s="2"/>
      <c r="G523150" s="2"/>
      <c r="H523150" s="2"/>
    </row>
    <row r="523399" spans="3:8" ht="15.6" x14ac:dyDescent="0.25">
      <c r="C523399" s="2"/>
      <c r="D523399" s="2"/>
      <c r="E523399" s="2"/>
      <c r="F523399" s="2"/>
      <c r="G523399" s="2"/>
      <c r="H523399" s="2"/>
    </row>
    <row r="523648" spans="3:8" ht="15.6" x14ac:dyDescent="0.25">
      <c r="C523648" s="2"/>
      <c r="D523648" s="2"/>
      <c r="E523648" s="2"/>
      <c r="F523648" s="2"/>
      <c r="G523648" s="2"/>
      <c r="H523648" s="2"/>
    </row>
    <row r="523897" spans="3:8" ht="15.6" x14ac:dyDescent="0.25">
      <c r="C523897" s="2"/>
      <c r="D523897" s="2"/>
      <c r="E523897" s="2"/>
      <c r="F523897" s="2"/>
      <c r="G523897" s="2"/>
      <c r="H523897" s="2"/>
    </row>
    <row r="524146" spans="3:8" ht="15.6" x14ac:dyDescent="0.25">
      <c r="C524146" s="2"/>
      <c r="D524146" s="2"/>
      <c r="E524146" s="2"/>
      <c r="F524146" s="2"/>
      <c r="G524146" s="2"/>
      <c r="H524146" s="2"/>
    </row>
    <row r="524395" spans="3:8" ht="15.6" x14ac:dyDescent="0.25">
      <c r="C524395" s="2"/>
      <c r="D524395" s="2"/>
      <c r="E524395" s="2"/>
      <c r="F524395" s="2"/>
      <c r="G524395" s="2"/>
      <c r="H524395" s="2"/>
    </row>
    <row r="524644" spans="3:8" ht="15.6" x14ac:dyDescent="0.25">
      <c r="C524644" s="2"/>
      <c r="D524644" s="2"/>
      <c r="E524644" s="2"/>
      <c r="F524644" s="2"/>
      <c r="G524644" s="2"/>
      <c r="H524644" s="2"/>
    </row>
    <row r="524893" spans="3:8" ht="15.6" x14ac:dyDescent="0.25">
      <c r="C524893" s="2"/>
      <c r="D524893" s="2"/>
      <c r="E524893" s="2"/>
      <c r="F524893" s="2"/>
      <c r="G524893" s="2"/>
      <c r="H524893" s="2"/>
    </row>
    <row r="525142" spans="3:8" ht="15.6" x14ac:dyDescent="0.25">
      <c r="C525142" s="2"/>
      <c r="D525142" s="2"/>
      <c r="E525142" s="2"/>
      <c r="F525142" s="2"/>
      <c r="G525142" s="2"/>
      <c r="H525142" s="2"/>
    </row>
    <row r="525391" spans="3:8" ht="15.6" x14ac:dyDescent="0.25">
      <c r="C525391" s="2"/>
      <c r="D525391" s="2"/>
      <c r="E525391" s="2"/>
      <c r="F525391" s="2"/>
      <c r="G525391" s="2"/>
      <c r="H525391" s="2"/>
    </row>
    <row r="525640" spans="3:8" ht="15.6" x14ac:dyDescent="0.25">
      <c r="C525640" s="2"/>
      <c r="D525640" s="2"/>
      <c r="E525640" s="2"/>
      <c r="F525640" s="2"/>
      <c r="G525640" s="2"/>
      <c r="H525640" s="2"/>
    </row>
    <row r="525889" spans="3:8" ht="15.6" x14ac:dyDescent="0.25">
      <c r="C525889" s="2"/>
      <c r="D525889" s="2"/>
      <c r="E525889" s="2"/>
      <c r="F525889" s="2"/>
      <c r="G525889" s="2"/>
      <c r="H525889" s="2"/>
    </row>
    <row r="526138" spans="3:8" ht="15.6" x14ac:dyDescent="0.25">
      <c r="C526138" s="2"/>
      <c r="D526138" s="2"/>
      <c r="E526138" s="2"/>
      <c r="F526138" s="2"/>
      <c r="G526138" s="2"/>
      <c r="H526138" s="2"/>
    </row>
    <row r="526387" spans="3:8" ht="15.6" x14ac:dyDescent="0.25">
      <c r="C526387" s="2"/>
      <c r="D526387" s="2"/>
      <c r="E526387" s="2"/>
      <c r="F526387" s="2"/>
      <c r="G526387" s="2"/>
      <c r="H526387" s="2"/>
    </row>
    <row r="526636" spans="3:8" ht="15.6" x14ac:dyDescent="0.25">
      <c r="C526636" s="2"/>
      <c r="D526636" s="2"/>
      <c r="E526636" s="2"/>
      <c r="F526636" s="2"/>
      <c r="G526636" s="2"/>
      <c r="H526636" s="2"/>
    </row>
    <row r="526885" spans="3:8" ht="15.6" x14ac:dyDescent="0.25">
      <c r="C526885" s="2"/>
      <c r="D526885" s="2"/>
      <c r="E526885" s="2"/>
      <c r="F526885" s="2"/>
      <c r="G526885" s="2"/>
      <c r="H526885" s="2"/>
    </row>
    <row r="527134" spans="3:8" ht="15.6" x14ac:dyDescent="0.25">
      <c r="C527134" s="2"/>
      <c r="D527134" s="2"/>
      <c r="E527134" s="2"/>
      <c r="F527134" s="2"/>
      <c r="G527134" s="2"/>
      <c r="H527134" s="2"/>
    </row>
    <row r="527383" spans="3:8" ht="15.6" x14ac:dyDescent="0.25">
      <c r="C527383" s="2"/>
      <c r="D527383" s="2"/>
      <c r="E527383" s="2"/>
      <c r="F527383" s="2"/>
      <c r="G527383" s="2"/>
      <c r="H527383" s="2"/>
    </row>
    <row r="527632" spans="3:8" ht="15.6" x14ac:dyDescent="0.25">
      <c r="C527632" s="2"/>
      <c r="D527632" s="2"/>
      <c r="E527632" s="2"/>
      <c r="F527632" s="2"/>
      <c r="G527632" s="2"/>
      <c r="H527632" s="2"/>
    </row>
    <row r="527881" spans="3:8" ht="15.6" x14ac:dyDescent="0.25">
      <c r="C527881" s="2"/>
      <c r="D527881" s="2"/>
      <c r="E527881" s="2"/>
      <c r="F527881" s="2"/>
      <c r="G527881" s="2"/>
      <c r="H527881" s="2"/>
    </row>
    <row r="528130" spans="3:8" ht="15.6" x14ac:dyDescent="0.25">
      <c r="C528130" s="2"/>
      <c r="D528130" s="2"/>
      <c r="E528130" s="2"/>
      <c r="F528130" s="2"/>
      <c r="G528130" s="2"/>
      <c r="H528130" s="2"/>
    </row>
    <row r="528379" spans="3:8" ht="15.6" x14ac:dyDescent="0.25">
      <c r="C528379" s="2"/>
      <c r="D528379" s="2"/>
      <c r="E528379" s="2"/>
      <c r="F528379" s="2"/>
      <c r="G528379" s="2"/>
      <c r="H528379" s="2"/>
    </row>
    <row r="528628" spans="3:8" ht="15.6" x14ac:dyDescent="0.25">
      <c r="C528628" s="2"/>
      <c r="D528628" s="2"/>
      <c r="E528628" s="2"/>
      <c r="F528628" s="2"/>
      <c r="G528628" s="2"/>
      <c r="H528628" s="2"/>
    </row>
    <row r="528877" spans="3:8" ht="15.6" x14ac:dyDescent="0.25">
      <c r="C528877" s="2"/>
      <c r="D528877" s="2"/>
      <c r="E528877" s="2"/>
      <c r="F528877" s="2"/>
      <c r="G528877" s="2"/>
      <c r="H528877" s="2"/>
    </row>
    <row r="529126" spans="3:8" ht="15.6" x14ac:dyDescent="0.25">
      <c r="C529126" s="2"/>
      <c r="D529126" s="2"/>
      <c r="E529126" s="2"/>
      <c r="F529126" s="2"/>
      <c r="G529126" s="2"/>
      <c r="H529126" s="2"/>
    </row>
    <row r="529375" spans="3:8" ht="15.6" x14ac:dyDescent="0.25">
      <c r="C529375" s="2"/>
      <c r="D529375" s="2"/>
      <c r="E529375" s="2"/>
      <c r="F529375" s="2"/>
      <c r="G529375" s="2"/>
      <c r="H529375" s="2"/>
    </row>
    <row r="529624" spans="3:8" ht="15.6" x14ac:dyDescent="0.25">
      <c r="C529624" s="2"/>
      <c r="D529624" s="2"/>
      <c r="E529624" s="2"/>
      <c r="F529624" s="2"/>
      <c r="G529624" s="2"/>
      <c r="H529624" s="2"/>
    </row>
    <row r="529873" spans="3:8" ht="15.6" x14ac:dyDescent="0.25">
      <c r="C529873" s="2"/>
      <c r="D529873" s="2"/>
      <c r="E529873" s="2"/>
      <c r="F529873" s="2"/>
      <c r="G529873" s="2"/>
      <c r="H529873" s="2"/>
    </row>
    <row r="530122" spans="3:8" ht="15.6" x14ac:dyDescent="0.25">
      <c r="C530122" s="2"/>
      <c r="D530122" s="2"/>
      <c r="E530122" s="2"/>
      <c r="F530122" s="2"/>
      <c r="G530122" s="2"/>
      <c r="H530122" s="2"/>
    </row>
    <row r="530371" spans="3:8" ht="15.6" x14ac:dyDescent="0.25">
      <c r="C530371" s="2"/>
      <c r="D530371" s="2"/>
      <c r="E530371" s="2"/>
      <c r="F530371" s="2"/>
      <c r="G530371" s="2"/>
      <c r="H530371" s="2"/>
    </row>
    <row r="530620" spans="3:8" ht="15.6" x14ac:dyDescent="0.25">
      <c r="C530620" s="2"/>
      <c r="D530620" s="2"/>
      <c r="E530620" s="2"/>
      <c r="F530620" s="2"/>
      <c r="G530620" s="2"/>
      <c r="H530620" s="2"/>
    </row>
    <row r="530869" spans="3:8" ht="15.6" x14ac:dyDescent="0.25">
      <c r="C530869" s="2"/>
      <c r="D530869" s="2"/>
      <c r="E530869" s="2"/>
      <c r="F530869" s="2"/>
      <c r="G530869" s="2"/>
      <c r="H530869" s="2"/>
    </row>
    <row r="531118" spans="3:8" ht="15.6" x14ac:dyDescent="0.25">
      <c r="C531118" s="2"/>
      <c r="D531118" s="2"/>
      <c r="E531118" s="2"/>
      <c r="F531118" s="2"/>
      <c r="G531118" s="2"/>
      <c r="H531118" s="2"/>
    </row>
    <row r="531367" spans="3:8" ht="15.6" x14ac:dyDescent="0.25">
      <c r="C531367" s="2"/>
      <c r="D531367" s="2"/>
      <c r="E531367" s="2"/>
      <c r="F531367" s="2"/>
      <c r="G531367" s="2"/>
      <c r="H531367" s="2"/>
    </row>
    <row r="531616" spans="3:8" ht="15.6" x14ac:dyDescent="0.25">
      <c r="C531616" s="2"/>
      <c r="D531616" s="2"/>
      <c r="E531616" s="2"/>
      <c r="F531616" s="2"/>
      <c r="G531616" s="2"/>
      <c r="H531616" s="2"/>
    </row>
    <row r="531865" spans="3:8" ht="15.6" x14ac:dyDescent="0.25">
      <c r="C531865" s="2"/>
      <c r="D531865" s="2"/>
      <c r="E531865" s="2"/>
      <c r="F531865" s="2"/>
      <c r="G531865" s="2"/>
      <c r="H531865" s="2"/>
    </row>
    <row r="532114" spans="3:8" ht="15.6" x14ac:dyDescent="0.25">
      <c r="C532114" s="2"/>
      <c r="D532114" s="2"/>
      <c r="E532114" s="2"/>
      <c r="F532114" s="2"/>
      <c r="G532114" s="2"/>
      <c r="H532114" s="2"/>
    </row>
    <row r="532363" spans="3:8" ht="15.6" x14ac:dyDescent="0.25">
      <c r="C532363" s="2"/>
      <c r="D532363" s="2"/>
      <c r="E532363" s="2"/>
      <c r="F532363" s="2"/>
      <c r="G532363" s="2"/>
      <c r="H532363" s="2"/>
    </row>
    <row r="532612" spans="3:8" ht="15.6" x14ac:dyDescent="0.25">
      <c r="C532612" s="2"/>
      <c r="D532612" s="2"/>
      <c r="E532612" s="2"/>
      <c r="F532612" s="2"/>
      <c r="G532612" s="2"/>
      <c r="H532612" s="2"/>
    </row>
    <row r="532861" spans="3:8" ht="15.6" x14ac:dyDescent="0.25">
      <c r="C532861" s="2"/>
      <c r="D532861" s="2"/>
      <c r="E532861" s="2"/>
      <c r="F532861" s="2"/>
      <c r="G532861" s="2"/>
      <c r="H532861" s="2"/>
    </row>
    <row r="533110" spans="3:8" ht="15.6" x14ac:dyDescent="0.25">
      <c r="C533110" s="2"/>
      <c r="D533110" s="2"/>
      <c r="E533110" s="2"/>
      <c r="F533110" s="2"/>
      <c r="G533110" s="2"/>
      <c r="H533110" s="2"/>
    </row>
    <row r="533359" spans="3:8" ht="15.6" x14ac:dyDescent="0.25">
      <c r="C533359" s="2"/>
      <c r="D533359" s="2"/>
      <c r="E533359" s="2"/>
      <c r="F533359" s="2"/>
      <c r="G533359" s="2"/>
      <c r="H533359" s="2"/>
    </row>
    <row r="533608" spans="3:8" ht="15.6" x14ac:dyDescent="0.25">
      <c r="C533608" s="2"/>
      <c r="D533608" s="2"/>
      <c r="E533608" s="2"/>
      <c r="F533608" s="2"/>
      <c r="G533608" s="2"/>
      <c r="H533608" s="2"/>
    </row>
    <row r="533857" spans="3:8" ht="15.6" x14ac:dyDescent="0.25">
      <c r="C533857" s="2"/>
      <c r="D533857" s="2"/>
      <c r="E533857" s="2"/>
      <c r="F533857" s="2"/>
      <c r="G533857" s="2"/>
      <c r="H533857" s="2"/>
    </row>
    <row r="534106" spans="3:8" ht="15.6" x14ac:dyDescent="0.25">
      <c r="C534106" s="2"/>
      <c r="D534106" s="2"/>
      <c r="E534106" s="2"/>
      <c r="F534106" s="2"/>
      <c r="G534106" s="2"/>
      <c r="H534106" s="2"/>
    </row>
    <row r="534355" spans="3:8" ht="15.6" x14ac:dyDescent="0.25">
      <c r="C534355" s="2"/>
      <c r="D534355" s="2"/>
      <c r="E534355" s="2"/>
      <c r="F534355" s="2"/>
      <c r="G534355" s="2"/>
      <c r="H534355" s="2"/>
    </row>
    <row r="534604" spans="3:8" ht="15.6" x14ac:dyDescent="0.25">
      <c r="C534604" s="2"/>
      <c r="D534604" s="2"/>
      <c r="E534604" s="2"/>
      <c r="F534604" s="2"/>
      <c r="G534604" s="2"/>
      <c r="H534604" s="2"/>
    </row>
    <row r="534853" spans="3:8" ht="15.6" x14ac:dyDescent="0.25">
      <c r="C534853" s="2"/>
      <c r="D534853" s="2"/>
      <c r="E534853" s="2"/>
      <c r="F534853" s="2"/>
      <c r="G534853" s="2"/>
      <c r="H534853" s="2"/>
    </row>
    <row r="535102" spans="3:8" ht="15.6" x14ac:dyDescent="0.25">
      <c r="C535102" s="2"/>
      <c r="D535102" s="2"/>
      <c r="E535102" s="2"/>
      <c r="F535102" s="2"/>
      <c r="G535102" s="2"/>
      <c r="H535102" s="2"/>
    </row>
    <row r="535351" spans="3:8" ht="15.6" x14ac:dyDescent="0.25">
      <c r="C535351" s="2"/>
      <c r="D535351" s="2"/>
      <c r="E535351" s="2"/>
      <c r="F535351" s="2"/>
      <c r="G535351" s="2"/>
      <c r="H535351" s="2"/>
    </row>
    <row r="535600" spans="3:8" ht="15.6" x14ac:dyDescent="0.25">
      <c r="C535600" s="2"/>
      <c r="D535600" s="2"/>
      <c r="E535600" s="2"/>
      <c r="F535600" s="2"/>
      <c r="G535600" s="2"/>
      <c r="H535600" s="2"/>
    </row>
    <row r="535849" spans="3:8" ht="15.6" x14ac:dyDescent="0.25">
      <c r="C535849" s="2"/>
      <c r="D535849" s="2"/>
      <c r="E535849" s="2"/>
      <c r="F535849" s="2"/>
      <c r="G535849" s="2"/>
      <c r="H535849" s="2"/>
    </row>
    <row r="536098" spans="3:8" ht="15.6" x14ac:dyDescent="0.25">
      <c r="C536098" s="2"/>
      <c r="D536098" s="2"/>
      <c r="E536098" s="2"/>
      <c r="F536098" s="2"/>
      <c r="G536098" s="2"/>
      <c r="H536098" s="2"/>
    </row>
    <row r="536347" spans="3:8" ht="15.6" x14ac:dyDescent="0.25">
      <c r="C536347" s="2"/>
      <c r="D536347" s="2"/>
      <c r="E536347" s="2"/>
      <c r="F536347" s="2"/>
      <c r="G536347" s="2"/>
      <c r="H536347" s="2"/>
    </row>
    <row r="536596" spans="3:8" ht="15.6" x14ac:dyDescent="0.25">
      <c r="C536596" s="2"/>
      <c r="D536596" s="2"/>
      <c r="E536596" s="2"/>
      <c r="F536596" s="2"/>
      <c r="G536596" s="2"/>
      <c r="H536596" s="2"/>
    </row>
    <row r="536845" spans="3:8" ht="15.6" x14ac:dyDescent="0.25">
      <c r="C536845" s="2"/>
      <c r="D536845" s="2"/>
      <c r="E536845" s="2"/>
      <c r="F536845" s="2"/>
      <c r="G536845" s="2"/>
      <c r="H536845" s="2"/>
    </row>
    <row r="537094" spans="3:8" ht="15.6" x14ac:dyDescent="0.25">
      <c r="C537094" s="2"/>
      <c r="D537094" s="2"/>
      <c r="E537094" s="2"/>
      <c r="F537094" s="2"/>
      <c r="G537094" s="2"/>
      <c r="H537094" s="2"/>
    </row>
    <row r="537343" spans="3:8" ht="15.6" x14ac:dyDescent="0.25">
      <c r="C537343" s="2"/>
      <c r="D537343" s="2"/>
      <c r="E537343" s="2"/>
      <c r="F537343" s="2"/>
      <c r="G537343" s="2"/>
      <c r="H537343" s="2"/>
    </row>
    <row r="537592" spans="3:8" ht="15.6" x14ac:dyDescent="0.25">
      <c r="C537592" s="2"/>
      <c r="D537592" s="2"/>
      <c r="E537592" s="2"/>
      <c r="F537592" s="2"/>
      <c r="G537592" s="2"/>
      <c r="H537592" s="2"/>
    </row>
    <row r="537841" spans="3:8" ht="15.6" x14ac:dyDescent="0.25">
      <c r="C537841" s="2"/>
      <c r="D537841" s="2"/>
      <c r="E537841" s="2"/>
      <c r="F537841" s="2"/>
      <c r="G537841" s="2"/>
      <c r="H537841" s="2"/>
    </row>
    <row r="538090" spans="3:8" ht="15.6" x14ac:dyDescent="0.25">
      <c r="C538090" s="2"/>
      <c r="D538090" s="2"/>
      <c r="E538090" s="2"/>
      <c r="F538090" s="2"/>
      <c r="G538090" s="2"/>
      <c r="H538090" s="2"/>
    </row>
    <row r="538339" spans="3:8" ht="15.6" x14ac:dyDescent="0.25">
      <c r="C538339" s="2"/>
      <c r="D538339" s="2"/>
      <c r="E538339" s="2"/>
      <c r="F538339" s="2"/>
      <c r="G538339" s="2"/>
      <c r="H538339" s="2"/>
    </row>
    <row r="538588" spans="3:8" ht="15.6" x14ac:dyDescent="0.25">
      <c r="C538588" s="2"/>
      <c r="D538588" s="2"/>
      <c r="E538588" s="2"/>
      <c r="F538588" s="2"/>
      <c r="G538588" s="2"/>
      <c r="H538588" s="2"/>
    </row>
    <row r="538837" spans="3:8" ht="15.6" x14ac:dyDescent="0.25">
      <c r="C538837" s="2"/>
      <c r="D538837" s="2"/>
      <c r="E538837" s="2"/>
      <c r="F538837" s="2"/>
      <c r="G538837" s="2"/>
      <c r="H538837" s="2"/>
    </row>
    <row r="539086" spans="3:8" ht="15.6" x14ac:dyDescent="0.25">
      <c r="C539086" s="2"/>
      <c r="D539086" s="2"/>
      <c r="E539086" s="2"/>
      <c r="F539086" s="2"/>
      <c r="G539086" s="2"/>
      <c r="H539086" s="2"/>
    </row>
    <row r="539335" spans="3:8" ht="15.6" x14ac:dyDescent="0.25">
      <c r="C539335" s="2"/>
      <c r="D539335" s="2"/>
      <c r="E539335" s="2"/>
      <c r="F539335" s="2"/>
      <c r="G539335" s="2"/>
      <c r="H539335" s="2"/>
    </row>
    <row r="539584" spans="3:8" ht="15.6" x14ac:dyDescent="0.25">
      <c r="C539584" s="2"/>
      <c r="D539584" s="2"/>
      <c r="E539584" s="2"/>
      <c r="F539584" s="2"/>
      <c r="G539584" s="2"/>
      <c r="H539584" s="2"/>
    </row>
    <row r="539833" spans="3:8" ht="15.6" x14ac:dyDescent="0.25">
      <c r="C539833" s="2"/>
      <c r="D539833" s="2"/>
      <c r="E539833" s="2"/>
      <c r="F539833" s="2"/>
      <c r="G539833" s="2"/>
      <c r="H539833" s="2"/>
    </row>
    <row r="540082" spans="3:8" ht="15.6" x14ac:dyDescent="0.25">
      <c r="C540082" s="2"/>
      <c r="D540082" s="2"/>
      <c r="E540082" s="2"/>
      <c r="F540082" s="2"/>
      <c r="G540082" s="2"/>
      <c r="H540082" s="2"/>
    </row>
    <row r="540331" spans="3:8" ht="15.6" x14ac:dyDescent="0.25">
      <c r="C540331" s="2"/>
      <c r="D540331" s="2"/>
      <c r="E540331" s="2"/>
      <c r="F540331" s="2"/>
      <c r="G540331" s="2"/>
      <c r="H540331" s="2"/>
    </row>
    <row r="540580" spans="3:8" ht="15.6" x14ac:dyDescent="0.25">
      <c r="C540580" s="2"/>
      <c r="D540580" s="2"/>
      <c r="E540580" s="2"/>
      <c r="F540580" s="2"/>
      <c r="G540580" s="2"/>
      <c r="H540580" s="2"/>
    </row>
    <row r="540829" spans="3:8" ht="15.6" x14ac:dyDescent="0.25">
      <c r="C540829" s="2"/>
      <c r="D540829" s="2"/>
      <c r="E540829" s="2"/>
      <c r="F540829" s="2"/>
      <c r="G540829" s="2"/>
      <c r="H540829" s="2"/>
    </row>
    <row r="541078" spans="3:8" ht="15.6" x14ac:dyDescent="0.25">
      <c r="C541078" s="2"/>
      <c r="D541078" s="2"/>
      <c r="E541078" s="2"/>
      <c r="F541078" s="2"/>
      <c r="G541078" s="2"/>
      <c r="H541078" s="2"/>
    </row>
    <row r="541327" spans="3:8" ht="15.6" x14ac:dyDescent="0.25">
      <c r="C541327" s="2"/>
      <c r="D541327" s="2"/>
      <c r="E541327" s="2"/>
      <c r="F541327" s="2"/>
      <c r="G541327" s="2"/>
      <c r="H541327" s="2"/>
    </row>
    <row r="541576" spans="3:8" ht="15.6" x14ac:dyDescent="0.25">
      <c r="C541576" s="2"/>
      <c r="D541576" s="2"/>
      <c r="E541576" s="2"/>
      <c r="F541576" s="2"/>
      <c r="G541576" s="2"/>
      <c r="H541576" s="2"/>
    </row>
    <row r="541825" spans="3:8" ht="15.6" x14ac:dyDescent="0.25">
      <c r="C541825" s="2"/>
      <c r="D541825" s="2"/>
      <c r="E541825" s="2"/>
      <c r="F541825" s="2"/>
      <c r="G541825" s="2"/>
      <c r="H541825" s="2"/>
    </row>
    <row r="542074" spans="3:8" ht="15.6" x14ac:dyDescent="0.25">
      <c r="C542074" s="2"/>
      <c r="D542074" s="2"/>
      <c r="E542074" s="2"/>
      <c r="F542074" s="2"/>
      <c r="G542074" s="2"/>
      <c r="H542074" s="2"/>
    </row>
    <row r="542323" spans="3:8" ht="15.6" x14ac:dyDescent="0.25">
      <c r="C542323" s="2"/>
      <c r="D542323" s="2"/>
      <c r="E542323" s="2"/>
      <c r="F542323" s="2"/>
      <c r="G542323" s="2"/>
      <c r="H542323" s="2"/>
    </row>
    <row r="542572" spans="3:8" ht="15.6" x14ac:dyDescent="0.25">
      <c r="C542572" s="2"/>
      <c r="D542572" s="2"/>
      <c r="E542572" s="2"/>
      <c r="F542572" s="2"/>
      <c r="G542572" s="2"/>
      <c r="H542572" s="2"/>
    </row>
    <row r="542821" spans="3:8" ht="15.6" x14ac:dyDescent="0.25">
      <c r="C542821" s="2"/>
      <c r="D542821" s="2"/>
      <c r="E542821" s="2"/>
      <c r="F542821" s="2"/>
      <c r="G542821" s="2"/>
      <c r="H542821" s="2"/>
    </row>
    <row r="543070" spans="3:8" ht="15.6" x14ac:dyDescent="0.25">
      <c r="C543070" s="2"/>
      <c r="D543070" s="2"/>
      <c r="E543070" s="2"/>
      <c r="F543070" s="2"/>
      <c r="G543070" s="2"/>
      <c r="H543070" s="2"/>
    </row>
    <row r="543319" spans="3:8" ht="15.6" x14ac:dyDescent="0.25">
      <c r="C543319" s="2"/>
      <c r="D543319" s="2"/>
      <c r="E543319" s="2"/>
      <c r="F543319" s="2"/>
      <c r="G543319" s="2"/>
      <c r="H543319" s="2"/>
    </row>
    <row r="543568" spans="3:8" ht="15.6" x14ac:dyDescent="0.25">
      <c r="C543568" s="2"/>
      <c r="D543568" s="2"/>
      <c r="E543568" s="2"/>
      <c r="F543568" s="2"/>
      <c r="G543568" s="2"/>
      <c r="H543568" s="2"/>
    </row>
    <row r="543817" spans="3:8" ht="15.6" x14ac:dyDescent="0.25">
      <c r="C543817" s="2"/>
      <c r="D543817" s="2"/>
      <c r="E543817" s="2"/>
      <c r="F543817" s="2"/>
      <c r="G543817" s="2"/>
      <c r="H543817" s="2"/>
    </row>
    <row r="544066" spans="3:8" ht="15.6" x14ac:dyDescent="0.25">
      <c r="C544066" s="2"/>
      <c r="D544066" s="2"/>
      <c r="E544066" s="2"/>
      <c r="F544066" s="2"/>
      <c r="G544066" s="2"/>
      <c r="H544066" s="2"/>
    </row>
    <row r="544315" spans="3:8" ht="15.6" x14ac:dyDescent="0.25">
      <c r="C544315" s="2"/>
      <c r="D544315" s="2"/>
      <c r="E544315" s="2"/>
      <c r="F544315" s="2"/>
      <c r="G544315" s="2"/>
      <c r="H544315" s="2"/>
    </row>
    <row r="544564" spans="3:8" ht="15.6" x14ac:dyDescent="0.25">
      <c r="C544564" s="2"/>
      <c r="D544564" s="2"/>
      <c r="E544564" s="2"/>
      <c r="F544564" s="2"/>
      <c r="G544564" s="2"/>
      <c r="H544564" s="2"/>
    </row>
    <row r="544813" spans="3:8" ht="15.6" x14ac:dyDescent="0.25">
      <c r="C544813" s="2"/>
      <c r="D544813" s="2"/>
      <c r="E544813" s="2"/>
      <c r="F544813" s="2"/>
      <c r="G544813" s="2"/>
      <c r="H544813" s="2"/>
    </row>
    <row r="545062" spans="3:8" ht="15.6" x14ac:dyDescent="0.25">
      <c r="C545062" s="2"/>
      <c r="D545062" s="2"/>
      <c r="E545062" s="2"/>
      <c r="F545062" s="2"/>
      <c r="G545062" s="2"/>
      <c r="H545062" s="2"/>
    </row>
    <row r="545311" spans="3:8" ht="15.6" x14ac:dyDescent="0.25">
      <c r="C545311" s="2"/>
      <c r="D545311" s="2"/>
      <c r="E545311" s="2"/>
      <c r="F545311" s="2"/>
      <c r="G545311" s="2"/>
      <c r="H545311" s="2"/>
    </row>
    <row r="545560" spans="3:8" ht="15.6" x14ac:dyDescent="0.25">
      <c r="C545560" s="2"/>
      <c r="D545560" s="2"/>
      <c r="E545560" s="2"/>
      <c r="F545560" s="2"/>
      <c r="G545560" s="2"/>
      <c r="H545560" s="2"/>
    </row>
    <row r="545809" spans="3:8" ht="15.6" x14ac:dyDescent="0.25">
      <c r="C545809" s="2"/>
      <c r="D545809" s="2"/>
      <c r="E545809" s="2"/>
      <c r="F545809" s="2"/>
      <c r="G545809" s="2"/>
      <c r="H545809" s="2"/>
    </row>
    <row r="546058" spans="3:8" ht="15.6" x14ac:dyDescent="0.25">
      <c r="C546058" s="2"/>
      <c r="D546058" s="2"/>
      <c r="E546058" s="2"/>
      <c r="F546058" s="2"/>
      <c r="G546058" s="2"/>
      <c r="H546058" s="2"/>
    </row>
    <row r="546307" spans="3:8" ht="15.6" x14ac:dyDescent="0.25">
      <c r="C546307" s="2"/>
      <c r="D546307" s="2"/>
      <c r="E546307" s="2"/>
      <c r="F546307" s="2"/>
      <c r="G546307" s="2"/>
      <c r="H546307" s="2"/>
    </row>
    <row r="546556" spans="3:8" ht="15.6" x14ac:dyDescent="0.25">
      <c r="C546556" s="2"/>
      <c r="D546556" s="2"/>
      <c r="E546556" s="2"/>
      <c r="F546556" s="2"/>
      <c r="G546556" s="2"/>
      <c r="H546556" s="2"/>
    </row>
    <row r="546805" spans="3:8" ht="15.6" x14ac:dyDescent="0.25">
      <c r="C546805" s="2"/>
      <c r="D546805" s="2"/>
      <c r="E546805" s="2"/>
      <c r="F546805" s="2"/>
      <c r="G546805" s="2"/>
      <c r="H546805" s="2"/>
    </row>
    <row r="547054" spans="3:8" ht="15.6" x14ac:dyDescent="0.25">
      <c r="C547054" s="2"/>
      <c r="D547054" s="2"/>
      <c r="E547054" s="2"/>
      <c r="F547054" s="2"/>
      <c r="G547054" s="2"/>
      <c r="H547054" s="2"/>
    </row>
    <row r="547303" spans="3:8" ht="15.6" x14ac:dyDescent="0.25">
      <c r="C547303" s="2"/>
      <c r="D547303" s="2"/>
      <c r="E547303" s="2"/>
      <c r="F547303" s="2"/>
      <c r="G547303" s="2"/>
      <c r="H547303" s="2"/>
    </row>
    <row r="547552" spans="3:8" ht="15.6" x14ac:dyDescent="0.25">
      <c r="C547552" s="2"/>
      <c r="D547552" s="2"/>
      <c r="E547552" s="2"/>
      <c r="F547552" s="2"/>
      <c r="G547552" s="2"/>
      <c r="H547552" s="2"/>
    </row>
    <row r="547801" spans="3:8" ht="15.6" x14ac:dyDescent="0.25">
      <c r="C547801" s="2"/>
      <c r="D547801" s="2"/>
      <c r="E547801" s="2"/>
      <c r="F547801" s="2"/>
      <c r="G547801" s="2"/>
      <c r="H547801" s="2"/>
    </row>
    <row r="548050" spans="3:8" ht="15.6" x14ac:dyDescent="0.25">
      <c r="C548050" s="2"/>
      <c r="D548050" s="2"/>
      <c r="E548050" s="2"/>
      <c r="F548050" s="2"/>
      <c r="G548050" s="2"/>
      <c r="H548050" s="2"/>
    </row>
    <row r="548299" spans="3:8" ht="15.6" x14ac:dyDescent="0.25">
      <c r="C548299" s="2"/>
      <c r="D548299" s="2"/>
      <c r="E548299" s="2"/>
      <c r="F548299" s="2"/>
      <c r="G548299" s="2"/>
      <c r="H548299" s="2"/>
    </row>
    <row r="548548" spans="3:8" ht="15.6" x14ac:dyDescent="0.25">
      <c r="C548548" s="2"/>
      <c r="D548548" s="2"/>
      <c r="E548548" s="2"/>
      <c r="F548548" s="2"/>
      <c r="G548548" s="2"/>
      <c r="H548548" s="2"/>
    </row>
    <row r="548797" spans="3:8" ht="15.6" x14ac:dyDescent="0.25">
      <c r="C548797" s="2"/>
      <c r="D548797" s="2"/>
      <c r="E548797" s="2"/>
      <c r="F548797" s="2"/>
      <c r="G548797" s="2"/>
      <c r="H548797" s="2"/>
    </row>
    <row r="549046" spans="3:8" ht="15.6" x14ac:dyDescent="0.25">
      <c r="C549046" s="2"/>
      <c r="D549046" s="2"/>
      <c r="E549046" s="2"/>
      <c r="F549046" s="2"/>
      <c r="G549046" s="2"/>
      <c r="H549046" s="2"/>
    </row>
    <row r="549295" spans="3:8" ht="15.6" x14ac:dyDescent="0.25">
      <c r="C549295" s="2"/>
      <c r="D549295" s="2"/>
      <c r="E549295" s="2"/>
      <c r="F549295" s="2"/>
      <c r="G549295" s="2"/>
      <c r="H549295" s="2"/>
    </row>
    <row r="549544" spans="3:8" ht="15.6" x14ac:dyDescent="0.25">
      <c r="C549544" s="2"/>
      <c r="D549544" s="2"/>
      <c r="E549544" s="2"/>
      <c r="F549544" s="2"/>
      <c r="G549544" s="2"/>
      <c r="H549544" s="2"/>
    </row>
    <row r="549793" spans="3:8" ht="15.6" x14ac:dyDescent="0.25">
      <c r="C549793" s="2"/>
      <c r="D549793" s="2"/>
      <c r="E549793" s="2"/>
      <c r="F549793" s="2"/>
      <c r="G549793" s="2"/>
      <c r="H549793" s="2"/>
    </row>
    <row r="550042" spans="3:8" ht="15.6" x14ac:dyDescent="0.25">
      <c r="C550042" s="2"/>
      <c r="D550042" s="2"/>
      <c r="E550042" s="2"/>
      <c r="F550042" s="2"/>
      <c r="G550042" s="2"/>
      <c r="H550042" s="2"/>
    </row>
    <row r="550291" spans="3:8" ht="15.6" x14ac:dyDescent="0.25">
      <c r="C550291" s="2"/>
      <c r="D550291" s="2"/>
      <c r="E550291" s="2"/>
      <c r="F550291" s="2"/>
      <c r="G550291" s="2"/>
      <c r="H550291" s="2"/>
    </row>
    <row r="550540" spans="3:8" ht="15.6" x14ac:dyDescent="0.25">
      <c r="C550540" s="2"/>
      <c r="D550540" s="2"/>
      <c r="E550540" s="2"/>
      <c r="F550540" s="2"/>
      <c r="G550540" s="2"/>
      <c r="H550540" s="2"/>
    </row>
    <row r="550789" spans="3:8" ht="15.6" x14ac:dyDescent="0.25">
      <c r="C550789" s="2"/>
      <c r="D550789" s="2"/>
      <c r="E550789" s="2"/>
      <c r="F550789" s="2"/>
      <c r="G550789" s="2"/>
      <c r="H550789" s="2"/>
    </row>
    <row r="551038" spans="3:8" ht="15.6" x14ac:dyDescent="0.25">
      <c r="C551038" s="2"/>
      <c r="D551038" s="2"/>
      <c r="E551038" s="2"/>
      <c r="F551038" s="2"/>
      <c r="G551038" s="2"/>
      <c r="H551038" s="2"/>
    </row>
    <row r="551287" spans="3:8" ht="15.6" x14ac:dyDescent="0.25">
      <c r="C551287" s="2"/>
      <c r="D551287" s="2"/>
      <c r="E551287" s="2"/>
      <c r="F551287" s="2"/>
      <c r="G551287" s="2"/>
      <c r="H551287" s="2"/>
    </row>
    <row r="551536" spans="3:8" ht="15.6" x14ac:dyDescent="0.25">
      <c r="C551536" s="2"/>
      <c r="D551536" s="2"/>
      <c r="E551536" s="2"/>
      <c r="F551536" s="2"/>
      <c r="G551536" s="2"/>
      <c r="H551536" s="2"/>
    </row>
    <row r="551785" spans="3:8" ht="15.6" x14ac:dyDescent="0.25">
      <c r="C551785" s="2"/>
      <c r="D551785" s="2"/>
      <c r="E551785" s="2"/>
      <c r="F551785" s="2"/>
      <c r="G551785" s="2"/>
      <c r="H551785" s="2"/>
    </row>
    <row r="552034" spans="3:8" ht="15.6" x14ac:dyDescent="0.25">
      <c r="C552034" s="2"/>
      <c r="D552034" s="2"/>
      <c r="E552034" s="2"/>
      <c r="F552034" s="2"/>
      <c r="G552034" s="2"/>
      <c r="H552034" s="2"/>
    </row>
    <row r="552283" spans="3:8" ht="15.6" x14ac:dyDescent="0.25">
      <c r="C552283" s="2"/>
      <c r="D552283" s="2"/>
      <c r="E552283" s="2"/>
      <c r="F552283" s="2"/>
      <c r="G552283" s="2"/>
      <c r="H552283" s="2"/>
    </row>
    <row r="552532" spans="3:8" ht="15.6" x14ac:dyDescent="0.25">
      <c r="C552532" s="2"/>
      <c r="D552532" s="2"/>
      <c r="E552532" s="2"/>
      <c r="F552532" s="2"/>
      <c r="G552532" s="2"/>
      <c r="H552532" s="2"/>
    </row>
    <row r="552781" spans="3:8" ht="15.6" x14ac:dyDescent="0.25">
      <c r="C552781" s="2"/>
      <c r="D552781" s="2"/>
      <c r="E552781" s="2"/>
      <c r="F552781" s="2"/>
      <c r="G552781" s="2"/>
      <c r="H552781" s="2"/>
    </row>
    <row r="553030" spans="3:8" ht="15.6" x14ac:dyDescent="0.25">
      <c r="C553030" s="2"/>
      <c r="D553030" s="2"/>
      <c r="E553030" s="2"/>
      <c r="F553030" s="2"/>
      <c r="G553030" s="2"/>
      <c r="H553030" s="2"/>
    </row>
    <row r="553279" spans="3:8" ht="15.6" x14ac:dyDescent="0.25">
      <c r="C553279" s="2"/>
      <c r="D553279" s="2"/>
      <c r="E553279" s="2"/>
      <c r="F553279" s="2"/>
      <c r="G553279" s="2"/>
      <c r="H553279" s="2"/>
    </row>
    <row r="553528" spans="3:8" ht="15.6" x14ac:dyDescent="0.25">
      <c r="C553528" s="2"/>
      <c r="D553528" s="2"/>
      <c r="E553528" s="2"/>
      <c r="F553528" s="2"/>
      <c r="G553528" s="2"/>
      <c r="H553528" s="2"/>
    </row>
    <row r="553777" spans="3:8" ht="15.6" x14ac:dyDescent="0.25">
      <c r="C553777" s="2"/>
      <c r="D553777" s="2"/>
      <c r="E553777" s="2"/>
      <c r="F553777" s="2"/>
      <c r="G553777" s="2"/>
      <c r="H553777" s="2"/>
    </row>
    <row r="554026" spans="3:8" ht="15.6" x14ac:dyDescent="0.25">
      <c r="C554026" s="2"/>
      <c r="D554026" s="2"/>
      <c r="E554026" s="2"/>
      <c r="F554026" s="2"/>
      <c r="G554026" s="2"/>
      <c r="H554026" s="2"/>
    </row>
    <row r="554275" spans="3:8" ht="15.6" x14ac:dyDescent="0.25">
      <c r="C554275" s="2"/>
      <c r="D554275" s="2"/>
      <c r="E554275" s="2"/>
      <c r="F554275" s="2"/>
      <c r="G554275" s="2"/>
      <c r="H554275" s="2"/>
    </row>
    <row r="554524" spans="3:8" ht="15.6" x14ac:dyDescent="0.25">
      <c r="C554524" s="2"/>
      <c r="D554524" s="2"/>
      <c r="E554524" s="2"/>
      <c r="F554524" s="2"/>
      <c r="G554524" s="2"/>
      <c r="H554524" s="2"/>
    </row>
    <row r="554773" spans="3:8" ht="15.6" x14ac:dyDescent="0.25">
      <c r="C554773" s="2"/>
      <c r="D554773" s="2"/>
      <c r="E554773" s="2"/>
      <c r="F554773" s="2"/>
      <c r="G554773" s="2"/>
      <c r="H554773" s="2"/>
    </row>
    <row r="555022" spans="3:8" ht="15.6" x14ac:dyDescent="0.25">
      <c r="C555022" s="2"/>
      <c r="D555022" s="2"/>
      <c r="E555022" s="2"/>
      <c r="F555022" s="2"/>
      <c r="G555022" s="2"/>
      <c r="H555022" s="2"/>
    </row>
    <row r="555271" spans="3:8" ht="15.6" x14ac:dyDescent="0.25">
      <c r="C555271" s="2"/>
      <c r="D555271" s="2"/>
      <c r="E555271" s="2"/>
      <c r="F555271" s="2"/>
      <c r="G555271" s="2"/>
      <c r="H555271" s="2"/>
    </row>
    <row r="555520" spans="3:8" ht="15.6" x14ac:dyDescent="0.25">
      <c r="C555520" s="2"/>
      <c r="D555520" s="2"/>
      <c r="E555520" s="2"/>
      <c r="F555520" s="2"/>
      <c r="G555520" s="2"/>
      <c r="H555520" s="2"/>
    </row>
    <row r="555769" spans="3:8" ht="15.6" x14ac:dyDescent="0.25">
      <c r="C555769" s="2"/>
      <c r="D555769" s="2"/>
      <c r="E555769" s="2"/>
      <c r="F555769" s="2"/>
      <c r="G555769" s="2"/>
      <c r="H555769" s="2"/>
    </row>
    <row r="556018" spans="3:8" ht="15.6" x14ac:dyDescent="0.25">
      <c r="C556018" s="2"/>
      <c r="D556018" s="2"/>
      <c r="E556018" s="2"/>
      <c r="F556018" s="2"/>
      <c r="G556018" s="2"/>
      <c r="H556018" s="2"/>
    </row>
    <row r="556267" spans="3:8" ht="15.6" x14ac:dyDescent="0.25">
      <c r="C556267" s="2"/>
      <c r="D556267" s="2"/>
      <c r="E556267" s="2"/>
      <c r="F556267" s="2"/>
      <c r="G556267" s="2"/>
      <c r="H556267" s="2"/>
    </row>
    <row r="556516" spans="3:8" ht="15.6" x14ac:dyDescent="0.25">
      <c r="C556516" s="2"/>
      <c r="D556516" s="2"/>
      <c r="E556516" s="2"/>
      <c r="F556516" s="2"/>
      <c r="G556516" s="2"/>
      <c r="H556516" s="2"/>
    </row>
    <row r="556765" spans="3:8" ht="15.6" x14ac:dyDescent="0.25">
      <c r="C556765" s="2"/>
      <c r="D556765" s="2"/>
      <c r="E556765" s="2"/>
      <c r="F556765" s="2"/>
      <c r="G556765" s="2"/>
      <c r="H556765" s="2"/>
    </row>
    <row r="557014" spans="3:8" ht="15.6" x14ac:dyDescent="0.25">
      <c r="C557014" s="2"/>
      <c r="D557014" s="2"/>
      <c r="E557014" s="2"/>
      <c r="F557014" s="2"/>
      <c r="G557014" s="2"/>
      <c r="H557014" s="2"/>
    </row>
    <row r="557263" spans="3:8" ht="15.6" x14ac:dyDescent="0.25">
      <c r="C557263" s="2"/>
      <c r="D557263" s="2"/>
      <c r="E557263" s="2"/>
      <c r="F557263" s="2"/>
      <c r="G557263" s="2"/>
      <c r="H557263" s="2"/>
    </row>
    <row r="557512" spans="3:8" ht="15.6" x14ac:dyDescent="0.25">
      <c r="C557512" s="2"/>
      <c r="D557512" s="2"/>
      <c r="E557512" s="2"/>
      <c r="F557512" s="2"/>
      <c r="G557512" s="2"/>
      <c r="H557512" s="2"/>
    </row>
    <row r="557761" spans="3:8" ht="15.6" x14ac:dyDescent="0.25">
      <c r="C557761" s="2"/>
      <c r="D557761" s="2"/>
      <c r="E557761" s="2"/>
      <c r="F557761" s="2"/>
      <c r="G557761" s="2"/>
      <c r="H557761" s="2"/>
    </row>
    <row r="558010" spans="3:8" ht="15.6" x14ac:dyDescent="0.25">
      <c r="C558010" s="2"/>
      <c r="D558010" s="2"/>
      <c r="E558010" s="2"/>
      <c r="F558010" s="2"/>
      <c r="G558010" s="2"/>
      <c r="H558010" s="2"/>
    </row>
    <row r="558259" spans="3:8" ht="15.6" x14ac:dyDescent="0.25">
      <c r="C558259" s="2"/>
      <c r="D558259" s="2"/>
      <c r="E558259" s="2"/>
      <c r="F558259" s="2"/>
      <c r="G558259" s="2"/>
      <c r="H558259" s="2"/>
    </row>
    <row r="558508" spans="3:8" ht="15.6" x14ac:dyDescent="0.25">
      <c r="C558508" s="2"/>
      <c r="D558508" s="2"/>
      <c r="E558508" s="2"/>
      <c r="F558508" s="2"/>
      <c r="G558508" s="2"/>
      <c r="H558508" s="2"/>
    </row>
    <row r="558757" spans="3:8" ht="15.6" x14ac:dyDescent="0.25">
      <c r="C558757" s="2"/>
      <c r="D558757" s="2"/>
      <c r="E558757" s="2"/>
      <c r="F558757" s="2"/>
      <c r="G558757" s="2"/>
      <c r="H558757" s="2"/>
    </row>
    <row r="559006" spans="3:8" ht="15.6" x14ac:dyDescent="0.25">
      <c r="C559006" s="2"/>
      <c r="D559006" s="2"/>
      <c r="E559006" s="2"/>
      <c r="F559006" s="2"/>
      <c r="G559006" s="2"/>
      <c r="H559006" s="2"/>
    </row>
    <row r="559255" spans="3:8" ht="15.6" x14ac:dyDescent="0.25">
      <c r="C559255" s="2"/>
      <c r="D559255" s="2"/>
      <c r="E559255" s="2"/>
      <c r="F559255" s="2"/>
      <c r="G559255" s="2"/>
      <c r="H559255" s="2"/>
    </row>
    <row r="559504" spans="3:8" ht="15.6" x14ac:dyDescent="0.25">
      <c r="C559504" s="2"/>
      <c r="D559504" s="2"/>
      <c r="E559504" s="2"/>
      <c r="F559504" s="2"/>
      <c r="G559504" s="2"/>
      <c r="H559504" s="2"/>
    </row>
    <row r="559753" spans="3:8" ht="15.6" x14ac:dyDescent="0.25">
      <c r="C559753" s="2"/>
      <c r="D559753" s="2"/>
      <c r="E559753" s="2"/>
      <c r="F559753" s="2"/>
      <c r="G559753" s="2"/>
      <c r="H559753" s="2"/>
    </row>
    <row r="560002" spans="3:8" ht="15.6" x14ac:dyDescent="0.25">
      <c r="C560002" s="2"/>
      <c r="D560002" s="2"/>
      <c r="E560002" s="2"/>
      <c r="F560002" s="2"/>
      <c r="G560002" s="2"/>
      <c r="H560002" s="2"/>
    </row>
    <row r="560251" spans="3:8" ht="15.6" x14ac:dyDescent="0.25">
      <c r="C560251" s="2"/>
      <c r="D560251" s="2"/>
      <c r="E560251" s="2"/>
      <c r="F560251" s="2"/>
      <c r="G560251" s="2"/>
      <c r="H560251" s="2"/>
    </row>
    <row r="560500" spans="3:8" ht="15.6" x14ac:dyDescent="0.25">
      <c r="C560500" s="2"/>
      <c r="D560500" s="2"/>
      <c r="E560500" s="2"/>
      <c r="F560500" s="2"/>
      <c r="G560500" s="2"/>
      <c r="H560500" s="2"/>
    </row>
    <row r="560749" spans="3:8" ht="15.6" x14ac:dyDescent="0.25">
      <c r="C560749" s="2"/>
      <c r="D560749" s="2"/>
      <c r="E560749" s="2"/>
      <c r="F560749" s="2"/>
      <c r="G560749" s="2"/>
      <c r="H560749" s="2"/>
    </row>
    <row r="560998" spans="3:8" ht="15.6" x14ac:dyDescent="0.25">
      <c r="C560998" s="2"/>
      <c r="D560998" s="2"/>
      <c r="E560998" s="2"/>
      <c r="F560998" s="2"/>
      <c r="G560998" s="2"/>
      <c r="H560998" s="2"/>
    </row>
    <row r="561247" spans="3:8" ht="15.6" x14ac:dyDescent="0.25">
      <c r="C561247" s="2"/>
      <c r="D561247" s="2"/>
      <c r="E561247" s="2"/>
      <c r="F561247" s="2"/>
      <c r="G561247" s="2"/>
      <c r="H561247" s="2"/>
    </row>
    <row r="561496" spans="3:8" ht="15.6" x14ac:dyDescent="0.25">
      <c r="C561496" s="2"/>
      <c r="D561496" s="2"/>
      <c r="E561496" s="2"/>
      <c r="F561496" s="2"/>
      <c r="G561496" s="2"/>
      <c r="H561496" s="2"/>
    </row>
    <row r="561745" spans="3:8" ht="15.6" x14ac:dyDescent="0.25">
      <c r="C561745" s="2"/>
      <c r="D561745" s="2"/>
      <c r="E561745" s="2"/>
      <c r="F561745" s="2"/>
      <c r="G561745" s="2"/>
      <c r="H561745" s="2"/>
    </row>
    <row r="561994" spans="3:8" ht="15.6" x14ac:dyDescent="0.25">
      <c r="C561994" s="2"/>
      <c r="D561994" s="2"/>
      <c r="E561994" s="2"/>
      <c r="F561994" s="2"/>
      <c r="G561994" s="2"/>
      <c r="H561994" s="2"/>
    </row>
    <row r="562243" spans="3:8" ht="15.6" x14ac:dyDescent="0.25">
      <c r="C562243" s="2"/>
      <c r="D562243" s="2"/>
      <c r="E562243" s="2"/>
      <c r="F562243" s="2"/>
      <c r="G562243" s="2"/>
      <c r="H562243" s="2"/>
    </row>
    <row r="562492" spans="3:8" ht="15.6" x14ac:dyDescent="0.25">
      <c r="C562492" s="2"/>
      <c r="D562492" s="2"/>
      <c r="E562492" s="2"/>
      <c r="F562492" s="2"/>
      <c r="G562492" s="2"/>
      <c r="H562492" s="2"/>
    </row>
    <row r="562741" spans="3:8" ht="15.6" x14ac:dyDescent="0.25">
      <c r="C562741" s="2"/>
      <c r="D562741" s="2"/>
      <c r="E562741" s="2"/>
      <c r="F562741" s="2"/>
      <c r="G562741" s="2"/>
      <c r="H562741" s="2"/>
    </row>
    <row r="562990" spans="3:8" ht="15.6" x14ac:dyDescent="0.25">
      <c r="C562990" s="2"/>
      <c r="D562990" s="2"/>
      <c r="E562990" s="2"/>
      <c r="F562990" s="2"/>
      <c r="G562990" s="2"/>
      <c r="H562990" s="2"/>
    </row>
    <row r="563239" spans="3:8" ht="15.6" x14ac:dyDescent="0.25">
      <c r="C563239" s="2"/>
      <c r="D563239" s="2"/>
      <c r="E563239" s="2"/>
      <c r="F563239" s="2"/>
      <c r="G563239" s="2"/>
      <c r="H563239" s="2"/>
    </row>
    <row r="563488" spans="3:8" ht="15.6" x14ac:dyDescent="0.25">
      <c r="C563488" s="2"/>
      <c r="D563488" s="2"/>
      <c r="E563488" s="2"/>
      <c r="F563488" s="2"/>
      <c r="G563488" s="2"/>
      <c r="H563488" s="2"/>
    </row>
    <row r="563737" spans="3:8" ht="15.6" x14ac:dyDescent="0.25">
      <c r="C563737" s="2"/>
      <c r="D563737" s="2"/>
      <c r="E563737" s="2"/>
      <c r="F563737" s="2"/>
      <c r="G563737" s="2"/>
      <c r="H563737" s="2"/>
    </row>
    <row r="563986" spans="3:8" ht="15.6" x14ac:dyDescent="0.25">
      <c r="C563986" s="2"/>
      <c r="D563986" s="2"/>
      <c r="E563986" s="2"/>
      <c r="F563986" s="2"/>
      <c r="G563986" s="2"/>
      <c r="H563986" s="2"/>
    </row>
    <row r="564235" spans="3:8" ht="15.6" x14ac:dyDescent="0.25">
      <c r="C564235" s="2"/>
      <c r="D564235" s="2"/>
      <c r="E564235" s="2"/>
      <c r="F564235" s="2"/>
      <c r="G564235" s="2"/>
      <c r="H564235" s="2"/>
    </row>
    <row r="564484" spans="3:8" ht="15.6" x14ac:dyDescent="0.25">
      <c r="C564484" s="2"/>
      <c r="D564484" s="2"/>
      <c r="E564484" s="2"/>
      <c r="F564484" s="2"/>
      <c r="G564484" s="2"/>
      <c r="H564484" s="2"/>
    </row>
    <row r="564733" spans="3:8" ht="15.6" x14ac:dyDescent="0.25">
      <c r="C564733" s="2"/>
      <c r="D564733" s="2"/>
      <c r="E564733" s="2"/>
      <c r="F564733" s="2"/>
      <c r="G564733" s="2"/>
      <c r="H564733" s="2"/>
    </row>
    <row r="564982" spans="3:8" ht="15.6" x14ac:dyDescent="0.25">
      <c r="C564982" s="2"/>
      <c r="D564982" s="2"/>
      <c r="E564982" s="2"/>
      <c r="F564982" s="2"/>
      <c r="G564982" s="2"/>
      <c r="H564982" s="2"/>
    </row>
    <row r="565231" spans="3:8" ht="15.6" x14ac:dyDescent="0.25">
      <c r="C565231" s="2"/>
      <c r="D565231" s="2"/>
      <c r="E565231" s="2"/>
      <c r="F565231" s="2"/>
      <c r="G565231" s="2"/>
      <c r="H565231" s="2"/>
    </row>
    <row r="565480" spans="3:8" ht="15.6" x14ac:dyDescent="0.25">
      <c r="C565480" s="2"/>
      <c r="D565480" s="2"/>
      <c r="E565480" s="2"/>
      <c r="F565480" s="2"/>
      <c r="G565480" s="2"/>
      <c r="H565480" s="2"/>
    </row>
    <row r="565729" spans="3:8" ht="15.6" x14ac:dyDescent="0.25">
      <c r="C565729" s="2"/>
      <c r="D565729" s="2"/>
      <c r="E565729" s="2"/>
      <c r="F565729" s="2"/>
      <c r="G565729" s="2"/>
      <c r="H565729" s="2"/>
    </row>
    <row r="565978" spans="3:8" ht="15.6" x14ac:dyDescent="0.25">
      <c r="C565978" s="2"/>
      <c r="D565978" s="2"/>
      <c r="E565978" s="2"/>
      <c r="F565978" s="2"/>
      <c r="G565978" s="2"/>
      <c r="H565978" s="2"/>
    </row>
    <row r="566227" spans="3:8" ht="15.6" x14ac:dyDescent="0.25">
      <c r="C566227" s="2"/>
      <c r="D566227" s="2"/>
      <c r="E566227" s="2"/>
      <c r="F566227" s="2"/>
      <c r="G566227" s="2"/>
      <c r="H566227" s="2"/>
    </row>
    <row r="566476" spans="3:8" ht="15.6" x14ac:dyDescent="0.25">
      <c r="C566476" s="2"/>
      <c r="D566476" s="2"/>
      <c r="E566476" s="2"/>
      <c r="F566476" s="2"/>
      <c r="G566476" s="2"/>
      <c r="H566476" s="2"/>
    </row>
    <row r="566725" spans="3:8" ht="15.6" x14ac:dyDescent="0.25">
      <c r="C566725" s="2"/>
      <c r="D566725" s="2"/>
      <c r="E566725" s="2"/>
      <c r="F566725" s="2"/>
      <c r="G566725" s="2"/>
      <c r="H566725" s="2"/>
    </row>
    <row r="566974" spans="3:8" ht="15.6" x14ac:dyDescent="0.25">
      <c r="C566974" s="2"/>
      <c r="D566974" s="2"/>
      <c r="E566974" s="2"/>
      <c r="F566974" s="2"/>
      <c r="G566974" s="2"/>
      <c r="H566974" s="2"/>
    </row>
    <row r="567223" spans="3:8" ht="15.6" x14ac:dyDescent="0.25">
      <c r="C567223" s="2"/>
      <c r="D567223" s="2"/>
      <c r="E567223" s="2"/>
      <c r="F567223" s="2"/>
      <c r="G567223" s="2"/>
      <c r="H567223" s="2"/>
    </row>
    <row r="567472" spans="3:8" ht="15.6" x14ac:dyDescent="0.25">
      <c r="C567472" s="2"/>
      <c r="D567472" s="2"/>
      <c r="E567472" s="2"/>
      <c r="F567472" s="2"/>
      <c r="G567472" s="2"/>
      <c r="H567472" s="2"/>
    </row>
    <row r="567721" spans="3:8" ht="15.6" x14ac:dyDescent="0.25">
      <c r="C567721" s="2"/>
      <c r="D567721" s="2"/>
      <c r="E567721" s="2"/>
      <c r="F567721" s="2"/>
      <c r="G567721" s="2"/>
      <c r="H567721" s="2"/>
    </row>
    <row r="567970" spans="3:8" ht="15.6" x14ac:dyDescent="0.25">
      <c r="C567970" s="2"/>
      <c r="D567970" s="2"/>
      <c r="E567970" s="2"/>
      <c r="F567970" s="2"/>
      <c r="G567970" s="2"/>
      <c r="H567970" s="2"/>
    </row>
    <row r="568219" spans="3:8" ht="15.6" x14ac:dyDescent="0.25">
      <c r="C568219" s="2"/>
      <c r="D568219" s="2"/>
      <c r="E568219" s="2"/>
      <c r="F568219" s="2"/>
      <c r="G568219" s="2"/>
      <c r="H568219" s="2"/>
    </row>
    <row r="568468" spans="3:8" ht="15.6" x14ac:dyDescent="0.25">
      <c r="C568468" s="2"/>
      <c r="D568468" s="2"/>
      <c r="E568468" s="2"/>
      <c r="F568468" s="2"/>
      <c r="G568468" s="2"/>
      <c r="H568468" s="2"/>
    </row>
    <row r="568717" spans="3:8" ht="15.6" x14ac:dyDescent="0.25">
      <c r="C568717" s="2"/>
      <c r="D568717" s="2"/>
      <c r="E568717" s="2"/>
      <c r="F568717" s="2"/>
      <c r="G568717" s="2"/>
      <c r="H568717" s="2"/>
    </row>
    <row r="568966" spans="3:8" ht="15.6" x14ac:dyDescent="0.25">
      <c r="C568966" s="2"/>
      <c r="D568966" s="2"/>
      <c r="E568966" s="2"/>
      <c r="F568966" s="2"/>
      <c r="G568966" s="2"/>
      <c r="H568966" s="2"/>
    </row>
    <row r="569215" spans="3:8" ht="15.6" x14ac:dyDescent="0.25">
      <c r="C569215" s="2"/>
      <c r="D569215" s="2"/>
      <c r="E569215" s="2"/>
      <c r="F569215" s="2"/>
      <c r="G569215" s="2"/>
      <c r="H569215" s="2"/>
    </row>
    <row r="569464" spans="3:8" ht="15.6" x14ac:dyDescent="0.25">
      <c r="C569464" s="2"/>
      <c r="D569464" s="2"/>
      <c r="E569464" s="2"/>
      <c r="F569464" s="2"/>
      <c r="G569464" s="2"/>
      <c r="H569464" s="2"/>
    </row>
    <row r="569713" spans="3:8" ht="15.6" x14ac:dyDescent="0.25">
      <c r="C569713" s="2"/>
      <c r="D569713" s="2"/>
      <c r="E569713" s="2"/>
      <c r="F569713" s="2"/>
      <c r="G569713" s="2"/>
      <c r="H569713" s="2"/>
    </row>
    <row r="569962" spans="3:8" ht="15.6" x14ac:dyDescent="0.25">
      <c r="C569962" s="2"/>
      <c r="D569962" s="2"/>
      <c r="E569962" s="2"/>
      <c r="F569962" s="2"/>
      <c r="G569962" s="2"/>
      <c r="H569962" s="2"/>
    </row>
    <row r="570211" spans="3:8" ht="15.6" x14ac:dyDescent="0.25">
      <c r="C570211" s="2"/>
      <c r="D570211" s="2"/>
      <c r="E570211" s="2"/>
      <c r="F570211" s="2"/>
      <c r="G570211" s="2"/>
      <c r="H570211" s="2"/>
    </row>
    <row r="570460" spans="3:8" ht="15.6" x14ac:dyDescent="0.25">
      <c r="C570460" s="2"/>
      <c r="D570460" s="2"/>
      <c r="E570460" s="2"/>
      <c r="F570460" s="2"/>
      <c r="G570460" s="2"/>
      <c r="H570460" s="2"/>
    </row>
    <row r="570709" spans="3:8" ht="15.6" x14ac:dyDescent="0.25">
      <c r="C570709" s="2"/>
      <c r="D570709" s="2"/>
      <c r="E570709" s="2"/>
      <c r="F570709" s="2"/>
      <c r="G570709" s="2"/>
      <c r="H570709" s="2"/>
    </row>
    <row r="570958" spans="3:8" ht="15.6" x14ac:dyDescent="0.25">
      <c r="C570958" s="2"/>
      <c r="D570958" s="2"/>
      <c r="E570958" s="2"/>
      <c r="F570958" s="2"/>
      <c r="G570958" s="2"/>
      <c r="H570958" s="2"/>
    </row>
    <row r="571207" spans="3:8" ht="15.6" x14ac:dyDescent="0.25">
      <c r="C571207" s="2"/>
      <c r="D571207" s="2"/>
      <c r="E571207" s="2"/>
      <c r="F571207" s="2"/>
      <c r="G571207" s="2"/>
      <c r="H571207" s="2"/>
    </row>
    <row r="571456" spans="3:8" ht="15.6" x14ac:dyDescent="0.25">
      <c r="C571456" s="2"/>
      <c r="D571456" s="2"/>
      <c r="E571456" s="2"/>
      <c r="F571456" s="2"/>
      <c r="G571456" s="2"/>
      <c r="H571456" s="2"/>
    </row>
    <row r="571705" spans="3:8" ht="15.6" x14ac:dyDescent="0.25">
      <c r="C571705" s="2"/>
      <c r="D571705" s="2"/>
      <c r="E571705" s="2"/>
      <c r="F571705" s="2"/>
      <c r="G571705" s="2"/>
      <c r="H571705" s="2"/>
    </row>
    <row r="571954" spans="3:8" ht="15.6" x14ac:dyDescent="0.25">
      <c r="C571954" s="2"/>
      <c r="D571954" s="2"/>
      <c r="E571954" s="2"/>
      <c r="F571954" s="2"/>
      <c r="G571954" s="2"/>
      <c r="H571954" s="2"/>
    </row>
    <row r="572203" spans="3:8" ht="15.6" x14ac:dyDescent="0.25">
      <c r="C572203" s="2"/>
      <c r="D572203" s="2"/>
      <c r="E572203" s="2"/>
      <c r="F572203" s="2"/>
      <c r="G572203" s="2"/>
      <c r="H572203" s="2"/>
    </row>
    <row r="572452" spans="3:8" ht="15.6" x14ac:dyDescent="0.25">
      <c r="C572452" s="2"/>
      <c r="D572452" s="2"/>
      <c r="E572452" s="2"/>
      <c r="F572452" s="2"/>
      <c r="G572452" s="2"/>
      <c r="H572452" s="2"/>
    </row>
    <row r="572701" spans="3:8" ht="15.6" x14ac:dyDescent="0.25">
      <c r="C572701" s="2"/>
      <c r="D572701" s="2"/>
      <c r="E572701" s="2"/>
      <c r="F572701" s="2"/>
      <c r="G572701" s="2"/>
      <c r="H572701" s="2"/>
    </row>
    <row r="572950" spans="3:8" ht="15.6" x14ac:dyDescent="0.25">
      <c r="C572950" s="2"/>
      <c r="D572950" s="2"/>
      <c r="E572950" s="2"/>
      <c r="F572950" s="2"/>
      <c r="G572950" s="2"/>
      <c r="H572950" s="2"/>
    </row>
    <row r="573199" spans="3:8" ht="15.6" x14ac:dyDescent="0.25">
      <c r="C573199" s="2"/>
      <c r="D573199" s="2"/>
      <c r="E573199" s="2"/>
      <c r="F573199" s="2"/>
      <c r="G573199" s="2"/>
      <c r="H573199" s="2"/>
    </row>
    <row r="573448" spans="3:8" ht="15.6" x14ac:dyDescent="0.25">
      <c r="C573448" s="2"/>
      <c r="D573448" s="2"/>
      <c r="E573448" s="2"/>
      <c r="F573448" s="2"/>
      <c r="G573448" s="2"/>
      <c r="H573448" s="2"/>
    </row>
    <row r="573697" spans="3:8" ht="15.6" x14ac:dyDescent="0.25">
      <c r="C573697" s="2"/>
      <c r="D573697" s="2"/>
      <c r="E573697" s="2"/>
      <c r="F573697" s="2"/>
      <c r="G573697" s="2"/>
      <c r="H573697" s="2"/>
    </row>
    <row r="573946" spans="3:8" ht="15.6" x14ac:dyDescent="0.25">
      <c r="C573946" s="2"/>
      <c r="D573946" s="2"/>
      <c r="E573946" s="2"/>
      <c r="F573946" s="2"/>
      <c r="G573946" s="2"/>
      <c r="H573946" s="2"/>
    </row>
    <row r="574195" spans="3:8" ht="15.6" x14ac:dyDescent="0.25">
      <c r="C574195" s="2"/>
      <c r="D574195" s="2"/>
      <c r="E574195" s="2"/>
      <c r="F574195" s="2"/>
      <c r="G574195" s="2"/>
      <c r="H574195" s="2"/>
    </row>
    <row r="574444" spans="3:8" ht="15.6" x14ac:dyDescent="0.25">
      <c r="C574444" s="2"/>
      <c r="D574444" s="2"/>
      <c r="E574444" s="2"/>
      <c r="F574444" s="2"/>
      <c r="G574444" s="2"/>
      <c r="H574444" s="2"/>
    </row>
    <row r="574693" spans="3:8" ht="15.6" x14ac:dyDescent="0.25">
      <c r="C574693" s="2"/>
      <c r="D574693" s="2"/>
      <c r="E574693" s="2"/>
      <c r="F574693" s="2"/>
      <c r="G574693" s="2"/>
      <c r="H574693" s="2"/>
    </row>
    <row r="574942" spans="3:8" ht="15.6" x14ac:dyDescent="0.25">
      <c r="C574942" s="2"/>
      <c r="D574942" s="2"/>
      <c r="E574942" s="2"/>
      <c r="F574942" s="2"/>
      <c r="G574942" s="2"/>
      <c r="H574942" s="2"/>
    </row>
    <row r="575191" spans="3:8" ht="15.6" x14ac:dyDescent="0.25">
      <c r="C575191" s="2"/>
      <c r="D575191" s="2"/>
      <c r="E575191" s="2"/>
      <c r="F575191" s="2"/>
      <c r="G575191" s="2"/>
      <c r="H575191" s="2"/>
    </row>
    <row r="575440" spans="3:8" ht="15.6" x14ac:dyDescent="0.25">
      <c r="C575440" s="2"/>
      <c r="D575440" s="2"/>
      <c r="E575440" s="2"/>
      <c r="F575440" s="2"/>
      <c r="G575440" s="2"/>
      <c r="H575440" s="2"/>
    </row>
    <row r="575689" spans="3:8" ht="15.6" x14ac:dyDescent="0.25">
      <c r="C575689" s="2"/>
      <c r="D575689" s="2"/>
      <c r="E575689" s="2"/>
      <c r="F575689" s="2"/>
      <c r="G575689" s="2"/>
      <c r="H575689" s="2"/>
    </row>
    <row r="575938" spans="3:8" ht="15.6" x14ac:dyDescent="0.25">
      <c r="C575938" s="2"/>
      <c r="D575938" s="2"/>
      <c r="E575938" s="2"/>
      <c r="F575938" s="2"/>
      <c r="G575938" s="2"/>
      <c r="H575938" s="2"/>
    </row>
    <row r="576187" spans="3:8" ht="15.6" x14ac:dyDescent="0.25">
      <c r="C576187" s="2"/>
      <c r="D576187" s="2"/>
      <c r="E576187" s="2"/>
      <c r="F576187" s="2"/>
      <c r="G576187" s="2"/>
      <c r="H576187" s="2"/>
    </row>
    <row r="576436" spans="3:8" ht="15.6" x14ac:dyDescent="0.25">
      <c r="C576436" s="2"/>
      <c r="D576436" s="2"/>
      <c r="E576436" s="2"/>
      <c r="F576436" s="2"/>
      <c r="G576436" s="2"/>
      <c r="H576436" s="2"/>
    </row>
    <row r="576685" spans="3:8" ht="15.6" x14ac:dyDescent="0.25">
      <c r="C576685" s="2"/>
      <c r="D576685" s="2"/>
      <c r="E576685" s="2"/>
      <c r="F576685" s="2"/>
      <c r="G576685" s="2"/>
      <c r="H576685" s="2"/>
    </row>
    <row r="576934" spans="3:8" ht="15.6" x14ac:dyDescent="0.25">
      <c r="C576934" s="2"/>
      <c r="D576934" s="2"/>
      <c r="E576934" s="2"/>
      <c r="F576934" s="2"/>
      <c r="G576934" s="2"/>
      <c r="H576934" s="2"/>
    </row>
    <row r="577183" spans="3:8" ht="15.6" x14ac:dyDescent="0.25">
      <c r="C577183" s="2"/>
      <c r="D577183" s="2"/>
      <c r="E577183" s="2"/>
      <c r="F577183" s="2"/>
      <c r="G577183" s="2"/>
      <c r="H577183" s="2"/>
    </row>
    <row r="577432" spans="3:8" ht="15.6" x14ac:dyDescent="0.25">
      <c r="C577432" s="2"/>
      <c r="D577432" s="2"/>
      <c r="E577432" s="2"/>
      <c r="F577432" s="2"/>
      <c r="G577432" s="2"/>
      <c r="H577432" s="2"/>
    </row>
    <row r="577681" spans="3:8" ht="15.6" x14ac:dyDescent="0.25">
      <c r="C577681" s="2"/>
      <c r="D577681" s="2"/>
      <c r="E577681" s="2"/>
      <c r="F577681" s="2"/>
      <c r="G577681" s="2"/>
      <c r="H577681" s="2"/>
    </row>
    <row r="577930" spans="3:8" ht="15.6" x14ac:dyDescent="0.25">
      <c r="C577930" s="2"/>
      <c r="D577930" s="2"/>
      <c r="E577930" s="2"/>
      <c r="F577930" s="2"/>
      <c r="G577930" s="2"/>
      <c r="H577930" s="2"/>
    </row>
    <row r="578179" spans="3:8" ht="15.6" x14ac:dyDescent="0.25">
      <c r="C578179" s="2"/>
      <c r="D578179" s="2"/>
      <c r="E578179" s="2"/>
      <c r="F578179" s="2"/>
      <c r="G578179" s="2"/>
      <c r="H578179" s="2"/>
    </row>
    <row r="578428" spans="3:8" ht="15.6" x14ac:dyDescent="0.25">
      <c r="C578428" s="2"/>
      <c r="D578428" s="2"/>
      <c r="E578428" s="2"/>
      <c r="F578428" s="2"/>
      <c r="G578428" s="2"/>
      <c r="H578428" s="2"/>
    </row>
    <row r="578677" spans="3:8" ht="15.6" x14ac:dyDescent="0.25">
      <c r="C578677" s="2"/>
      <c r="D578677" s="2"/>
      <c r="E578677" s="2"/>
      <c r="F578677" s="2"/>
      <c r="G578677" s="2"/>
      <c r="H578677" s="2"/>
    </row>
    <row r="578926" spans="3:8" ht="15.6" x14ac:dyDescent="0.25">
      <c r="C578926" s="2"/>
      <c r="D578926" s="2"/>
      <c r="E578926" s="2"/>
      <c r="F578926" s="2"/>
      <c r="G578926" s="2"/>
      <c r="H578926" s="2"/>
    </row>
    <row r="579175" spans="3:8" ht="15.6" x14ac:dyDescent="0.25">
      <c r="C579175" s="2"/>
      <c r="D579175" s="2"/>
      <c r="E579175" s="2"/>
      <c r="F579175" s="2"/>
      <c r="G579175" s="2"/>
      <c r="H579175" s="2"/>
    </row>
    <row r="579424" spans="3:8" ht="15.6" x14ac:dyDescent="0.25">
      <c r="C579424" s="2"/>
      <c r="D579424" s="2"/>
      <c r="E579424" s="2"/>
      <c r="F579424" s="2"/>
      <c r="G579424" s="2"/>
      <c r="H579424" s="2"/>
    </row>
    <row r="579673" spans="3:8" ht="15.6" x14ac:dyDescent="0.25">
      <c r="C579673" s="2"/>
      <c r="D579673" s="2"/>
      <c r="E579673" s="2"/>
      <c r="F579673" s="2"/>
      <c r="G579673" s="2"/>
      <c r="H579673" s="2"/>
    </row>
    <row r="579922" spans="3:8" ht="15.6" x14ac:dyDescent="0.25">
      <c r="C579922" s="2"/>
      <c r="D579922" s="2"/>
      <c r="E579922" s="2"/>
      <c r="F579922" s="2"/>
      <c r="G579922" s="2"/>
      <c r="H579922" s="2"/>
    </row>
    <row r="580171" spans="3:8" ht="15.6" x14ac:dyDescent="0.25">
      <c r="C580171" s="2"/>
      <c r="D580171" s="2"/>
      <c r="E580171" s="2"/>
      <c r="F580171" s="2"/>
      <c r="G580171" s="2"/>
      <c r="H580171" s="2"/>
    </row>
    <row r="580420" spans="3:8" ht="15.6" x14ac:dyDescent="0.25">
      <c r="C580420" s="2"/>
      <c r="D580420" s="2"/>
      <c r="E580420" s="2"/>
      <c r="F580420" s="2"/>
      <c r="G580420" s="2"/>
      <c r="H580420" s="2"/>
    </row>
    <row r="580669" spans="3:8" ht="15.6" x14ac:dyDescent="0.25">
      <c r="C580669" s="2"/>
      <c r="D580669" s="2"/>
      <c r="E580669" s="2"/>
      <c r="F580669" s="2"/>
      <c r="G580669" s="2"/>
      <c r="H580669" s="2"/>
    </row>
    <row r="580918" spans="3:8" ht="15.6" x14ac:dyDescent="0.25">
      <c r="C580918" s="2"/>
      <c r="D580918" s="2"/>
      <c r="E580918" s="2"/>
      <c r="F580918" s="2"/>
      <c r="G580918" s="2"/>
      <c r="H580918" s="2"/>
    </row>
    <row r="581167" spans="3:8" ht="15.6" x14ac:dyDescent="0.25">
      <c r="C581167" s="2"/>
      <c r="D581167" s="2"/>
      <c r="E581167" s="2"/>
      <c r="F581167" s="2"/>
      <c r="G581167" s="2"/>
      <c r="H581167" s="2"/>
    </row>
    <row r="581416" spans="3:8" ht="15.6" x14ac:dyDescent="0.25">
      <c r="C581416" s="2"/>
      <c r="D581416" s="2"/>
      <c r="E581416" s="2"/>
      <c r="F581416" s="2"/>
      <c r="G581416" s="2"/>
      <c r="H581416" s="2"/>
    </row>
    <row r="581665" spans="3:8" ht="15.6" x14ac:dyDescent="0.25">
      <c r="C581665" s="2"/>
      <c r="D581665" s="2"/>
      <c r="E581665" s="2"/>
      <c r="F581665" s="2"/>
      <c r="G581665" s="2"/>
      <c r="H581665" s="2"/>
    </row>
    <row r="581914" spans="3:8" ht="15.6" x14ac:dyDescent="0.25">
      <c r="C581914" s="2"/>
      <c r="D581914" s="2"/>
      <c r="E581914" s="2"/>
      <c r="F581914" s="2"/>
      <c r="G581914" s="2"/>
      <c r="H581914" s="2"/>
    </row>
    <row r="582163" spans="3:8" ht="15.6" x14ac:dyDescent="0.25">
      <c r="C582163" s="2"/>
      <c r="D582163" s="2"/>
      <c r="E582163" s="2"/>
      <c r="F582163" s="2"/>
      <c r="G582163" s="2"/>
      <c r="H582163" s="2"/>
    </row>
    <row r="582412" spans="3:8" ht="15.6" x14ac:dyDescent="0.25">
      <c r="C582412" s="2"/>
      <c r="D582412" s="2"/>
      <c r="E582412" s="2"/>
      <c r="F582412" s="2"/>
      <c r="G582412" s="2"/>
      <c r="H582412" s="2"/>
    </row>
    <row r="582661" spans="3:8" ht="15.6" x14ac:dyDescent="0.25">
      <c r="C582661" s="2"/>
      <c r="D582661" s="2"/>
      <c r="E582661" s="2"/>
      <c r="F582661" s="2"/>
      <c r="G582661" s="2"/>
      <c r="H582661" s="2"/>
    </row>
    <row r="582910" spans="3:8" ht="15.6" x14ac:dyDescent="0.25">
      <c r="C582910" s="2"/>
      <c r="D582910" s="2"/>
      <c r="E582910" s="2"/>
      <c r="F582910" s="2"/>
      <c r="G582910" s="2"/>
      <c r="H582910" s="2"/>
    </row>
    <row r="583159" spans="3:8" ht="15.6" x14ac:dyDescent="0.25">
      <c r="C583159" s="2"/>
      <c r="D583159" s="2"/>
      <c r="E583159" s="2"/>
      <c r="F583159" s="2"/>
      <c r="G583159" s="2"/>
      <c r="H583159" s="2"/>
    </row>
    <row r="583408" spans="3:8" ht="15.6" x14ac:dyDescent="0.25">
      <c r="C583408" s="2"/>
      <c r="D583408" s="2"/>
      <c r="E583408" s="2"/>
      <c r="F583408" s="2"/>
      <c r="G583408" s="2"/>
      <c r="H583408" s="2"/>
    </row>
    <row r="583657" spans="3:8" ht="15.6" x14ac:dyDescent="0.25">
      <c r="C583657" s="2"/>
      <c r="D583657" s="2"/>
      <c r="E583657" s="2"/>
      <c r="F583657" s="2"/>
      <c r="G583657" s="2"/>
      <c r="H583657" s="2"/>
    </row>
    <row r="583906" spans="3:8" ht="15.6" x14ac:dyDescent="0.25">
      <c r="C583906" s="2"/>
      <c r="D583906" s="2"/>
      <c r="E583906" s="2"/>
      <c r="F583906" s="2"/>
      <c r="G583906" s="2"/>
      <c r="H583906" s="2"/>
    </row>
    <row r="584155" spans="3:8" ht="15.6" x14ac:dyDescent="0.25">
      <c r="C584155" s="2"/>
      <c r="D584155" s="2"/>
      <c r="E584155" s="2"/>
      <c r="F584155" s="2"/>
      <c r="G584155" s="2"/>
      <c r="H584155" s="2"/>
    </row>
    <row r="584404" spans="3:8" ht="15.6" x14ac:dyDescent="0.25">
      <c r="C584404" s="2"/>
      <c r="D584404" s="2"/>
      <c r="E584404" s="2"/>
      <c r="F584404" s="2"/>
      <c r="G584404" s="2"/>
      <c r="H584404" s="2"/>
    </row>
    <row r="584653" spans="3:8" ht="15.6" x14ac:dyDescent="0.25">
      <c r="C584653" s="2"/>
      <c r="D584653" s="2"/>
      <c r="E584653" s="2"/>
      <c r="F584653" s="2"/>
      <c r="G584653" s="2"/>
      <c r="H584653" s="2"/>
    </row>
    <row r="584902" spans="3:8" ht="15.6" x14ac:dyDescent="0.25">
      <c r="C584902" s="2"/>
      <c r="D584902" s="2"/>
      <c r="E584902" s="2"/>
      <c r="F584902" s="2"/>
      <c r="G584902" s="2"/>
      <c r="H584902" s="2"/>
    </row>
    <row r="585151" spans="3:8" ht="15.6" x14ac:dyDescent="0.25">
      <c r="C585151" s="2"/>
      <c r="D585151" s="2"/>
      <c r="E585151" s="2"/>
      <c r="F585151" s="2"/>
      <c r="G585151" s="2"/>
      <c r="H585151" s="2"/>
    </row>
    <row r="585400" spans="3:8" ht="15.6" x14ac:dyDescent="0.25">
      <c r="C585400" s="2"/>
      <c r="D585400" s="2"/>
      <c r="E585400" s="2"/>
      <c r="F585400" s="2"/>
      <c r="G585400" s="2"/>
      <c r="H585400" s="2"/>
    </row>
    <row r="585649" spans="3:8" ht="15.6" x14ac:dyDescent="0.25">
      <c r="C585649" s="2"/>
      <c r="D585649" s="2"/>
      <c r="E585649" s="2"/>
      <c r="F585649" s="2"/>
      <c r="G585649" s="2"/>
      <c r="H585649" s="2"/>
    </row>
    <row r="585898" spans="3:8" ht="15.6" x14ac:dyDescent="0.25">
      <c r="C585898" s="2"/>
      <c r="D585898" s="2"/>
      <c r="E585898" s="2"/>
      <c r="F585898" s="2"/>
      <c r="G585898" s="2"/>
      <c r="H585898" s="2"/>
    </row>
    <row r="586147" spans="3:8" ht="15.6" x14ac:dyDescent="0.25">
      <c r="C586147" s="2"/>
      <c r="D586147" s="2"/>
      <c r="E586147" s="2"/>
      <c r="F586147" s="2"/>
      <c r="G586147" s="2"/>
      <c r="H586147" s="2"/>
    </row>
    <row r="586396" spans="3:8" ht="15.6" x14ac:dyDescent="0.25">
      <c r="C586396" s="2"/>
      <c r="D586396" s="2"/>
      <c r="E586396" s="2"/>
      <c r="F586396" s="2"/>
      <c r="G586396" s="2"/>
      <c r="H586396" s="2"/>
    </row>
    <row r="586645" spans="3:8" ht="15.6" x14ac:dyDescent="0.25">
      <c r="C586645" s="2"/>
      <c r="D586645" s="2"/>
      <c r="E586645" s="2"/>
      <c r="F586645" s="2"/>
      <c r="G586645" s="2"/>
      <c r="H586645" s="2"/>
    </row>
    <row r="586894" spans="3:8" ht="15.6" x14ac:dyDescent="0.25">
      <c r="C586894" s="2"/>
      <c r="D586894" s="2"/>
      <c r="E586894" s="2"/>
      <c r="F586894" s="2"/>
      <c r="G586894" s="2"/>
      <c r="H586894" s="2"/>
    </row>
    <row r="587143" spans="3:8" ht="15.6" x14ac:dyDescent="0.25">
      <c r="C587143" s="2"/>
      <c r="D587143" s="2"/>
      <c r="E587143" s="2"/>
      <c r="F587143" s="2"/>
      <c r="G587143" s="2"/>
      <c r="H587143" s="2"/>
    </row>
    <row r="587392" spans="3:8" ht="15.6" x14ac:dyDescent="0.25">
      <c r="C587392" s="2"/>
      <c r="D587392" s="2"/>
      <c r="E587392" s="2"/>
      <c r="F587392" s="2"/>
      <c r="G587392" s="2"/>
      <c r="H587392" s="2"/>
    </row>
    <row r="587641" spans="3:8" ht="15.6" x14ac:dyDescent="0.25">
      <c r="C587641" s="2"/>
      <c r="D587641" s="2"/>
      <c r="E587641" s="2"/>
      <c r="F587641" s="2"/>
      <c r="G587641" s="2"/>
      <c r="H587641" s="2"/>
    </row>
    <row r="587890" spans="3:8" ht="15.6" x14ac:dyDescent="0.25">
      <c r="C587890" s="2"/>
      <c r="D587890" s="2"/>
      <c r="E587890" s="2"/>
      <c r="F587890" s="2"/>
      <c r="G587890" s="2"/>
      <c r="H587890" s="2"/>
    </row>
    <row r="588139" spans="3:8" ht="15.6" x14ac:dyDescent="0.25">
      <c r="C588139" s="2"/>
      <c r="D588139" s="2"/>
      <c r="E588139" s="2"/>
      <c r="F588139" s="2"/>
      <c r="G588139" s="2"/>
      <c r="H588139" s="2"/>
    </row>
    <row r="588388" spans="3:8" ht="15.6" x14ac:dyDescent="0.25">
      <c r="C588388" s="2"/>
      <c r="D588388" s="2"/>
      <c r="E588388" s="2"/>
      <c r="F588388" s="2"/>
      <c r="G588388" s="2"/>
      <c r="H588388" s="2"/>
    </row>
    <row r="588637" spans="3:8" ht="15.6" x14ac:dyDescent="0.25">
      <c r="C588637" s="2"/>
      <c r="D588637" s="2"/>
      <c r="E588637" s="2"/>
      <c r="F588637" s="2"/>
      <c r="G588637" s="2"/>
      <c r="H588637" s="2"/>
    </row>
    <row r="588886" spans="3:8" ht="15.6" x14ac:dyDescent="0.25">
      <c r="C588886" s="2"/>
      <c r="D588886" s="2"/>
      <c r="E588886" s="2"/>
      <c r="F588886" s="2"/>
      <c r="G588886" s="2"/>
      <c r="H588886" s="2"/>
    </row>
    <row r="589135" spans="3:8" ht="15.6" x14ac:dyDescent="0.25">
      <c r="C589135" s="2"/>
      <c r="D589135" s="2"/>
      <c r="E589135" s="2"/>
      <c r="F589135" s="2"/>
      <c r="G589135" s="2"/>
      <c r="H589135" s="2"/>
    </row>
    <row r="589384" spans="3:8" ht="15.6" x14ac:dyDescent="0.25">
      <c r="C589384" s="2"/>
      <c r="D589384" s="2"/>
      <c r="E589384" s="2"/>
      <c r="F589384" s="2"/>
      <c r="G589384" s="2"/>
      <c r="H589384" s="2"/>
    </row>
    <row r="589633" spans="3:8" ht="15.6" x14ac:dyDescent="0.25">
      <c r="C589633" s="2"/>
      <c r="D589633" s="2"/>
      <c r="E589633" s="2"/>
      <c r="F589633" s="2"/>
      <c r="G589633" s="2"/>
      <c r="H589633" s="2"/>
    </row>
    <row r="589882" spans="3:8" ht="15.6" x14ac:dyDescent="0.25">
      <c r="C589882" s="2"/>
      <c r="D589882" s="2"/>
      <c r="E589882" s="2"/>
      <c r="F589882" s="2"/>
      <c r="G589882" s="2"/>
      <c r="H589882" s="2"/>
    </row>
    <row r="590131" spans="3:8" ht="15.6" x14ac:dyDescent="0.25">
      <c r="C590131" s="2"/>
      <c r="D590131" s="2"/>
      <c r="E590131" s="2"/>
      <c r="F590131" s="2"/>
      <c r="G590131" s="2"/>
      <c r="H590131" s="2"/>
    </row>
    <row r="590380" spans="3:8" ht="15.6" x14ac:dyDescent="0.25">
      <c r="C590380" s="2"/>
      <c r="D590380" s="2"/>
      <c r="E590380" s="2"/>
      <c r="F590380" s="2"/>
      <c r="G590380" s="2"/>
      <c r="H590380" s="2"/>
    </row>
    <row r="590629" spans="3:8" ht="15.6" x14ac:dyDescent="0.25">
      <c r="C590629" s="2"/>
      <c r="D590629" s="2"/>
      <c r="E590629" s="2"/>
      <c r="F590629" s="2"/>
      <c r="G590629" s="2"/>
      <c r="H590629" s="2"/>
    </row>
    <row r="590878" spans="3:8" ht="15.6" x14ac:dyDescent="0.25">
      <c r="C590878" s="2"/>
      <c r="D590878" s="2"/>
      <c r="E590878" s="2"/>
      <c r="F590878" s="2"/>
      <c r="G590878" s="2"/>
      <c r="H590878" s="2"/>
    </row>
    <row r="591127" spans="3:8" ht="15.6" x14ac:dyDescent="0.25">
      <c r="C591127" s="2"/>
      <c r="D591127" s="2"/>
      <c r="E591127" s="2"/>
      <c r="F591127" s="2"/>
      <c r="G591127" s="2"/>
      <c r="H591127" s="2"/>
    </row>
    <row r="591376" spans="3:8" ht="15.6" x14ac:dyDescent="0.25">
      <c r="C591376" s="2"/>
      <c r="D591376" s="2"/>
      <c r="E591376" s="2"/>
      <c r="F591376" s="2"/>
      <c r="G591376" s="2"/>
      <c r="H591376" s="2"/>
    </row>
    <row r="591625" spans="3:8" ht="15.6" x14ac:dyDescent="0.25">
      <c r="C591625" s="2"/>
      <c r="D591625" s="2"/>
      <c r="E591625" s="2"/>
      <c r="F591625" s="2"/>
      <c r="G591625" s="2"/>
      <c r="H591625" s="2"/>
    </row>
    <row r="591874" spans="3:8" ht="15.6" x14ac:dyDescent="0.25">
      <c r="C591874" s="2"/>
      <c r="D591874" s="2"/>
      <c r="E591874" s="2"/>
      <c r="F591874" s="2"/>
      <c r="G591874" s="2"/>
      <c r="H591874" s="2"/>
    </row>
    <row r="592123" spans="3:8" ht="15.6" x14ac:dyDescent="0.25">
      <c r="C592123" s="2"/>
      <c r="D592123" s="2"/>
      <c r="E592123" s="2"/>
      <c r="F592123" s="2"/>
      <c r="G592123" s="2"/>
      <c r="H592123" s="2"/>
    </row>
    <row r="592372" spans="3:8" ht="15.6" x14ac:dyDescent="0.25">
      <c r="C592372" s="2"/>
      <c r="D592372" s="2"/>
      <c r="E592372" s="2"/>
      <c r="F592372" s="2"/>
      <c r="G592372" s="2"/>
      <c r="H592372" s="2"/>
    </row>
    <row r="592621" spans="3:8" ht="15.6" x14ac:dyDescent="0.25">
      <c r="C592621" s="2"/>
      <c r="D592621" s="2"/>
      <c r="E592621" s="2"/>
      <c r="F592621" s="2"/>
      <c r="G592621" s="2"/>
      <c r="H592621" s="2"/>
    </row>
    <row r="592870" spans="3:8" ht="15.6" x14ac:dyDescent="0.25">
      <c r="C592870" s="2"/>
      <c r="D592870" s="2"/>
      <c r="E592870" s="2"/>
      <c r="F592870" s="2"/>
      <c r="G592870" s="2"/>
      <c r="H592870" s="2"/>
    </row>
    <row r="593119" spans="3:8" ht="15.6" x14ac:dyDescent="0.25">
      <c r="C593119" s="2"/>
      <c r="D593119" s="2"/>
      <c r="E593119" s="2"/>
      <c r="F593119" s="2"/>
      <c r="G593119" s="2"/>
      <c r="H593119" s="2"/>
    </row>
    <row r="593368" spans="3:8" ht="15.6" x14ac:dyDescent="0.25">
      <c r="C593368" s="2"/>
      <c r="D593368" s="2"/>
      <c r="E593368" s="2"/>
      <c r="F593368" s="2"/>
      <c r="G593368" s="2"/>
      <c r="H593368" s="2"/>
    </row>
    <row r="593617" spans="3:8" ht="15.6" x14ac:dyDescent="0.25">
      <c r="C593617" s="2"/>
      <c r="D593617" s="2"/>
      <c r="E593617" s="2"/>
      <c r="F593617" s="2"/>
      <c r="G593617" s="2"/>
      <c r="H593617" s="2"/>
    </row>
    <row r="593866" spans="3:8" ht="15.6" x14ac:dyDescent="0.25">
      <c r="C593866" s="2"/>
      <c r="D593866" s="2"/>
      <c r="E593866" s="2"/>
      <c r="F593866" s="2"/>
      <c r="G593866" s="2"/>
      <c r="H593866" s="2"/>
    </row>
    <row r="594115" spans="3:8" ht="15.6" x14ac:dyDescent="0.25">
      <c r="C594115" s="2"/>
      <c r="D594115" s="2"/>
      <c r="E594115" s="2"/>
      <c r="F594115" s="2"/>
      <c r="G594115" s="2"/>
      <c r="H594115" s="2"/>
    </row>
    <row r="594364" spans="3:8" ht="15.6" x14ac:dyDescent="0.25">
      <c r="C594364" s="2"/>
      <c r="D594364" s="2"/>
      <c r="E594364" s="2"/>
      <c r="F594364" s="2"/>
      <c r="G594364" s="2"/>
      <c r="H594364" s="2"/>
    </row>
    <row r="594613" spans="3:8" ht="15.6" x14ac:dyDescent="0.25">
      <c r="C594613" s="2"/>
      <c r="D594613" s="2"/>
      <c r="E594613" s="2"/>
      <c r="F594613" s="2"/>
      <c r="G594613" s="2"/>
      <c r="H594613" s="2"/>
    </row>
    <row r="594862" spans="3:8" ht="15.6" x14ac:dyDescent="0.25">
      <c r="C594862" s="2"/>
      <c r="D594862" s="2"/>
      <c r="E594862" s="2"/>
      <c r="F594862" s="2"/>
      <c r="G594862" s="2"/>
      <c r="H594862" s="2"/>
    </row>
    <row r="595111" spans="3:8" ht="15.6" x14ac:dyDescent="0.25">
      <c r="C595111" s="2"/>
      <c r="D595111" s="2"/>
      <c r="E595111" s="2"/>
      <c r="F595111" s="2"/>
      <c r="G595111" s="2"/>
      <c r="H595111" s="2"/>
    </row>
    <row r="595360" spans="3:8" ht="15.6" x14ac:dyDescent="0.25">
      <c r="C595360" s="2"/>
      <c r="D595360" s="2"/>
      <c r="E595360" s="2"/>
      <c r="F595360" s="2"/>
      <c r="G595360" s="2"/>
      <c r="H595360" s="2"/>
    </row>
    <row r="595609" spans="3:8" ht="15.6" x14ac:dyDescent="0.25">
      <c r="C595609" s="2"/>
      <c r="D595609" s="2"/>
      <c r="E595609" s="2"/>
      <c r="F595609" s="2"/>
      <c r="G595609" s="2"/>
      <c r="H595609" s="2"/>
    </row>
    <row r="595858" spans="3:8" ht="15.6" x14ac:dyDescent="0.25">
      <c r="C595858" s="2"/>
      <c r="D595858" s="2"/>
      <c r="E595858" s="2"/>
      <c r="F595858" s="2"/>
      <c r="G595858" s="2"/>
      <c r="H595858" s="2"/>
    </row>
    <row r="596107" spans="3:8" ht="15.6" x14ac:dyDescent="0.25">
      <c r="C596107" s="2"/>
      <c r="D596107" s="2"/>
      <c r="E596107" s="2"/>
      <c r="F596107" s="2"/>
      <c r="G596107" s="2"/>
      <c r="H596107" s="2"/>
    </row>
    <row r="596356" spans="3:8" ht="15.6" x14ac:dyDescent="0.25">
      <c r="C596356" s="2"/>
      <c r="D596356" s="2"/>
      <c r="E596356" s="2"/>
      <c r="F596356" s="2"/>
      <c r="G596356" s="2"/>
      <c r="H596356" s="2"/>
    </row>
    <row r="596605" spans="3:8" ht="15.6" x14ac:dyDescent="0.25">
      <c r="C596605" s="2"/>
      <c r="D596605" s="2"/>
      <c r="E596605" s="2"/>
      <c r="F596605" s="2"/>
      <c r="G596605" s="2"/>
      <c r="H596605" s="2"/>
    </row>
    <row r="596854" spans="3:8" ht="15.6" x14ac:dyDescent="0.25">
      <c r="C596854" s="2"/>
      <c r="D596854" s="2"/>
      <c r="E596854" s="2"/>
      <c r="F596854" s="2"/>
      <c r="G596854" s="2"/>
      <c r="H596854" s="2"/>
    </row>
    <row r="597103" spans="3:8" ht="15.6" x14ac:dyDescent="0.25">
      <c r="C597103" s="2"/>
      <c r="D597103" s="2"/>
      <c r="E597103" s="2"/>
      <c r="F597103" s="2"/>
      <c r="G597103" s="2"/>
      <c r="H597103" s="2"/>
    </row>
    <row r="597352" spans="3:8" ht="15.6" x14ac:dyDescent="0.25">
      <c r="C597352" s="2"/>
      <c r="D597352" s="2"/>
      <c r="E597352" s="2"/>
      <c r="F597352" s="2"/>
      <c r="G597352" s="2"/>
      <c r="H597352" s="2"/>
    </row>
    <row r="597601" spans="3:8" ht="15.6" x14ac:dyDescent="0.25">
      <c r="C597601" s="2"/>
      <c r="D597601" s="2"/>
      <c r="E597601" s="2"/>
      <c r="F597601" s="2"/>
      <c r="G597601" s="2"/>
      <c r="H597601" s="2"/>
    </row>
    <row r="597850" spans="3:8" ht="15.6" x14ac:dyDescent="0.25">
      <c r="C597850" s="2"/>
      <c r="D597850" s="2"/>
      <c r="E597850" s="2"/>
      <c r="F597850" s="2"/>
      <c r="G597850" s="2"/>
      <c r="H597850" s="2"/>
    </row>
    <row r="598099" spans="3:8" ht="15.6" x14ac:dyDescent="0.25">
      <c r="C598099" s="2"/>
      <c r="D598099" s="2"/>
      <c r="E598099" s="2"/>
      <c r="F598099" s="2"/>
      <c r="G598099" s="2"/>
      <c r="H598099" s="2"/>
    </row>
    <row r="598348" spans="3:8" ht="15.6" x14ac:dyDescent="0.25">
      <c r="C598348" s="2"/>
      <c r="D598348" s="2"/>
      <c r="E598348" s="2"/>
      <c r="F598348" s="2"/>
      <c r="G598348" s="2"/>
      <c r="H598348" s="2"/>
    </row>
    <row r="598597" spans="3:8" ht="15.6" x14ac:dyDescent="0.25">
      <c r="C598597" s="2"/>
      <c r="D598597" s="2"/>
      <c r="E598597" s="2"/>
      <c r="F598597" s="2"/>
      <c r="G598597" s="2"/>
      <c r="H598597" s="2"/>
    </row>
    <row r="598846" spans="3:8" ht="15.6" x14ac:dyDescent="0.25">
      <c r="C598846" s="2"/>
      <c r="D598846" s="2"/>
      <c r="E598846" s="2"/>
      <c r="F598846" s="2"/>
      <c r="G598846" s="2"/>
      <c r="H598846" s="2"/>
    </row>
    <row r="599095" spans="3:8" ht="15.6" x14ac:dyDescent="0.25">
      <c r="C599095" s="2"/>
      <c r="D599095" s="2"/>
      <c r="E599095" s="2"/>
      <c r="F599095" s="2"/>
      <c r="G599095" s="2"/>
      <c r="H599095" s="2"/>
    </row>
    <row r="599344" spans="3:8" ht="15.6" x14ac:dyDescent="0.25">
      <c r="C599344" s="2"/>
      <c r="D599344" s="2"/>
      <c r="E599344" s="2"/>
      <c r="F599344" s="2"/>
      <c r="G599344" s="2"/>
      <c r="H599344" s="2"/>
    </row>
    <row r="599593" spans="3:8" ht="15.6" x14ac:dyDescent="0.25">
      <c r="C599593" s="2"/>
      <c r="D599593" s="2"/>
      <c r="E599593" s="2"/>
      <c r="F599593" s="2"/>
      <c r="G599593" s="2"/>
      <c r="H599593" s="2"/>
    </row>
    <row r="599842" spans="3:8" ht="15.6" x14ac:dyDescent="0.25">
      <c r="C599842" s="2"/>
      <c r="D599842" s="2"/>
      <c r="E599842" s="2"/>
      <c r="F599842" s="2"/>
      <c r="G599842" s="2"/>
      <c r="H599842" s="2"/>
    </row>
    <row r="600091" spans="3:8" ht="15.6" x14ac:dyDescent="0.25">
      <c r="C600091" s="2"/>
      <c r="D600091" s="2"/>
      <c r="E600091" s="2"/>
      <c r="F600091" s="2"/>
      <c r="G600091" s="2"/>
      <c r="H600091" s="2"/>
    </row>
    <row r="600340" spans="3:8" ht="15.6" x14ac:dyDescent="0.25">
      <c r="C600340" s="2"/>
      <c r="D600340" s="2"/>
      <c r="E600340" s="2"/>
      <c r="F600340" s="2"/>
      <c r="G600340" s="2"/>
      <c r="H600340" s="2"/>
    </row>
    <row r="600589" spans="3:8" ht="15.6" x14ac:dyDescent="0.25">
      <c r="C600589" s="2"/>
      <c r="D600589" s="2"/>
      <c r="E600589" s="2"/>
      <c r="F600589" s="2"/>
      <c r="G600589" s="2"/>
      <c r="H600589" s="2"/>
    </row>
    <row r="600838" spans="3:8" ht="15.6" x14ac:dyDescent="0.25">
      <c r="C600838" s="2"/>
      <c r="D600838" s="2"/>
      <c r="E600838" s="2"/>
      <c r="F600838" s="2"/>
      <c r="G600838" s="2"/>
      <c r="H600838" s="2"/>
    </row>
    <row r="601087" spans="3:8" ht="15.6" x14ac:dyDescent="0.25">
      <c r="C601087" s="2"/>
      <c r="D601087" s="2"/>
      <c r="E601087" s="2"/>
      <c r="F601087" s="2"/>
      <c r="G601087" s="2"/>
      <c r="H601087" s="2"/>
    </row>
    <row r="601336" spans="3:8" ht="15.6" x14ac:dyDescent="0.25">
      <c r="C601336" s="2"/>
      <c r="D601336" s="2"/>
      <c r="E601336" s="2"/>
      <c r="F601336" s="2"/>
      <c r="G601336" s="2"/>
      <c r="H601336" s="2"/>
    </row>
    <row r="601585" spans="3:8" ht="15.6" x14ac:dyDescent="0.25">
      <c r="C601585" s="2"/>
      <c r="D601585" s="2"/>
      <c r="E601585" s="2"/>
      <c r="F601585" s="2"/>
      <c r="G601585" s="2"/>
      <c r="H601585" s="2"/>
    </row>
    <row r="601834" spans="3:8" ht="15.6" x14ac:dyDescent="0.25">
      <c r="C601834" s="2"/>
      <c r="D601834" s="2"/>
      <c r="E601834" s="2"/>
      <c r="F601834" s="2"/>
      <c r="G601834" s="2"/>
      <c r="H601834" s="2"/>
    </row>
    <row r="602083" spans="3:8" ht="15.6" x14ac:dyDescent="0.25">
      <c r="C602083" s="2"/>
      <c r="D602083" s="2"/>
      <c r="E602083" s="2"/>
      <c r="F602083" s="2"/>
      <c r="G602083" s="2"/>
      <c r="H602083" s="2"/>
    </row>
    <row r="602332" spans="3:8" ht="15.6" x14ac:dyDescent="0.25">
      <c r="C602332" s="2"/>
      <c r="D602332" s="2"/>
      <c r="E602332" s="2"/>
      <c r="F602332" s="2"/>
      <c r="G602332" s="2"/>
      <c r="H602332" s="2"/>
    </row>
    <row r="602581" spans="3:8" ht="15.6" x14ac:dyDescent="0.25">
      <c r="C602581" s="2"/>
      <c r="D602581" s="2"/>
      <c r="E602581" s="2"/>
      <c r="F602581" s="2"/>
      <c r="G602581" s="2"/>
      <c r="H602581" s="2"/>
    </row>
    <row r="602830" spans="3:8" ht="15.6" x14ac:dyDescent="0.25">
      <c r="C602830" s="2"/>
      <c r="D602830" s="2"/>
      <c r="E602830" s="2"/>
      <c r="F602830" s="2"/>
      <c r="G602830" s="2"/>
      <c r="H602830" s="2"/>
    </row>
    <row r="603079" spans="3:8" ht="15.6" x14ac:dyDescent="0.25">
      <c r="C603079" s="2"/>
      <c r="D603079" s="2"/>
      <c r="E603079" s="2"/>
      <c r="F603079" s="2"/>
      <c r="G603079" s="2"/>
      <c r="H603079" s="2"/>
    </row>
    <row r="603328" spans="3:8" ht="15.6" x14ac:dyDescent="0.25">
      <c r="C603328" s="2"/>
      <c r="D603328" s="2"/>
      <c r="E603328" s="2"/>
      <c r="F603328" s="2"/>
      <c r="G603328" s="2"/>
      <c r="H603328" s="2"/>
    </row>
    <row r="603577" spans="3:8" ht="15.6" x14ac:dyDescent="0.25">
      <c r="C603577" s="2"/>
      <c r="D603577" s="2"/>
      <c r="E603577" s="2"/>
      <c r="F603577" s="2"/>
      <c r="G603577" s="2"/>
      <c r="H603577" s="2"/>
    </row>
    <row r="603826" spans="3:8" ht="15.6" x14ac:dyDescent="0.25">
      <c r="C603826" s="2"/>
      <c r="D603826" s="2"/>
      <c r="E603826" s="2"/>
      <c r="F603826" s="2"/>
      <c r="G603826" s="2"/>
      <c r="H603826" s="2"/>
    </row>
    <row r="604075" spans="3:8" ht="15.6" x14ac:dyDescent="0.25">
      <c r="C604075" s="2"/>
      <c r="D604075" s="2"/>
      <c r="E604075" s="2"/>
      <c r="F604075" s="2"/>
      <c r="G604075" s="2"/>
      <c r="H604075" s="2"/>
    </row>
    <row r="604324" spans="3:8" ht="15.6" x14ac:dyDescent="0.25">
      <c r="C604324" s="2"/>
      <c r="D604324" s="2"/>
      <c r="E604324" s="2"/>
      <c r="F604324" s="2"/>
      <c r="G604324" s="2"/>
      <c r="H604324" s="2"/>
    </row>
    <row r="604573" spans="3:8" ht="15.6" x14ac:dyDescent="0.25">
      <c r="C604573" s="2"/>
      <c r="D604573" s="2"/>
      <c r="E604573" s="2"/>
      <c r="F604573" s="2"/>
      <c r="G604573" s="2"/>
      <c r="H604573" s="2"/>
    </row>
    <row r="604822" spans="3:8" ht="15.6" x14ac:dyDescent="0.25">
      <c r="C604822" s="2"/>
      <c r="D604822" s="2"/>
      <c r="E604822" s="2"/>
      <c r="F604822" s="2"/>
      <c r="G604822" s="2"/>
      <c r="H604822" s="2"/>
    </row>
    <row r="605071" spans="3:8" ht="15.6" x14ac:dyDescent="0.25">
      <c r="C605071" s="2"/>
      <c r="D605071" s="2"/>
      <c r="E605071" s="2"/>
      <c r="F605071" s="2"/>
      <c r="G605071" s="2"/>
      <c r="H605071" s="2"/>
    </row>
    <row r="605320" spans="3:8" ht="15.6" x14ac:dyDescent="0.25">
      <c r="C605320" s="2"/>
      <c r="D605320" s="2"/>
      <c r="E605320" s="2"/>
      <c r="F605320" s="2"/>
      <c r="G605320" s="2"/>
      <c r="H605320" s="2"/>
    </row>
    <row r="605569" spans="3:8" ht="15.6" x14ac:dyDescent="0.25">
      <c r="C605569" s="2"/>
      <c r="D605569" s="2"/>
      <c r="E605569" s="2"/>
      <c r="F605569" s="2"/>
      <c r="G605569" s="2"/>
      <c r="H605569" s="2"/>
    </row>
    <row r="605818" spans="3:8" ht="15.6" x14ac:dyDescent="0.25">
      <c r="C605818" s="2"/>
      <c r="D605818" s="2"/>
      <c r="E605818" s="2"/>
      <c r="F605818" s="2"/>
      <c r="G605818" s="2"/>
      <c r="H605818" s="2"/>
    </row>
    <row r="606067" spans="3:8" ht="15.6" x14ac:dyDescent="0.25">
      <c r="C606067" s="2"/>
      <c r="D606067" s="2"/>
      <c r="E606067" s="2"/>
      <c r="F606067" s="2"/>
      <c r="G606067" s="2"/>
      <c r="H606067" s="2"/>
    </row>
    <row r="606316" spans="3:8" ht="15.6" x14ac:dyDescent="0.25">
      <c r="C606316" s="2"/>
      <c r="D606316" s="2"/>
      <c r="E606316" s="2"/>
      <c r="F606316" s="2"/>
      <c r="G606316" s="2"/>
      <c r="H606316" s="2"/>
    </row>
    <row r="606565" spans="3:8" ht="15.6" x14ac:dyDescent="0.25">
      <c r="C606565" s="2"/>
      <c r="D606565" s="2"/>
      <c r="E606565" s="2"/>
      <c r="F606565" s="2"/>
      <c r="G606565" s="2"/>
      <c r="H606565" s="2"/>
    </row>
    <row r="606814" spans="3:8" ht="15.6" x14ac:dyDescent="0.25">
      <c r="C606814" s="2"/>
      <c r="D606814" s="2"/>
      <c r="E606814" s="2"/>
      <c r="F606814" s="2"/>
      <c r="G606814" s="2"/>
      <c r="H606814" s="2"/>
    </row>
    <row r="607063" spans="3:8" ht="15.6" x14ac:dyDescent="0.25">
      <c r="C607063" s="2"/>
      <c r="D607063" s="2"/>
      <c r="E607063" s="2"/>
      <c r="F607063" s="2"/>
      <c r="G607063" s="2"/>
      <c r="H607063" s="2"/>
    </row>
    <row r="607312" spans="3:8" ht="15.6" x14ac:dyDescent="0.25">
      <c r="C607312" s="2"/>
      <c r="D607312" s="2"/>
      <c r="E607312" s="2"/>
      <c r="F607312" s="2"/>
      <c r="G607312" s="2"/>
      <c r="H607312" s="2"/>
    </row>
    <row r="607561" spans="3:8" ht="15.6" x14ac:dyDescent="0.25">
      <c r="C607561" s="2"/>
      <c r="D607561" s="2"/>
      <c r="E607561" s="2"/>
      <c r="F607561" s="2"/>
      <c r="G607561" s="2"/>
      <c r="H607561" s="2"/>
    </row>
    <row r="607810" spans="3:8" ht="15.6" x14ac:dyDescent="0.25">
      <c r="C607810" s="2"/>
      <c r="D607810" s="2"/>
      <c r="E607810" s="2"/>
      <c r="F607810" s="2"/>
      <c r="G607810" s="2"/>
      <c r="H607810" s="2"/>
    </row>
    <row r="608059" spans="3:8" ht="15.6" x14ac:dyDescent="0.25">
      <c r="C608059" s="2"/>
      <c r="D608059" s="2"/>
      <c r="E608059" s="2"/>
      <c r="F608059" s="2"/>
      <c r="G608059" s="2"/>
      <c r="H608059" s="2"/>
    </row>
    <row r="608308" spans="3:8" ht="15.6" x14ac:dyDescent="0.25">
      <c r="C608308" s="2"/>
      <c r="D608308" s="2"/>
      <c r="E608308" s="2"/>
      <c r="F608308" s="2"/>
      <c r="G608308" s="2"/>
      <c r="H608308" s="2"/>
    </row>
    <row r="608557" spans="3:8" ht="15.6" x14ac:dyDescent="0.25">
      <c r="C608557" s="2"/>
      <c r="D608557" s="2"/>
      <c r="E608557" s="2"/>
      <c r="F608557" s="2"/>
      <c r="G608557" s="2"/>
      <c r="H608557" s="2"/>
    </row>
    <row r="608806" spans="3:8" ht="15.6" x14ac:dyDescent="0.25">
      <c r="C608806" s="2"/>
      <c r="D608806" s="2"/>
      <c r="E608806" s="2"/>
      <c r="F608806" s="2"/>
      <c r="G608806" s="2"/>
      <c r="H608806" s="2"/>
    </row>
    <row r="609055" spans="3:8" ht="15.6" x14ac:dyDescent="0.25">
      <c r="C609055" s="2"/>
      <c r="D609055" s="2"/>
      <c r="E609055" s="2"/>
      <c r="F609055" s="2"/>
      <c r="G609055" s="2"/>
      <c r="H609055" s="2"/>
    </row>
    <row r="609304" spans="3:8" ht="15.6" x14ac:dyDescent="0.25">
      <c r="C609304" s="2"/>
      <c r="D609304" s="2"/>
      <c r="E609304" s="2"/>
      <c r="F609304" s="2"/>
      <c r="G609304" s="2"/>
      <c r="H609304" s="2"/>
    </row>
    <row r="609553" spans="3:8" ht="15.6" x14ac:dyDescent="0.25">
      <c r="C609553" s="2"/>
      <c r="D609553" s="2"/>
      <c r="E609553" s="2"/>
      <c r="F609553" s="2"/>
      <c r="G609553" s="2"/>
      <c r="H609553" s="2"/>
    </row>
    <row r="609802" spans="3:8" ht="15.6" x14ac:dyDescent="0.25">
      <c r="C609802" s="2"/>
      <c r="D609802" s="2"/>
      <c r="E609802" s="2"/>
      <c r="F609802" s="2"/>
      <c r="G609802" s="2"/>
      <c r="H609802" s="2"/>
    </row>
    <row r="610051" spans="3:8" ht="15.6" x14ac:dyDescent="0.25">
      <c r="C610051" s="2"/>
      <c r="D610051" s="2"/>
      <c r="E610051" s="2"/>
      <c r="F610051" s="2"/>
      <c r="G610051" s="2"/>
      <c r="H610051" s="2"/>
    </row>
    <row r="610300" spans="3:8" ht="15.6" x14ac:dyDescent="0.25">
      <c r="C610300" s="2"/>
      <c r="D610300" s="2"/>
      <c r="E610300" s="2"/>
      <c r="F610300" s="2"/>
      <c r="G610300" s="2"/>
      <c r="H610300" s="2"/>
    </row>
    <row r="610549" spans="3:8" ht="15.6" x14ac:dyDescent="0.25">
      <c r="C610549" s="2"/>
      <c r="D610549" s="2"/>
      <c r="E610549" s="2"/>
      <c r="F610549" s="2"/>
      <c r="G610549" s="2"/>
      <c r="H610549" s="2"/>
    </row>
    <row r="610798" spans="3:8" ht="15.6" x14ac:dyDescent="0.25">
      <c r="C610798" s="2"/>
      <c r="D610798" s="2"/>
      <c r="E610798" s="2"/>
      <c r="F610798" s="2"/>
      <c r="G610798" s="2"/>
      <c r="H610798" s="2"/>
    </row>
    <row r="611047" spans="3:8" ht="15.6" x14ac:dyDescent="0.25">
      <c r="C611047" s="2"/>
      <c r="D611047" s="2"/>
      <c r="E611047" s="2"/>
      <c r="F611047" s="2"/>
      <c r="G611047" s="2"/>
      <c r="H611047" s="2"/>
    </row>
    <row r="611296" spans="3:8" ht="15.6" x14ac:dyDescent="0.25">
      <c r="C611296" s="2"/>
      <c r="D611296" s="2"/>
      <c r="E611296" s="2"/>
      <c r="F611296" s="2"/>
      <c r="G611296" s="2"/>
      <c r="H611296" s="2"/>
    </row>
    <row r="611545" spans="3:8" ht="15.6" x14ac:dyDescent="0.25">
      <c r="C611545" s="2"/>
      <c r="D611545" s="2"/>
      <c r="E611545" s="2"/>
      <c r="F611545" s="2"/>
      <c r="G611545" s="2"/>
      <c r="H611545" s="2"/>
    </row>
    <row r="611794" spans="3:8" ht="15.6" x14ac:dyDescent="0.25">
      <c r="C611794" s="2"/>
      <c r="D611794" s="2"/>
      <c r="E611794" s="2"/>
      <c r="F611794" s="2"/>
      <c r="G611794" s="2"/>
      <c r="H611794" s="2"/>
    </row>
    <row r="612043" spans="3:8" ht="15.6" x14ac:dyDescent="0.25">
      <c r="C612043" s="2"/>
      <c r="D612043" s="2"/>
      <c r="E612043" s="2"/>
      <c r="F612043" s="2"/>
      <c r="G612043" s="2"/>
      <c r="H612043" s="2"/>
    </row>
    <row r="612292" spans="3:8" ht="15.6" x14ac:dyDescent="0.25">
      <c r="C612292" s="2"/>
      <c r="D612292" s="2"/>
      <c r="E612292" s="2"/>
      <c r="F612292" s="2"/>
      <c r="G612292" s="2"/>
      <c r="H612292" s="2"/>
    </row>
    <row r="612541" spans="3:8" ht="15.6" x14ac:dyDescent="0.25">
      <c r="C612541" s="2"/>
      <c r="D612541" s="2"/>
      <c r="E612541" s="2"/>
      <c r="F612541" s="2"/>
      <c r="G612541" s="2"/>
      <c r="H612541" s="2"/>
    </row>
    <row r="612790" spans="3:8" ht="15.6" x14ac:dyDescent="0.25">
      <c r="C612790" s="2"/>
      <c r="D612790" s="2"/>
      <c r="E612790" s="2"/>
      <c r="F612790" s="2"/>
      <c r="G612790" s="2"/>
      <c r="H612790" s="2"/>
    </row>
    <row r="613039" spans="3:8" ht="15.6" x14ac:dyDescent="0.25">
      <c r="C613039" s="2"/>
      <c r="D613039" s="2"/>
      <c r="E613039" s="2"/>
      <c r="F613039" s="2"/>
      <c r="G613039" s="2"/>
      <c r="H613039" s="2"/>
    </row>
    <row r="613288" spans="3:8" ht="15.6" x14ac:dyDescent="0.25">
      <c r="C613288" s="2"/>
      <c r="D613288" s="2"/>
      <c r="E613288" s="2"/>
      <c r="F613288" s="2"/>
      <c r="G613288" s="2"/>
      <c r="H613288" s="2"/>
    </row>
    <row r="613537" spans="3:8" ht="15.6" x14ac:dyDescent="0.25">
      <c r="C613537" s="2"/>
      <c r="D613537" s="2"/>
      <c r="E613537" s="2"/>
      <c r="F613537" s="2"/>
      <c r="G613537" s="2"/>
      <c r="H613537" s="2"/>
    </row>
    <row r="613786" spans="3:8" ht="15.6" x14ac:dyDescent="0.25">
      <c r="C613786" s="2"/>
      <c r="D613786" s="2"/>
      <c r="E613786" s="2"/>
      <c r="F613786" s="2"/>
      <c r="G613786" s="2"/>
      <c r="H613786" s="2"/>
    </row>
    <row r="614035" spans="3:8" ht="15.6" x14ac:dyDescent="0.25">
      <c r="C614035" s="2"/>
      <c r="D614035" s="2"/>
      <c r="E614035" s="2"/>
      <c r="F614035" s="2"/>
      <c r="G614035" s="2"/>
      <c r="H614035" s="2"/>
    </row>
    <row r="614284" spans="3:8" ht="15.6" x14ac:dyDescent="0.25">
      <c r="C614284" s="2"/>
      <c r="D614284" s="2"/>
      <c r="E614284" s="2"/>
      <c r="F614284" s="2"/>
      <c r="G614284" s="2"/>
      <c r="H614284" s="2"/>
    </row>
    <row r="614533" spans="3:8" ht="15.6" x14ac:dyDescent="0.25">
      <c r="C614533" s="2"/>
      <c r="D614533" s="2"/>
      <c r="E614533" s="2"/>
      <c r="F614533" s="2"/>
      <c r="G614533" s="2"/>
      <c r="H614533" s="2"/>
    </row>
    <row r="614782" spans="3:8" ht="15.6" x14ac:dyDescent="0.25">
      <c r="C614782" s="2"/>
      <c r="D614782" s="2"/>
      <c r="E614782" s="2"/>
      <c r="F614782" s="2"/>
      <c r="G614782" s="2"/>
      <c r="H614782" s="2"/>
    </row>
    <row r="615031" spans="3:8" ht="15.6" x14ac:dyDescent="0.25">
      <c r="C615031" s="2"/>
      <c r="D615031" s="2"/>
      <c r="E615031" s="2"/>
      <c r="F615031" s="2"/>
      <c r="G615031" s="2"/>
      <c r="H615031" s="2"/>
    </row>
    <row r="615280" spans="3:8" ht="15.6" x14ac:dyDescent="0.25">
      <c r="C615280" s="2"/>
      <c r="D615280" s="2"/>
      <c r="E615280" s="2"/>
      <c r="F615280" s="2"/>
      <c r="G615280" s="2"/>
      <c r="H615280" s="2"/>
    </row>
    <row r="615529" spans="3:8" ht="15.6" x14ac:dyDescent="0.25">
      <c r="C615529" s="2"/>
      <c r="D615529" s="2"/>
      <c r="E615529" s="2"/>
      <c r="F615529" s="2"/>
      <c r="G615529" s="2"/>
      <c r="H615529" s="2"/>
    </row>
    <row r="615778" spans="3:8" ht="15.6" x14ac:dyDescent="0.25">
      <c r="C615778" s="2"/>
      <c r="D615778" s="2"/>
      <c r="E615778" s="2"/>
      <c r="F615778" s="2"/>
      <c r="G615778" s="2"/>
      <c r="H615778" s="2"/>
    </row>
    <row r="616027" spans="3:8" ht="15.6" x14ac:dyDescent="0.25">
      <c r="C616027" s="2"/>
      <c r="D616027" s="2"/>
      <c r="E616027" s="2"/>
      <c r="F616027" s="2"/>
      <c r="G616027" s="2"/>
      <c r="H616027" s="2"/>
    </row>
    <row r="616276" spans="3:8" ht="15.6" x14ac:dyDescent="0.25">
      <c r="C616276" s="2"/>
      <c r="D616276" s="2"/>
      <c r="E616276" s="2"/>
      <c r="F616276" s="2"/>
      <c r="G616276" s="2"/>
      <c r="H616276" s="2"/>
    </row>
    <row r="616525" spans="3:8" ht="15.6" x14ac:dyDescent="0.25">
      <c r="C616525" s="2"/>
      <c r="D616525" s="2"/>
      <c r="E616525" s="2"/>
      <c r="F616525" s="2"/>
      <c r="G616525" s="2"/>
      <c r="H616525" s="2"/>
    </row>
    <row r="616774" spans="3:8" ht="15.6" x14ac:dyDescent="0.25">
      <c r="C616774" s="2"/>
      <c r="D616774" s="2"/>
      <c r="E616774" s="2"/>
      <c r="F616774" s="2"/>
      <c r="G616774" s="2"/>
      <c r="H616774" s="2"/>
    </row>
    <row r="617023" spans="3:8" ht="15.6" x14ac:dyDescent="0.25">
      <c r="C617023" s="2"/>
      <c r="D617023" s="2"/>
      <c r="E617023" s="2"/>
      <c r="F617023" s="2"/>
      <c r="G617023" s="2"/>
      <c r="H617023" s="2"/>
    </row>
    <row r="617272" spans="3:8" ht="15.6" x14ac:dyDescent="0.25">
      <c r="C617272" s="2"/>
      <c r="D617272" s="2"/>
      <c r="E617272" s="2"/>
      <c r="F617272" s="2"/>
      <c r="G617272" s="2"/>
      <c r="H617272" s="2"/>
    </row>
    <row r="617521" spans="3:8" ht="15.6" x14ac:dyDescent="0.25">
      <c r="C617521" s="2"/>
      <c r="D617521" s="2"/>
      <c r="E617521" s="2"/>
      <c r="F617521" s="2"/>
      <c r="G617521" s="2"/>
      <c r="H617521" s="2"/>
    </row>
    <row r="617770" spans="3:8" ht="15.6" x14ac:dyDescent="0.25">
      <c r="C617770" s="2"/>
      <c r="D617770" s="2"/>
      <c r="E617770" s="2"/>
      <c r="F617770" s="2"/>
      <c r="G617770" s="2"/>
      <c r="H617770" s="2"/>
    </row>
    <row r="618019" spans="3:8" ht="15.6" x14ac:dyDescent="0.25">
      <c r="C618019" s="2"/>
      <c r="D618019" s="2"/>
      <c r="E618019" s="2"/>
      <c r="F618019" s="2"/>
      <c r="G618019" s="2"/>
      <c r="H618019" s="2"/>
    </row>
    <row r="618268" spans="3:8" ht="15.6" x14ac:dyDescent="0.25">
      <c r="C618268" s="2"/>
      <c r="D618268" s="2"/>
      <c r="E618268" s="2"/>
      <c r="F618268" s="2"/>
      <c r="G618268" s="2"/>
      <c r="H618268" s="2"/>
    </row>
    <row r="618517" spans="3:8" ht="15.6" x14ac:dyDescent="0.25">
      <c r="C618517" s="2"/>
      <c r="D618517" s="2"/>
      <c r="E618517" s="2"/>
      <c r="F618517" s="2"/>
      <c r="G618517" s="2"/>
      <c r="H618517" s="2"/>
    </row>
    <row r="618766" spans="3:8" ht="15.6" x14ac:dyDescent="0.25">
      <c r="C618766" s="2"/>
      <c r="D618766" s="2"/>
      <c r="E618766" s="2"/>
      <c r="F618766" s="2"/>
      <c r="G618766" s="2"/>
      <c r="H618766" s="2"/>
    </row>
    <row r="619015" spans="3:8" ht="15.6" x14ac:dyDescent="0.25">
      <c r="C619015" s="2"/>
      <c r="D619015" s="2"/>
      <c r="E619015" s="2"/>
      <c r="F619015" s="2"/>
      <c r="G619015" s="2"/>
      <c r="H619015" s="2"/>
    </row>
    <row r="619264" spans="3:8" ht="15.6" x14ac:dyDescent="0.25">
      <c r="C619264" s="2"/>
      <c r="D619264" s="2"/>
      <c r="E619264" s="2"/>
      <c r="F619264" s="2"/>
      <c r="G619264" s="2"/>
      <c r="H619264" s="2"/>
    </row>
    <row r="619513" spans="3:8" ht="15.6" x14ac:dyDescent="0.25">
      <c r="C619513" s="2"/>
      <c r="D619513" s="2"/>
      <c r="E619513" s="2"/>
      <c r="F619513" s="2"/>
      <c r="G619513" s="2"/>
      <c r="H619513" s="2"/>
    </row>
    <row r="619762" spans="3:8" ht="15.6" x14ac:dyDescent="0.25">
      <c r="C619762" s="2"/>
      <c r="D619762" s="2"/>
      <c r="E619762" s="2"/>
      <c r="F619762" s="2"/>
      <c r="G619762" s="2"/>
      <c r="H619762" s="2"/>
    </row>
    <row r="620011" spans="3:8" ht="15.6" x14ac:dyDescent="0.25">
      <c r="C620011" s="2"/>
      <c r="D620011" s="2"/>
      <c r="E620011" s="2"/>
      <c r="F620011" s="2"/>
      <c r="G620011" s="2"/>
      <c r="H620011" s="2"/>
    </row>
    <row r="620260" spans="3:8" ht="15.6" x14ac:dyDescent="0.25">
      <c r="C620260" s="2"/>
      <c r="D620260" s="2"/>
      <c r="E620260" s="2"/>
      <c r="F620260" s="2"/>
      <c r="G620260" s="2"/>
      <c r="H620260" s="2"/>
    </row>
    <row r="620509" spans="3:8" ht="15.6" x14ac:dyDescent="0.25">
      <c r="C620509" s="2"/>
      <c r="D620509" s="2"/>
      <c r="E620509" s="2"/>
      <c r="F620509" s="2"/>
      <c r="G620509" s="2"/>
      <c r="H620509" s="2"/>
    </row>
    <row r="620758" spans="3:8" ht="15.6" x14ac:dyDescent="0.25">
      <c r="C620758" s="2"/>
      <c r="D620758" s="2"/>
      <c r="E620758" s="2"/>
      <c r="F620758" s="2"/>
      <c r="G620758" s="2"/>
      <c r="H620758" s="2"/>
    </row>
    <row r="621007" spans="3:8" ht="15.6" x14ac:dyDescent="0.25">
      <c r="C621007" s="2"/>
      <c r="D621007" s="2"/>
      <c r="E621007" s="2"/>
      <c r="F621007" s="2"/>
      <c r="G621007" s="2"/>
      <c r="H621007" s="2"/>
    </row>
    <row r="621256" spans="3:8" ht="15.6" x14ac:dyDescent="0.25">
      <c r="C621256" s="2"/>
      <c r="D621256" s="2"/>
      <c r="E621256" s="2"/>
      <c r="F621256" s="2"/>
      <c r="G621256" s="2"/>
      <c r="H621256" s="2"/>
    </row>
    <row r="621505" spans="3:8" ht="15.6" x14ac:dyDescent="0.25">
      <c r="C621505" s="2"/>
      <c r="D621505" s="2"/>
      <c r="E621505" s="2"/>
      <c r="F621505" s="2"/>
      <c r="G621505" s="2"/>
      <c r="H621505" s="2"/>
    </row>
    <row r="621754" spans="3:8" ht="15.6" x14ac:dyDescent="0.25">
      <c r="C621754" s="2"/>
      <c r="D621754" s="2"/>
      <c r="E621754" s="2"/>
      <c r="F621754" s="2"/>
      <c r="G621754" s="2"/>
      <c r="H621754" s="2"/>
    </row>
    <row r="622003" spans="3:8" ht="15.6" x14ac:dyDescent="0.25">
      <c r="C622003" s="2"/>
      <c r="D622003" s="2"/>
      <c r="E622003" s="2"/>
      <c r="F622003" s="2"/>
      <c r="G622003" s="2"/>
      <c r="H622003" s="2"/>
    </row>
    <row r="622252" spans="3:8" ht="15.6" x14ac:dyDescent="0.25">
      <c r="C622252" s="2"/>
      <c r="D622252" s="2"/>
      <c r="E622252" s="2"/>
      <c r="F622252" s="2"/>
      <c r="G622252" s="2"/>
      <c r="H622252" s="2"/>
    </row>
    <row r="622501" spans="3:8" ht="15.6" x14ac:dyDescent="0.25">
      <c r="C622501" s="2"/>
      <c r="D622501" s="2"/>
      <c r="E622501" s="2"/>
      <c r="F622501" s="2"/>
      <c r="G622501" s="2"/>
      <c r="H622501" s="2"/>
    </row>
    <row r="622750" spans="3:8" ht="15.6" x14ac:dyDescent="0.25">
      <c r="C622750" s="2"/>
      <c r="D622750" s="2"/>
      <c r="E622750" s="2"/>
      <c r="F622750" s="2"/>
      <c r="G622750" s="2"/>
      <c r="H622750" s="2"/>
    </row>
    <row r="622999" spans="3:8" ht="15.6" x14ac:dyDescent="0.25">
      <c r="C622999" s="2"/>
      <c r="D622999" s="2"/>
      <c r="E622999" s="2"/>
      <c r="F622999" s="2"/>
      <c r="G622999" s="2"/>
      <c r="H622999" s="2"/>
    </row>
    <row r="623248" spans="3:8" ht="15.6" x14ac:dyDescent="0.25">
      <c r="C623248" s="2"/>
      <c r="D623248" s="2"/>
      <c r="E623248" s="2"/>
      <c r="F623248" s="2"/>
      <c r="G623248" s="2"/>
      <c r="H623248" s="2"/>
    </row>
    <row r="623497" spans="3:8" ht="15.6" x14ac:dyDescent="0.25">
      <c r="C623497" s="2"/>
      <c r="D623497" s="2"/>
      <c r="E623497" s="2"/>
      <c r="F623497" s="2"/>
      <c r="G623497" s="2"/>
      <c r="H623497" s="2"/>
    </row>
    <row r="623746" spans="3:8" ht="15.6" x14ac:dyDescent="0.25">
      <c r="C623746" s="2"/>
      <c r="D623746" s="2"/>
      <c r="E623746" s="2"/>
      <c r="F623746" s="2"/>
      <c r="G623746" s="2"/>
      <c r="H623746" s="2"/>
    </row>
    <row r="623995" spans="3:8" ht="15.6" x14ac:dyDescent="0.25">
      <c r="C623995" s="2"/>
      <c r="D623995" s="2"/>
      <c r="E623995" s="2"/>
      <c r="F623995" s="2"/>
      <c r="G623995" s="2"/>
      <c r="H623995" s="2"/>
    </row>
    <row r="624244" spans="3:8" ht="15.6" x14ac:dyDescent="0.25">
      <c r="C624244" s="2"/>
      <c r="D624244" s="2"/>
      <c r="E624244" s="2"/>
      <c r="F624244" s="2"/>
      <c r="G624244" s="2"/>
      <c r="H624244" s="2"/>
    </row>
    <row r="624493" spans="3:8" ht="15.6" x14ac:dyDescent="0.25">
      <c r="C624493" s="2"/>
      <c r="D624493" s="2"/>
      <c r="E624493" s="2"/>
      <c r="F624493" s="2"/>
      <c r="G624493" s="2"/>
      <c r="H624493" s="2"/>
    </row>
    <row r="624742" spans="3:8" ht="15.6" x14ac:dyDescent="0.25">
      <c r="C624742" s="2"/>
      <c r="D624742" s="2"/>
      <c r="E624742" s="2"/>
      <c r="F624742" s="2"/>
      <c r="G624742" s="2"/>
      <c r="H624742" s="2"/>
    </row>
    <row r="624991" spans="3:8" ht="15.6" x14ac:dyDescent="0.25">
      <c r="C624991" s="2"/>
      <c r="D624991" s="2"/>
      <c r="E624991" s="2"/>
      <c r="F624991" s="2"/>
      <c r="G624991" s="2"/>
      <c r="H624991" s="2"/>
    </row>
    <row r="625240" spans="3:8" ht="15.6" x14ac:dyDescent="0.25">
      <c r="C625240" s="2"/>
      <c r="D625240" s="2"/>
      <c r="E625240" s="2"/>
      <c r="F625240" s="2"/>
      <c r="G625240" s="2"/>
      <c r="H625240" s="2"/>
    </row>
    <row r="625489" spans="3:8" ht="15.6" x14ac:dyDescent="0.25">
      <c r="C625489" s="2"/>
      <c r="D625489" s="2"/>
      <c r="E625489" s="2"/>
      <c r="F625489" s="2"/>
      <c r="G625489" s="2"/>
      <c r="H625489" s="2"/>
    </row>
    <row r="625738" spans="3:8" ht="15.6" x14ac:dyDescent="0.25">
      <c r="C625738" s="2"/>
      <c r="D625738" s="2"/>
      <c r="E625738" s="2"/>
      <c r="F625738" s="2"/>
      <c r="G625738" s="2"/>
      <c r="H625738" s="2"/>
    </row>
    <row r="625987" spans="3:8" ht="15.6" x14ac:dyDescent="0.25">
      <c r="C625987" s="2"/>
      <c r="D625987" s="2"/>
      <c r="E625987" s="2"/>
      <c r="F625987" s="2"/>
      <c r="G625987" s="2"/>
      <c r="H625987" s="2"/>
    </row>
    <row r="626236" spans="3:8" ht="15.6" x14ac:dyDescent="0.25">
      <c r="C626236" s="2"/>
      <c r="D626236" s="2"/>
      <c r="E626236" s="2"/>
      <c r="F626236" s="2"/>
      <c r="G626236" s="2"/>
      <c r="H626236" s="2"/>
    </row>
    <row r="626485" spans="3:8" ht="15.6" x14ac:dyDescent="0.25">
      <c r="C626485" s="2"/>
      <c r="D626485" s="2"/>
      <c r="E626485" s="2"/>
      <c r="F626485" s="2"/>
      <c r="G626485" s="2"/>
      <c r="H626485" s="2"/>
    </row>
    <row r="626734" spans="3:8" ht="15.6" x14ac:dyDescent="0.25">
      <c r="C626734" s="2"/>
      <c r="D626734" s="2"/>
      <c r="E626734" s="2"/>
      <c r="F626734" s="2"/>
      <c r="G626734" s="2"/>
      <c r="H626734" s="2"/>
    </row>
    <row r="626983" spans="3:8" ht="15.6" x14ac:dyDescent="0.25">
      <c r="C626983" s="2"/>
      <c r="D626983" s="2"/>
      <c r="E626983" s="2"/>
      <c r="F626983" s="2"/>
      <c r="G626983" s="2"/>
      <c r="H626983" s="2"/>
    </row>
    <row r="627232" spans="3:8" ht="15.6" x14ac:dyDescent="0.25">
      <c r="C627232" s="2"/>
      <c r="D627232" s="2"/>
      <c r="E627232" s="2"/>
      <c r="F627232" s="2"/>
      <c r="G627232" s="2"/>
      <c r="H627232" s="2"/>
    </row>
    <row r="627481" spans="3:8" ht="15.6" x14ac:dyDescent="0.25">
      <c r="C627481" s="2"/>
      <c r="D627481" s="2"/>
      <c r="E627481" s="2"/>
      <c r="F627481" s="2"/>
      <c r="G627481" s="2"/>
      <c r="H627481" s="2"/>
    </row>
    <row r="627730" spans="3:8" ht="15.6" x14ac:dyDescent="0.25">
      <c r="C627730" s="2"/>
      <c r="D627730" s="2"/>
      <c r="E627730" s="2"/>
      <c r="F627730" s="2"/>
      <c r="G627730" s="2"/>
      <c r="H627730" s="2"/>
    </row>
    <row r="627979" spans="3:8" ht="15.6" x14ac:dyDescent="0.25">
      <c r="C627979" s="2"/>
      <c r="D627979" s="2"/>
      <c r="E627979" s="2"/>
      <c r="F627979" s="2"/>
      <c r="G627979" s="2"/>
      <c r="H627979" s="2"/>
    </row>
    <row r="628228" spans="3:8" ht="15.6" x14ac:dyDescent="0.25">
      <c r="C628228" s="2"/>
      <c r="D628228" s="2"/>
      <c r="E628228" s="2"/>
      <c r="F628228" s="2"/>
      <c r="G628228" s="2"/>
      <c r="H628228" s="2"/>
    </row>
    <row r="628477" spans="3:8" ht="15.6" x14ac:dyDescent="0.25">
      <c r="C628477" s="2"/>
      <c r="D628477" s="2"/>
      <c r="E628477" s="2"/>
      <c r="F628477" s="2"/>
      <c r="G628477" s="2"/>
      <c r="H628477" s="2"/>
    </row>
    <row r="628726" spans="3:8" ht="15.6" x14ac:dyDescent="0.25">
      <c r="C628726" s="2"/>
      <c r="D628726" s="2"/>
      <c r="E628726" s="2"/>
      <c r="F628726" s="2"/>
      <c r="G628726" s="2"/>
      <c r="H628726" s="2"/>
    </row>
    <row r="628975" spans="3:8" ht="15.6" x14ac:dyDescent="0.25">
      <c r="C628975" s="2"/>
      <c r="D628975" s="2"/>
      <c r="E628975" s="2"/>
      <c r="F628975" s="2"/>
      <c r="G628975" s="2"/>
      <c r="H628975" s="2"/>
    </row>
    <row r="629224" spans="3:8" ht="15.6" x14ac:dyDescent="0.25">
      <c r="C629224" s="2"/>
      <c r="D629224" s="2"/>
      <c r="E629224" s="2"/>
      <c r="F629224" s="2"/>
      <c r="G629224" s="2"/>
      <c r="H629224" s="2"/>
    </row>
    <row r="629473" spans="3:8" ht="15.6" x14ac:dyDescent="0.25">
      <c r="C629473" s="2"/>
      <c r="D629473" s="2"/>
      <c r="E629473" s="2"/>
      <c r="F629473" s="2"/>
      <c r="G629473" s="2"/>
      <c r="H629473" s="2"/>
    </row>
    <row r="629722" spans="3:8" ht="15.6" x14ac:dyDescent="0.25">
      <c r="C629722" s="2"/>
      <c r="D629722" s="2"/>
      <c r="E629722" s="2"/>
      <c r="F629722" s="2"/>
      <c r="G629722" s="2"/>
      <c r="H629722" s="2"/>
    </row>
    <row r="629971" spans="3:8" ht="15.6" x14ac:dyDescent="0.25">
      <c r="C629971" s="2"/>
      <c r="D629971" s="2"/>
      <c r="E629971" s="2"/>
      <c r="F629971" s="2"/>
      <c r="G629971" s="2"/>
      <c r="H629971" s="2"/>
    </row>
    <row r="630220" spans="3:8" ht="15.6" x14ac:dyDescent="0.25">
      <c r="C630220" s="2"/>
      <c r="D630220" s="2"/>
      <c r="E630220" s="2"/>
      <c r="F630220" s="2"/>
      <c r="G630220" s="2"/>
      <c r="H630220" s="2"/>
    </row>
    <row r="630469" spans="3:8" ht="15.6" x14ac:dyDescent="0.25">
      <c r="C630469" s="2"/>
      <c r="D630469" s="2"/>
      <c r="E630469" s="2"/>
      <c r="F630469" s="2"/>
      <c r="G630469" s="2"/>
      <c r="H630469" s="2"/>
    </row>
    <row r="630718" spans="3:8" ht="15.6" x14ac:dyDescent="0.25">
      <c r="C630718" s="2"/>
      <c r="D630718" s="2"/>
      <c r="E630718" s="2"/>
      <c r="F630718" s="2"/>
      <c r="G630718" s="2"/>
      <c r="H630718" s="2"/>
    </row>
    <row r="630967" spans="3:8" ht="15.6" x14ac:dyDescent="0.25">
      <c r="C630967" s="2"/>
      <c r="D630967" s="2"/>
      <c r="E630967" s="2"/>
      <c r="F630967" s="2"/>
      <c r="G630967" s="2"/>
      <c r="H630967" s="2"/>
    </row>
    <row r="631216" spans="3:8" ht="15.6" x14ac:dyDescent="0.25">
      <c r="C631216" s="2"/>
      <c r="D631216" s="2"/>
      <c r="E631216" s="2"/>
      <c r="F631216" s="2"/>
      <c r="G631216" s="2"/>
      <c r="H631216" s="2"/>
    </row>
    <row r="631465" spans="3:8" ht="15.6" x14ac:dyDescent="0.25">
      <c r="C631465" s="2"/>
      <c r="D631465" s="2"/>
      <c r="E631465" s="2"/>
      <c r="F631465" s="2"/>
      <c r="G631465" s="2"/>
      <c r="H631465" s="2"/>
    </row>
    <row r="631714" spans="3:8" ht="15.6" x14ac:dyDescent="0.25">
      <c r="C631714" s="2"/>
      <c r="D631714" s="2"/>
      <c r="E631714" s="2"/>
      <c r="F631714" s="2"/>
      <c r="G631714" s="2"/>
      <c r="H631714" s="2"/>
    </row>
    <row r="631963" spans="3:8" ht="15.6" x14ac:dyDescent="0.25">
      <c r="C631963" s="2"/>
      <c r="D631963" s="2"/>
      <c r="E631963" s="2"/>
      <c r="F631963" s="2"/>
      <c r="G631963" s="2"/>
      <c r="H631963" s="2"/>
    </row>
    <row r="632212" spans="3:8" ht="15.6" x14ac:dyDescent="0.25">
      <c r="C632212" s="2"/>
      <c r="D632212" s="2"/>
      <c r="E632212" s="2"/>
      <c r="F632212" s="2"/>
      <c r="G632212" s="2"/>
      <c r="H632212" s="2"/>
    </row>
    <row r="632461" spans="3:8" ht="15.6" x14ac:dyDescent="0.25">
      <c r="C632461" s="2"/>
      <c r="D632461" s="2"/>
      <c r="E632461" s="2"/>
      <c r="F632461" s="2"/>
      <c r="G632461" s="2"/>
      <c r="H632461" s="2"/>
    </row>
    <row r="632710" spans="3:8" ht="15.6" x14ac:dyDescent="0.25">
      <c r="C632710" s="2"/>
      <c r="D632710" s="2"/>
      <c r="E632710" s="2"/>
      <c r="F632710" s="2"/>
      <c r="G632710" s="2"/>
      <c r="H632710" s="2"/>
    </row>
    <row r="632959" spans="3:8" ht="15.6" x14ac:dyDescent="0.25">
      <c r="C632959" s="2"/>
      <c r="D632959" s="2"/>
      <c r="E632959" s="2"/>
      <c r="F632959" s="2"/>
      <c r="G632959" s="2"/>
      <c r="H632959" s="2"/>
    </row>
    <row r="633208" spans="3:8" ht="15.6" x14ac:dyDescent="0.25">
      <c r="C633208" s="2"/>
      <c r="D633208" s="2"/>
      <c r="E633208" s="2"/>
      <c r="F633208" s="2"/>
      <c r="G633208" s="2"/>
      <c r="H633208" s="2"/>
    </row>
    <row r="633457" spans="3:8" ht="15.6" x14ac:dyDescent="0.25">
      <c r="C633457" s="2"/>
      <c r="D633457" s="2"/>
      <c r="E633457" s="2"/>
      <c r="F633457" s="2"/>
      <c r="G633457" s="2"/>
      <c r="H633457" s="2"/>
    </row>
    <row r="633706" spans="3:8" ht="15.6" x14ac:dyDescent="0.25">
      <c r="C633706" s="2"/>
      <c r="D633706" s="2"/>
      <c r="E633706" s="2"/>
      <c r="F633706" s="2"/>
      <c r="G633706" s="2"/>
      <c r="H633706" s="2"/>
    </row>
    <row r="633955" spans="3:8" ht="15.6" x14ac:dyDescent="0.25">
      <c r="C633955" s="2"/>
      <c r="D633955" s="2"/>
      <c r="E633955" s="2"/>
      <c r="F633955" s="2"/>
      <c r="G633955" s="2"/>
      <c r="H633955" s="2"/>
    </row>
    <row r="634204" spans="3:8" ht="15.6" x14ac:dyDescent="0.25">
      <c r="C634204" s="2"/>
      <c r="D634204" s="2"/>
      <c r="E634204" s="2"/>
      <c r="F634204" s="2"/>
      <c r="G634204" s="2"/>
      <c r="H634204" s="2"/>
    </row>
    <row r="634453" spans="3:8" ht="15.6" x14ac:dyDescent="0.25">
      <c r="C634453" s="2"/>
      <c r="D634453" s="2"/>
      <c r="E634453" s="2"/>
      <c r="F634453" s="2"/>
      <c r="G634453" s="2"/>
      <c r="H634453" s="2"/>
    </row>
    <row r="634702" spans="3:8" ht="15.6" x14ac:dyDescent="0.25">
      <c r="C634702" s="2"/>
      <c r="D634702" s="2"/>
      <c r="E634702" s="2"/>
      <c r="F634702" s="2"/>
      <c r="G634702" s="2"/>
      <c r="H634702" s="2"/>
    </row>
    <row r="634951" spans="3:8" ht="15.6" x14ac:dyDescent="0.25">
      <c r="C634951" s="2"/>
      <c r="D634951" s="2"/>
      <c r="E634951" s="2"/>
      <c r="F634951" s="2"/>
      <c r="G634951" s="2"/>
      <c r="H634951" s="2"/>
    </row>
    <row r="635200" spans="3:8" ht="15.6" x14ac:dyDescent="0.25">
      <c r="C635200" s="2"/>
      <c r="D635200" s="2"/>
      <c r="E635200" s="2"/>
      <c r="F635200" s="2"/>
      <c r="G635200" s="2"/>
      <c r="H635200" s="2"/>
    </row>
    <row r="635449" spans="3:8" ht="15.6" x14ac:dyDescent="0.25">
      <c r="C635449" s="2"/>
      <c r="D635449" s="2"/>
      <c r="E635449" s="2"/>
      <c r="F635449" s="2"/>
      <c r="G635449" s="2"/>
      <c r="H635449" s="2"/>
    </row>
    <row r="635698" spans="3:8" ht="15.6" x14ac:dyDescent="0.25">
      <c r="C635698" s="2"/>
      <c r="D635698" s="2"/>
      <c r="E635698" s="2"/>
      <c r="F635698" s="2"/>
      <c r="G635698" s="2"/>
      <c r="H635698" s="2"/>
    </row>
    <row r="635947" spans="3:8" ht="15.6" x14ac:dyDescent="0.25">
      <c r="C635947" s="2"/>
      <c r="D635947" s="2"/>
      <c r="E635947" s="2"/>
      <c r="F635947" s="2"/>
      <c r="G635947" s="2"/>
      <c r="H635947" s="2"/>
    </row>
    <row r="636196" spans="3:8" ht="15.6" x14ac:dyDescent="0.25">
      <c r="C636196" s="2"/>
      <c r="D636196" s="2"/>
      <c r="E636196" s="2"/>
      <c r="F636196" s="2"/>
      <c r="G636196" s="2"/>
      <c r="H636196" s="2"/>
    </row>
    <row r="636445" spans="3:8" ht="15.6" x14ac:dyDescent="0.25">
      <c r="C636445" s="2"/>
      <c r="D636445" s="2"/>
      <c r="E636445" s="2"/>
      <c r="F636445" s="2"/>
      <c r="G636445" s="2"/>
      <c r="H636445" s="2"/>
    </row>
    <row r="636694" spans="3:8" ht="15.6" x14ac:dyDescent="0.25">
      <c r="C636694" s="2"/>
      <c r="D636694" s="2"/>
      <c r="E636694" s="2"/>
      <c r="F636694" s="2"/>
      <c r="G636694" s="2"/>
      <c r="H636694" s="2"/>
    </row>
    <row r="636943" spans="3:8" ht="15.6" x14ac:dyDescent="0.25">
      <c r="C636943" s="2"/>
      <c r="D636943" s="2"/>
      <c r="E636943" s="2"/>
      <c r="F636943" s="2"/>
      <c r="G636943" s="2"/>
      <c r="H636943" s="2"/>
    </row>
    <row r="637192" spans="3:8" ht="15.6" x14ac:dyDescent="0.25">
      <c r="C637192" s="2"/>
      <c r="D637192" s="2"/>
      <c r="E637192" s="2"/>
      <c r="F637192" s="2"/>
      <c r="G637192" s="2"/>
      <c r="H637192" s="2"/>
    </row>
    <row r="637441" spans="3:8" ht="15.6" x14ac:dyDescent="0.25">
      <c r="C637441" s="2"/>
      <c r="D637441" s="2"/>
      <c r="E637441" s="2"/>
      <c r="F637441" s="2"/>
      <c r="G637441" s="2"/>
      <c r="H637441" s="2"/>
    </row>
    <row r="637690" spans="3:8" ht="15.6" x14ac:dyDescent="0.25">
      <c r="C637690" s="2"/>
      <c r="D637690" s="2"/>
      <c r="E637690" s="2"/>
      <c r="F637690" s="2"/>
      <c r="G637690" s="2"/>
      <c r="H637690" s="2"/>
    </row>
    <row r="637939" spans="3:8" ht="15.6" x14ac:dyDescent="0.25">
      <c r="C637939" s="2"/>
      <c r="D637939" s="2"/>
      <c r="E637939" s="2"/>
      <c r="F637939" s="2"/>
      <c r="G637939" s="2"/>
      <c r="H637939" s="2"/>
    </row>
    <row r="638188" spans="3:8" ht="15.6" x14ac:dyDescent="0.25">
      <c r="C638188" s="2"/>
      <c r="D638188" s="2"/>
      <c r="E638188" s="2"/>
      <c r="F638188" s="2"/>
      <c r="G638188" s="2"/>
      <c r="H638188" s="2"/>
    </row>
    <row r="638437" spans="3:8" ht="15.6" x14ac:dyDescent="0.25">
      <c r="C638437" s="2"/>
      <c r="D638437" s="2"/>
      <c r="E638437" s="2"/>
      <c r="F638437" s="2"/>
      <c r="G638437" s="2"/>
      <c r="H638437" s="2"/>
    </row>
    <row r="638686" spans="3:8" ht="15.6" x14ac:dyDescent="0.25">
      <c r="C638686" s="2"/>
      <c r="D638686" s="2"/>
      <c r="E638686" s="2"/>
      <c r="F638686" s="2"/>
      <c r="G638686" s="2"/>
      <c r="H638686" s="2"/>
    </row>
    <row r="638935" spans="3:8" ht="15.6" x14ac:dyDescent="0.25">
      <c r="C638935" s="2"/>
      <c r="D638935" s="2"/>
      <c r="E638935" s="2"/>
      <c r="F638935" s="2"/>
      <c r="G638935" s="2"/>
      <c r="H638935" s="2"/>
    </row>
    <row r="639184" spans="3:8" ht="15.6" x14ac:dyDescent="0.25">
      <c r="C639184" s="2"/>
      <c r="D639184" s="2"/>
      <c r="E639184" s="2"/>
      <c r="F639184" s="2"/>
      <c r="G639184" s="2"/>
      <c r="H639184" s="2"/>
    </row>
    <row r="639433" spans="3:8" ht="15.6" x14ac:dyDescent="0.25">
      <c r="C639433" s="2"/>
      <c r="D639433" s="2"/>
      <c r="E639433" s="2"/>
      <c r="F639433" s="2"/>
      <c r="G639433" s="2"/>
      <c r="H639433" s="2"/>
    </row>
    <row r="639682" spans="3:8" ht="15.6" x14ac:dyDescent="0.25">
      <c r="C639682" s="2"/>
      <c r="D639682" s="2"/>
      <c r="E639682" s="2"/>
      <c r="F639682" s="2"/>
      <c r="G639682" s="2"/>
      <c r="H639682" s="2"/>
    </row>
    <row r="639931" spans="3:8" ht="15.6" x14ac:dyDescent="0.25">
      <c r="C639931" s="2"/>
      <c r="D639931" s="2"/>
      <c r="E639931" s="2"/>
      <c r="F639931" s="2"/>
      <c r="G639931" s="2"/>
      <c r="H639931" s="2"/>
    </row>
    <row r="640180" spans="3:8" ht="15.6" x14ac:dyDescent="0.25">
      <c r="C640180" s="2"/>
      <c r="D640180" s="2"/>
      <c r="E640180" s="2"/>
      <c r="F640180" s="2"/>
      <c r="G640180" s="2"/>
      <c r="H640180" s="2"/>
    </row>
    <row r="640429" spans="3:8" ht="15.6" x14ac:dyDescent="0.25">
      <c r="C640429" s="2"/>
      <c r="D640429" s="2"/>
      <c r="E640429" s="2"/>
      <c r="F640429" s="2"/>
      <c r="G640429" s="2"/>
      <c r="H640429" s="2"/>
    </row>
    <row r="640678" spans="3:8" ht="15.6" x14ac:dyDescent="0.25">
      <c r="C640678" s="2"/>
      <c r="D640678" s="2"/>
      <c r="E640678" s="2"/>
      <c r="F640678" s="2"/>
      <c r="G640678" s="2"/>
      <c r="H640678" s="2"/>
    </row>
    <row r="640927" spans="3:8" ht="15.6" x14ac:dyDescent="0.25">
      <c r="C640927" s="2"/>
      <c r="D640927" s="2"/>
      <c r="E640927" s="2"/>
      <c r="F640927" s="2"/>
      <c r="G640927" s="2"/>
      <c r="H640927" s="2"/>
    </row>
    <row r="641176" spans="3:8" ht="15.6" x14ac:dyDescent="0.25">
      <c r="C641176" s="2"/>
      <c r="D641176" s="2"/>
      <c r="E641176" s="2"/>
      <c r="F641176" s="2"/>
      <c r="G641176" s="2"/>
      <c r="H641176" s="2"/>
    </row>
    <row r="641425" spans="3:8" ht="15.6" x14ac:dyDescent="0.25">
      <c r="C641425" s="2"/>
      <c r="D641425" s="2"/>
      <c r="E641425" s="2"/>
      <c r="F641425" s="2"/>
      <c r="G641425" s="2"/>
      <c r="H641425" s="2"/>
    </row>
    <row r="641674" spans="3:8" ht="15.6" x14ac:dyDescent="0.25">
      <c r="C641674" s="2"/>
      <c r="D641674" s="2"/>
      <c r="E641674" s="2"/>
      <c r="F641674" s="2"/>
      <c r="G641674" s="2"/>
      <c r="H641674" s="2"/>
    </row>
    <row r="641923" spans="3:8" ht="15.6" x14ac:dyDescent="0.25">
      <c r="C641923" s="2"/>
      <c r="D641923" s="2"/>
      <c r="E641923" s="2"/>
      <c r="F641923" s="2"/>
      <c r="G641923" s="2"/>
      <c r="H641923" s="2"/>
    </row>
    <row r="642172" spans="3:8" ht="15.6" x14ac:dyDescent="0.25">
      <c r="C642172" s="2"/>
      <c r="D642172" s="2"/>
      <c r="E642172" s="2"/>
      <c r="F642172" s="2"/>
      <c r="G642172" s="2"/>
      <c r="H642172" s="2"/>
    </row>
    <row r="642421" spans="3:8" ht="15.6" x14ac:dyDescent="0.25">
      <c r="C642421" s="2"/>
      <c r="D642421" s="2"/>
      <c r="E642421" s="2"/>
      <c r="F642421" s="2"/>
      <c r="G642421" s="2"/>
      <c r="H642421" s="2"/>
    </row>
    <row r="642670" spans="3:8" ht="15.6" x14ac:dyDescent="0.25">
      <c r="C642670" s="2"/>
      <c r="D642670" s="2"/>
      <c r="E642670" s="2"/>
      <c r="F642670" s="2"/>
      <c r="G642670" s="2"/>
      <c r="H642670" s="2"/>
    </row>
    <row r="642919" spans="3:8" ht="15.6" x14ac:dyDescent="0.25">
      <c r="C642919" s="2"/>
      <c r="D642919" s="2"/>
      <c r="E642919" s="2"/>
      <c r="F642919" s="2"/>
      <c r="G642919" s="2"/>
      <c r="H642919" s="2"/>
    </row>
    <row r="643168" spans="3:8" ht="15.6" x14ac:dyDescent="0.25">
      <c r="C643168" s="2"/>
      <c r="D643168" s="2"/>
      <c r="E643168" s="2"/>
      <c r="F643168" s="2"/>
      <c r="G643168" s="2"/>
      <c r="H643168" s="2"/>
    </row>
    <row r="643417" spans="3:8" ht="15.6" x14ac:dyDescent="0.25">
      <c r="C643417" s="2"/>
      <c r="D643417" s="2"/>
      <c r="E643417" s="2"/>
      <c r="F643417" s="2"/>
      <c r="G643417" s="2"/>
      <c r="H643417" s="2"/>
    </row>
    <row r="643666" spans="3:8" ht="15.6" x14ac:dyDescent="0.25">
      <c r="C643666" s="2"/>
      <c r="D643666" s="2"/>
      <c r="E643666" s="2"/>
      <c r="F643666" s="2"/>
      <c r="G643666" s="2"/>
      <c r="H643666" s="2"/>
    </row>
    <row r="643915" spans="3:8" ht="15.6" x14ac:dyDescent="0.25">
      <c r="C643915" s="2"/>
      <c r="D643915" s="2"/>
      <c r="E643915" s="2"/>
      <c r="F643915" s="2"/>
      <c r="G643915" s="2"/>
      <c r="H643915" s="2"/>
    </row>
    <row r="644164" spans="3:8" ht="15.6" x14ac:dyDescent="0.25">
      <c r="C644164" s="2"/>
      <c r="D644164" s="2"/>
      <c r="E644164" s="2"/>
      <c r="F644164" s="2"/>
      <c r="G644164" s="2"/>
      <c r="H644164" s="2"/>
    </row>
    <row r="644413" spans="3:8" ht="15.6" x14ac:dyDescent="0.25">
      <c r="C644413" s="2"/>
      <c r="D644413" s="2"/>
      <c r="E644413" s="2"/>
      <c r="F644413" s="2"/>
      <c r="G644413" s="2"/>
      <c r="H644413" s="2"/>
    </row>
    <row r="644662" spans="3:8" ht="15.6" x14ac:dyDescent="0.25">
      <c r="C644662" s="2"/>
      <c r="D644662" s="2"/>
      <c r="E644662" s="2"/>
      <c r="F644662" s="2"/>
      <c r="G644662" s="2"/>
      <c r="H644662" s="2"/>
    </row>
    <row r="644911" spans="3:8" ht="15.6" x14ac:dyDescent="0.25">
      <c r="C644911" s="2"/>
      <c r="D644911" s="2"/>
      <c r="E644911" s="2"/>
      <c r="F644911" s="2"/>
      <c r="G644911" s="2"/>
      <c r="H644911" s="2"/>
    </row>
    <row r="645160" spans="3:8" ht="15.6" x14ac:dyDescent="0.25">
      <c r="C645160" s="2"/>
      <c r="D645160" s="2"/>
      <c r="E645160" s="2"/>
      <c r="F645160" s="2"/>
      <c r="G645160" s="2"/>
      <c r="H645160" s="2"/>
    </row>
    <row r="645409" spans="3:8" ht="15.6" x14ac:dyDescent="0.25">
      <c r="C645409" s="2"/>
      <c r="D645409" s="2"/>
      <c r="E645409" s="2"/>
      <c r="F645409" s="2"/>
      <c r="G645409" s="2"/>
      <c r="H645409" s="2"/>
    </row>
    <row r="645658" spans="3:8" ht="15.6" x14ac:dyDescent="0.25">
      <c r="C645658" s="2"/>
      <c r="D645658" s="2"/>
      <c r="E645658" s="2"/>
      <c r="F645658" s="2"/>
      <c r="G645658" s="2"/>
      <c r="H645658" s="2"/>
    </row>
    <row r="645907" spans="3:8" ht="15.6" x14ac:dyDescent="0.25">
      <c r="C645907" s="2"/>
      <c r="D645907" s="2"/>
      <c r="E645907" s="2"/>
      <c r="F645907" s="2"/>
      <c r="G645907" s="2"/>
      <c r="H645907" s="2"/>
    </row>
    <row r="646156" spans="3:8" ht="15.6" x14ac:dyDescent="0.25">
      <c r="C646156" s="2"/>
      <c r="D646156" s="2"/>
      <c r="E646156" s="2"/>
      <c r="F646156" s="2"/>
      <c r="G646156" s="2"/>
      <c r="H646156" s="2"/>
    </row>
    <row r="646405" spans="3:8" ht="15.6" x14ac:dyDescent="0.25">
      <c r="C646405" s="2"/>
      <c r="D646405" s="2"/>
      <c r="E646405" s="2"/>
      <c r="F646405" s="2"/>
      <c r="G646405" s="2"/>
      <c r="H646405" s="2"/>
    </row>
    <row r="646654" spans="3:8" ht="15.6" x14ac:dyDescent="0.25">
      <c r="C646654" s="2"/>
      <c r="D646654" s="2"/>
      <c r="E646654" s="2"/>
      <c r="F646654" s="2"/>
      <c r="G646654" s="2"/>
      <c r="H646654" s="2"/>
    </row>
    <row r="646903" spans="3:8" ht="15.6" x14ac:dyDescent="0.25">
      <c r="C646903" s="2"/>
      <c r="D646903" s="2"/>
      <c r="E646903" s="2"/>
      <c r="F646903" s="2"/>
      <c r="G646903" s="2"/>
      <c r="H646903" s="2"/>
    </row>
    <row r="647152" spans="3:8" ht="15.6" x14ac:dyDescent="0.25">
      <c r="C647152" s="2"/>
      <c r="D647152" s="2"/>
      <c r="E647152" s="2"/>
      <c r="F647152" s="2"/>
      <c r="G647152" s="2"/>
      <c r="H647152" s="2"/>
    </row>
    <row r="647401" spans="3:8" ht="15.6" x14ac:dyDescent="0.25">
      <c r="C647401" s="2"/>
      <c r="D647401" s="2"/>
      <c r="E647401" s="2"/>
      <c r="F647401" s="2"/>
      <c r="G647401" s="2"/>
      <c r="H647401" s="2"/>
    </row>
    <row r="647650" spans="3:8" ht="15.6" x14ac:dyDescent="0.25">
      <c r="C647650" s="2"/>
      <c r="D647650" s="2"/>
      <c r="E647650" s="2"/>
      <c r="F647650" s="2"/>
      <c r="G647650" s="2"/>
      <c r="H647650" s="2"/>
    </row>
    <row r="647899" spans="3:8" ht="15.6" x14ac:dyDescent="0.25">
      <c r="C647899" s="2"/>
      <c r="D647899" s="2"/>
      <c r="E647899" s="2"/>
      <c r="F647899" s="2"/>
      <c r="G647899" s="2"/>
      <c r="H647899" s="2"/>
    </row>
    <row r="648148" spans="3:8" ht="15.6" x14ac:dyDescent="0.25">
      <c r="C648148" s="2"/>
      <c r="D648148" s="2"/>
      <c r="E648148" s="2"/>
      <c r="F648148" s="2"/>
      <c r="G648148" s="2"/>
      <c r="H648148" s="2"/>
    </row>
    <row r="648397" spans="3:8" ht="15.6" x14ac:dyDescent="0.25">
      <c r="C648397" s="2"/>
      <c r="D648397" s="2"/>
      <c r="E648397" s="2"/>
      <c r="F648397" s="2"/>
      <c r="G648397" s="2"/>
      <c r="H648397" s="2"/>
    </row>
    <row r="648646" spans="3:8" ht="15.6" x14ac:dyDescent="0.25">
      <c r="C648646" s="2"/>
      <c r="D648646" s="2"/>
      <c r="E648646" s="2"/>
      <c r="F648646" s="2"/>
      <c r="G648646" s="2"/>
      <c r="H648646" s="2"/>
    </row>
    <row r="648895" spans="3:8" ht="15.6" x14ac:dyDescent="0.25">
      <c r="C648895" s="2"/>
      <c r="D648895" s="2"/>
      <c r="E648895" s="2"/>
      <c r="F648895" s="2"/>
      <c r="G648895" s="2"/>
      <c r="H648895" s="2"/>
    </row>
    <row r="649144" spans="3:8" ht="15.6" x14ac:dyDescent="0.25">
      <c r="C649144" s="2"/>
      <c r="D649144" s="2"/>
      <c r="E649144" s="2"/>
      <c r="F649144" s="2"/>
      <c r="G649144" s="2"/>
      <c r="H649144" s="2"/>
    </row>
    <row r="649393" spans="3:8" ht="15.6" x14ac:dyDescent="0.25">
      <c r="C649393" s="2"/>
      <c r="D649393" s="2"/>
      <c r="E649393" s="2"/>
      <c r="F649393" s="2"/>
      <c r="G649393" s="2"/>
      <c r="H649393" s="2"/>
    </row>
    <row r="649642" spans="3:8" ht="15.6" x14ac:dyDescent="0.25">
      <c r="C649642" s="2"/>
      <c r="D649642" s="2"/>
      <c r="E649642" s="2"/>
      <c r="F649642" s="2"/>
      <c r="G649642" s="2"/>
      <c r="H649642" s="2"/>
    </row>
    <row r="649891" spans="3:8" ht="15.6" x14ac:dyDescent="0.25">
      <c r="C649891" s="2"/>
      <c r="D649891" s="2"/>
      <c r="E649891" s="2"/>
      <c r="F649891" s="2"/>
      <c r="G649891" s="2"/>
      <c r="H649891" s="2"/>
    </row>
    <row r="650140" spans="3:8" ht="15.6" x14ac:dyDescent="0.25">
      <c r="C650140" s="2"/>
      <c r="D650140" s="2"/>
      <c r="E650140" s="2"/>
      <c r="F650140" s="2"/>
      <c r="G650140" s="2"/>
      <c r="H650140" s="2"/>
    </row>
    <row r="650389" spans="3:8" ht="15.6" x14ac:dyDescent="0.25">
      <c r="C650389" s="2"/>
      <c r="D650389" s="2"/>
      <c r="E650389" s="2"/>
      <c r="F650389" s="2"/>
      <c r="G650389" s="2"/>
      <c r="H650389" s="2"/>
    </row>
    <row r="650638" spans="3:8" ht="15.6" x14ac:dyDescent="0.25">
      <c r="C650638" s="2"/>
      <c r="D650638" s="2"/>
      <c r="E650638" s="2"/>
      <c r="F650638" s="2"/>
      <c r="G650638" s="2"/>
      <c r="H650638" s="2"/>
    </row>
    <row r="650887" spans="3:8" ht="15.6" x14ac:dyDescent="0.25">
      <c r="C650887" s="2"/>
      <c r="D650887" s="2"/>
      <c r="E650887" s="2"/>
      <c r="F650887" s="2"/>
      <c r="G650887" s="2"/>
      <c r="H650887" s="2"/>
    </row>
    <row r="651136" spans="3:8" ht="15.6" x14ac:dyDescent="0.25">
      <c r="C651136" s="2"/>
      <c r="D651136" s="2"/>
      <c r="E651136" s="2"/>
      <c r="F651136" s="2"/>
      <c r="G651136" s="2"/>
      <c r="H651136" s="2"/>
    </row>
    <row r="651385" spans="3:8" ht="15.6" x14ac:dyDescent="0.25">
      <c r="C651385" s="2"/>
      <c r="D651385" s="2"/>
      <c r="E651385" s="2"/>
      <c r="F651385" s="2"/>
      <c r="G651385" s="2"/>
      <c r="H651385" s="2"/>
    </row>
    <row r="651634" spans="3:8" ht="15.6" x14ac:dyDescent="0.25">
      <c r="C651634" s="2"/>
      <c r="D651634" s="2"/>
      <c r="E651634" s="2"/>
      <c r="F651634" s="2"/>
      <c r="G651634" s="2"/>
      <c r="H651634" s="2"/>
    </row>
    <row r="651883" spans="3:8" ht="15.6" x14ac:dyDescent="0.25">
      <c r="C651883" s="2"/>
      <c r="D651883" s="2"/>
      <c r="E651883" s="2"/>
      <c r="F651883" s="2"/>
      <c r="G651883" s="2"/>
      <c r="H651883" s="2"/>
    </row>
    <row r="652132" spans="3:8" ht="15.6" x14ac:dyDescent="0.25">
      <c r="C652132" s="2"/>
      <c r="D652132" s="2"/>
      <c r="E652132" s="2"/>
      <c r="F652132" s="2"/>
      <c r="G652132" s="2"/>
      <c r="H652132" s="2"/>
    </row>
    <row r="652381" spans="3:8" ht="15.6" x14ac:dyDescent="0.25">
      <c r="C652381" s="2"/>
      <c r="D652381" s="2"/>
      <c r="E652381" s="2"/>
      <c r="F652381" s="2"/>
      <c r="G652381" s="2"/>
      <c r="H652381" s="2"/>
    </row>
    <row r="652630" spans="3:8" ht="15.6" x14ac:dyDescent="0.25">
      <c r="C652630" s="2"/>
      <c r="D652630" s="2"/>
      <c r="E652630" s="2"/>
      <c r="F652630" s="2"/>
      <c r="G652630" s="2"/>
      <c r="H652630" s="2"/>
    </row>
    <row r="652879" spans="3:8" ht="15.6" x14ac:dyDescent="0.25">
      <c r="C652879" s="2"/>
      <c r="D652879" s="2"/>
      <c r="E652879" s="2"/>
      <c r="F652879" s="2"/>
      <c r="G652879" s="2"/>
      <c r="H652879" s="2"/>
    </row>
    <row r="653128" spans="3:8" ht="15.6" x14ac:dyDescent="0.25">
      <c r="C653128" s="2"/>
      <c r="D653128" s="2"/>
      <c r="E653128" s="2"/>
      <c r="F653128" s="2"/>
      <c r="G653128" s="2"/>
      <c r="H653128" s="2"/>
    </row>
    <row r="653377" spans="3:8" ht="15.6" x14ac:dyDescent="0.25">
      <c r="C653377" s="2"/>
      <c r="D653377" s="2"/>
      <c r="E653377" s="2"/>
      <c r="F653377" s="2"/>
      <c r="G653377" s="2"/>
      <c r="H653377" s="2"/>
    </row>
    <row r="653626" spans="3:8" ht="15.6" x14ac:dyDescent="0.25">
      <c r="C653626" s="2"/>
      <c r="D653626" s="2"/>
      <c r="E653626" s="2"/>
      <c r="F653626" s="2"/>
      <c r="G653626" s="2"/>
      <c r="H653626" s="2"/>
    </row>
    <row r="653875" spans="3:8" ht="15.6" x14ac:dyDescent="0.25">
      <c r="C653875" s="2"/>
      <c r="D653875" s="2"/>
      <c r="E653875" s="2"/>
      <c r="F653875" s="2"/>
      <c r="G653875" s="2"/>
      <c r="H653875" s="2"/>
    </row>
    <row r="654124" spans="3:8" ht="15.6" x14ac:dyDescent="0.25">
      <c r="C654124" s="2"/>
      <c r="D654124" s="2"/>
      <c r="E654124" s="2"/>
      <c r="F654124" s="2"/>
      <c r="G654124" s="2"/>
      <c r="H654124" s="2"/>
    </row>
    <row r="654373" spans="3:8" ht="15.6" x14ac:dyDescent="0.25">
      <c r="C654373" s="2"/>
      <c r="D654373" s="2"/>
      <c r="E654373" s="2"/>
      <c r="F654373" s="2"/>
      <c r="G654373" s="2"/>
      <c r="H654373" s="2"/>
    </row>
    <row r="654622" spans="3:8" ht="15.6" x14ac:dyDescent="0.25">
      <c r="C654622" s="2"/>
      <c r="D654622" s="2"/>
      <c r="E654622" s="2"/>
      <c r="F654622" s="2"/>
      <c r="G654622" s="2"/>
      <c r="H654622" s="2"/>
    </row>
    <row r="654871" spans="3:8" ht="15.6" x14ac:dyDescent="0.25">
      <c r="C654871" s="2"/>
      <c r="D654871" s="2"/>
      <c r="E654871" s="2"/>
      <c r="F654871" s="2"/>
      <c r="G654871" s="2"/>
      <c r="H654871" s="2"/>
    </row>
    <row r="655120" spans="3:8" ht="15.6" x14ac:dyDescent="0.25">
      <c r="C655120" s="2"/>
      <c r="D655120" s="2"/>
      <c r="E655120" s="2"/>
      <c r="F655120" s="2"/>
      <c r="G655120" s="2"/>
      <c r="H655120" s="2"/>
    </row>
    <row r="655369" spans="3:8" ht="15.6" x14ac:dyDescent="0.25">
      <c r="C655369" s="2"/>
      <c r="D655369" s="2"/>
      <c r="E655369" s="2"/>
      <c r="F655369" s="2"/>
      <c r="G655369" s="2"/>
      <c r="H655369" s="2"/>
    </row>
    <row r="655618" spans="3:8" ht="15.6" x14ac:dyDescent="0.25">
      <c r="C655618" s="2"/>
      <c r="D655618" s="2"/>
      <c r="E655618" s="2"/>
      <c r="F655618" s="2"/>
      <c r="G655618" s="2"/>
      <c r="H655618" s="2"/>
    </row>
    <row r="655867" spans="3:8" ht="15.6" x14ac:dyDescent="0.25">
      <c r="C655867" s="2"/>
      <c r="D655867" s="2"/>
      <c r="E655867" s="2"/>
      <c r="F655867" s="2"/>
      <c r="G655867" s="2"/>
      <c r="H655867" s="2"/>
    </row>
    <row r="656116" spans="3:8" ht="15.6" x14ac:dyDescent="0.25">
      <c r="C656116" s="2"/>
      <c r="D656116" s="2"/>
      <c r="E656116" s="2"/>
      <c r="F656116" s="2"/>
      <c r="G656116" s="2"/>
      <c r="H656116" s="2"/>
    </row>
    <row r="656365" spans="3:8" ht="15.6" x14ac:dyDescent="0.25">
      <c r="C656365" s="2"/>
      <c r="D656365" s="2"/>
      <c r="E656365" s="2"/>
      <c r="F656365" s="2"/>
      <c r="G656365" s="2"/>
      <c r="H656365" s="2"/>
    </row>
    <row r="656614" spans="3:8" ht="15.6" x14ac:dyDescent="0.25">
      <c r="C656614" s="2"/>
      <c r="D656614" s="2"/>
      <c r="E656614" s="2"/>
      <c r="F656614" s="2"/>
      <c r="G656614" s="2"/>
      <c r="H656614" s="2"/>
    </row>
    <row r="656863" spans="3:8" ht="15.6" x14ac:dyDescent="0.25">
      <c r="C656863" s="2"/>
      <c r="D656863" s="2"/>
      <c r="E656863" s="2"/>
      <c r="F656863" s="2"/>
      <c r="G656863" s="2"/>
      <c r="H656863" s="2"/>
    </row>
    <row r="657112" spans="3:8" ht="15.6" x14ac:dyDescent="0.25">
      <c r="C657112" s="2"/>
      <c r="D657112" s="2"/>
      <c r="E657112" s="2"/>
      <c r="F657112" s="2"/>
      <c r="G657112" s="2"/>
      <c r="H657112" s="2"/>
    </row>
    <row r="657361" spans="3:8" ht="15.6" x14ac:dyDescent="0.25">
      <c r="C657361" s="2"/>
      <c r="D657361" s="2"/>
      <c r="E657361" s="2"/>
      <c r="F657361" s="2"/>
      <c r="G657361" s="2"/>
      <c r="H657361" s="2"/>
    </row>
    <row r="657610" spans="3:8" ht="15.6" x14ac:dyDescent="0.25">
      <c r="C657610" s="2"/>
      <c r="D657610" s="2"/>
      <c r="E657610" s="2"/>
      <c r="F657610" s="2"/>
      <c r="G657610" s="2"/>
      <c r="H657610" s="2"/>
    </row>
    <row r="657859" spans="3:8" ht="15.6" x14ac:dyDescent="0.25">
      <c r="C657859" s="2"/>
      <c r="D657859" s="2"/>
      <c r="E657859" s="2"/>
      <c r="F657859" s="2"/>
      <c r="G657859" s="2"/>
      <c r="H657859" s="2"/>
    </row>
    <row r="658108" spans="3:8" ht="15.6" x14ac:dyDescent="0.25">
      <c r="C658108" s="2"/>
      <c r="D658108" s="2"/>
      <c r="E658108" s="2"/>
      <c r="F658108" s="2"/>
      <c r="G658108" s="2"/>
      <c r="H658108" s="2"/>
    </row>
    <row r="658357" spans="3:8" ht="15.6" x14ac:dyDescent="0.25">
      <c r="C658357" s="2"/>
      <c r="D658357" s="2"/>
      <c r="E658357" s="2"/>
      <c r="F658357" s="2"/>
      <c r="G658357" s="2"/>
      <c r="H658357" s="2"/>
    </row>
    <row r="658606" spans="3:8" ht="15.6" x14ac:dyDescent="0.25">
      <c r="C658606" s="2"/>
      <c r="D658606" s="2"/>
      <c r="E658606" s="2"/>
      <c r="F658606" s="2"/>
      <c r="G658606" s="2"/>
      <c r="H658606" s="2"/>
    </row>
    <row r="658855" spans="3:8" ht="15.6" x14ac:dyDescent="0.25">
      <c r="C658855" s="2"/>
      <c r="D658855" s="2"/>
      <c r="E658855" s="2"/>
      <c r="F658855" s="2"/>
      <c r="G658855" s="2"/>
      <c r="H658855" s="2"/>
    </row>
    <row r="659104" spans="3:8" ht="15.6" x14ac:dyDescent="0.25">
      <c r="C659104" s="2"/>
      <c r="D659104" s="2"/>
      <c r="E659104" s="2"/>
      <c r="F659104" s="2"/>
      <c r="G659104" s="2"/>
      <c r="H659104" s="2"/>
    </row>
    <row r="659353" spans="3:8" ht="15.6" x14ac:dyDescent="0.25">
      <c r="C659353" s="2"/>
      <c r="D659353" s="2"/>
      <c r="E659353" s="2"/>
      <c r="F659353" s="2"/>
      <c r="G659353" s="2"/>
      <c r="H659353" s="2"/>
    </row>
    <row r="659602" spans="3:8" ht="15.6" x14ac:dyDescent="0.25">
      <c r="C659602" s="2"/>
      <c r="D659602" s="2"/>
      <c r="E659602" s="2"/>
      <c r="F659602" s="2"/>
      <c r="G659602" s="2"/>
      <c r="H659602" s="2"/>
    </row>
    <row r="659851" spans="3:8" ht="15.6" x14ac:dyDescent="0.25">
      <c r="C659851" s="2"/>
      <c r="D659851" s="2"/>
      <c r="E659851" s="2"/>
      <c r="F659851" s="2"/>
      <c r="G659851" s="2"/>
      <c r="H659851" s="2"/>
    </row>
    <row r="660100" spans="3:8" ht="15.6" x14ac:dyDescent="0.25">
      <c r="C660100" s="2"/>
      <c r="D660100" s="2"/>
      <c r="E660100" s="2"/>
      <c r="F660100" s="2"/>
      <c r="G660100" s="2"/>
      <c r="H660100" s="2"/>
    </row>
    <row r="660349" spans="3:8" ht="15.6" x14ac:dyDescent="0.25">
      <c r="C660349" s="2"/>
      <c r="D660349" s="2"/>
      <c r="E660349" s="2"/>
      <c r="F660349" s="2"/>
      <c r="G660349" s="2"/>
      <c r="H660349" s="2"/>
    </row>
    <row r="660598" spans="3:8" ht="15.6" x14ac:dyDescent="0.25">
      <c r="C660598" s="2"/>
      <c r="D660598" s="2"/>
      <c r="E660598" s="2"/>
      <c r="F660598" s="2"/>
      <c r="G660598" s="2"/>
      <c r="H660598" s="2"/>
    </row>
    <row r="660847" spans="3:8" ht="15.6" x14ac:dyDescent="0.25">
      <c r="C660847" s="2"/>
      <c r="D660847" s="2"/>
      <c r="E660847" s="2"/>
      <c r="F660847" s="2"/>
      <c r="G660847" s="2"/>
      <c r="H660847" s="2"/>
    </row>
    <row r="661096" spans="3:8" ht="15.6" x14ac:dyDescent="0.25">
      <c r="C661096" s="2"/>
      <c r="D661096" s="2"/>
      <c r="E661096" s="2"/>
      <c r="F661096" s="2"/>
      <c r="G661096" s="2"/>
      <c r="H661096" s="2"/>
    </row>
    <row r="661345" spans="3:8" ht="15.6" x14ac:dyDescent="0.25">
      <c r="C661345" s="2"/>
      <c r="D661345" s="2"/>
      <c r="E661345" s="2"/>
      <c r="F661345" s="2"/>
      <c r="G661345" s="2"/>
      <c r="H661345" s="2"/>
    </row>
    <row r="661594" spans="3:8" ht="15.6" x14ac:dyDescent="0.25">
      <c r="C661594" s="2"/>
      <c r="D661594" s="2"/>
      <c r="E661594" s="2"/>
      <c r="F661594" s="2"/>
      <c r="G661594" s="2"/>
      <c r="H661594" s="2"/>
    </row>
    <row r="661843" spans="3:8" ht="15.6" x14ac:dyDescent="0.25">
      <c r="C661843" s="2"/>
      <c r="D661843" s="2"/>
      <c r="E661843" s="2"/>
      <c r="F661843" s="2"/>
      <c r="G661843" s="2"/>
      <c r="H661843" s="2"/>
    </row>
    <row r="662092" spans="3:8" ht="15.6" x14ac:dyDescent="0.25">
      <c r="C662092" s="2"/>
      <c r="D662092" s="2"/>
      <c r="E662092" s="2"/>
      <c r="F662092" s="2"/>
      <c r="G662092" s="2"/>
      <c r="H662092" s="2"/>
    </row>
    <row r="662341" spans="3:8" ht="15.6" x14ac:dyDescent="0.25">
      <c r="C662341" s="2"/>
      <c r="D662341" s="2"/>
      <c r="E662341" s="2"/>
      <c r="F662341" s="2"/>
      <c r="G662341" s="2"/>
      <c r="H662341" s="2"/>
    </row>
    <row r="662590" spans="3:8" ht="15.6" x14ac:dyDescent="0.25">
      <c r="C662590" s="2"/>
      <c r="D662590" s="2"/>
      <c r="E662590" s="2"/>
      <c r="F662590" s="2"/>
      <c r="G662590" s="2"/>
      <c r="H662590" s="2"/>
    </row>
    <row r="662839" spans="3:8" ht="15.6" x14ac:dyDescent="0.25">
      <c r="C662839" s="2"/>
      <c r="D662839" s="2"/>
      <c r="E662839" s="2"/>
      <c r="F662839" s="2"/>
      <c r="G662839" s="2"/>
      <c r="H662839" s="2"/>
    </row>
    <row r="663088" spans="3:8" ht="15.6" x14ac:dyDescent="0.25">
      <c r="C663088" s="2"/>
      <c r="D663088" s="2"/>
      <c r="E663088" s="2"/>
      <c r="F663088" s="2"/>
      <c r="G663088" s="2"/>
      <c r="H663088" s="2"/>
    </row>
    <row r="663337" spans="3:8" ht="15.6" x14ac:dyDescent="0.25">
      <c r="C663337" s="2"/>
      <c r="D663337" s="2"/>
      <c r="E663337" s="2"/>
      <c r="F663337" s="2"/>
      <c r="G663337" s="2"/>
      <c r="H663337" s="2"/>
    </row>
    <row r="663586" spans="3:8" ht="15.6" x14ac:dyDescent="0.25">
      <c r="C663586" s="2"/>
      <c r="D663586" s="2"/>
      <c r="E663586" s="2"/>
      <c r="F663586" s="2"/>
      <c r="G663586" s="2"/>
      <c r="H663586" s="2"/>
    </row>
    <row r="663835" spans="3:8" ht="15.6" x14ac:dyDescent="0.25">
      <c r="C663835" s="2"/>
      <c r="D663835" s="2"/>
      <c r="E663835" s="2"/>
      <c r="F663835" s="2"/>
      <c r="G663835" s="2"/>
      <c r="H663835" s="2"/>
    </row>
    <row r="664084" spans="3:8" ht="15.6" x14ac:dyDescent="0.25">
      <c r="C664084" s="2"/>
      <c r="D664084" s="2"/>
      <c r="E664084" s="2"/>
      <c r="F664084" s="2"/>
      <c r="G664084" s="2"/>
      <c r="H664084" s="2"/>
    </row>
    <row r="664333" spans="3:8" ht="15.6" x14ac:dyDescent="0.25">
      <c r="C664333" s="2"/>
      <c r="D664333" s="2"/>
      <c r="E664333" s="2"/>
      <c r="F664333" s="2"/>
      <c r="G664333" s="2"/>
      <c r="H664333" s="2"/>
    </row>
    <row r="664582" spans="3:8" ht="15.6" x14ac:dyDescent="0.25">
      <c r="C664582" s="2"/>
      <c r="D664582" s="2"/>
      <c r="E664582" s="2"/>
      <c r="F664582" s="2"/>
      <c r="G664582" s="2"/>
      <c r="H664582" s="2"/>
    </row>
    <row r="664831" spans="3:8" ht="15.6" x14ac:dyDescent="0.25">
      <c r="C664831" s="2"/>
      <c r="D664831" s="2"/>
      <c r="E664831" s="2"/>
      <c r="F664831" s="2"/>
      <c r="G664831" s="2"/>
      <c r="H664831" s="2"/>
    </row>
    <row r="665080" spans="3:8" ht="15.6" x14ac:dyDescent="0.25">
      <c r="C665080" s="2"/>
      <c r="D665080" s="2"/>
      <c r="E665080" s="2"/>
      <c r="F665080" s="2"/>
      <c r="G665080" s="2"/>
      <c r="H665080" s="2"/>
    </row>
    <row r="665329" spans="3:8" ht="15.6" x14ac:dyDescent="0.25">
      <c r="C665329" s="2"/>
      <c r="D665329" s="2"/>
      <c r="E665329" s="2"/>
      <c r="F665329" s="2"/>
      <c r="G665329" s="2"/>
      <c r="H665329" s="2"/>
    </row>
    <row r="665578" spans="3:8" ht="15.6" x14ac:dyDescent="0.25">
      <c r="C665578" s="2"/>
      <c r="D665578" s="2"/>
      <c r="E665578" s="2"/>
      <c r="F665578" s="2"/>
      <c r="G665578" s="2"/>
      <c r="H665578" s="2"/>
    </row>
    <row r="665827" spans="3:8" ht="15.6" x14ac:dyDescent="0.25">
      <c r="C665827" s="2"/>
      <c r="D665827" s="2"/>
      <c r="E665827" s="2"/>
      <c r="F665827" s="2"/>
      <c r="G665827" s="2"/>
      <c r="H665827" s="2"/>
    </row>
    <row r="666076" spans="3:8" ht="15.6" x14ac:dyDescent="0.25">
      <c r="C666076" s="2"/>
      <c r="D666076" s="2"/>
      <c r="E666076" s="2"/>
      <c r="F666076" s="2"/>
      <c r="G666076" s="2"/>
      <c r="H666076" s="2"/>
    </row>
    <row r="666325" spans="3:8" ht="15.6" x14ac:dyDescent="0.25">
      <c r="C666325" s="2"/>
      <c r="D666325" s="2"/>
      <c r="E666325" s="2"/>
      <c r="F666325" s="2"/>
      <c r="G666325" s="2"/>
      <c r="H666325" s="2"/>
    </row>
    <row r="666574" spans="3:8" ht="15.6" x14ac:dyDescent="0.25">
      <c r="C666574" s="2"/>
      <c r="D666574" s="2"/>
      <c r="E666574" s="2"/>
      <c r="F666574" s="2"/>
      <c r="G666574" s="2"/>
      <c r="H666574" s="2"/>
    </row>
    <row r="666823" spans="3:8" ht="15.6" x14ac:dyDescent="0.25">
      <c r="C666823" s="2"/>
      <c r="D666823" s="2"/>
      <c r="E666823" s="2"/>
      <c r="F666823" s="2"/>
      <c r="G666823" s="2"/>
      <c r="H666823" s="2"/>
    </row>
    <row r="667072" spans="3:8" ht="15.6" x14ac:dyDescent="0.25">
      <c r="C667072" s="2"/>
      <c r="D667072" s="2"/>
      <c r="E667072" s="2"/>
      <c r="F667072" s="2"/>
      <c r="G667072" s="2"/>
      <c r="H667072" s="2"/>
    </row>
    <row r="667321" spans="3:8" ht="15.6" x14ac:dyDescent="0.25">
      <c r="C667321" s="2"/>
      <c r="D667321" s="2"/>
      <c r="E667321" s="2"/>
      <c r="F667321" s="2"/>
      <c r="G667321" s="2"/>
      <c r="H667321" s="2"/>
    </row>
    <row r="667570" spans="3:8" ht="15.6" x14ac:dyDescent="0.25">
      <c r="C667570" s="2"/>
      <c r="D667570" s="2"/>
      <c r="E667570" s="2"/>
      <c r="F667570" s="2"/>
      <c r="G667570" s="2"/>
      <c r="H667570" s="2"/>
    </row>
    <row r="667819" spans="3:8" ht="15.6" x14ac:dyDescent="0.25">
      <c r="C667819" s="2"/>
      <c r="D667819" s="2"/>
      <c r="E667819" s="2"/>
      <c r="F667819" s="2"/>
      <c r="G667819" s="2"/>
      <c r="H667819" s="2"/>
    </row>
    <row r="668068" spans="3:8" ht="15.6" x14ac:dyDescent="0.25">
      <c r="C668068" s="2"/>
      <c r="D668068" s="2"/>
      <c r="E668068" s="2"/>
      <c r="F668068" s="2"/>
      <c r="G668068" s="2"/>
      <c r="H668068" s="2"/>
    </row>
    <row r="668317" spans="3:8" ht="15.6" x14ac:dyDescent="0.25">
      <c r="C668317" s="2"/>
      <c r="D668317" s="2"/>
      <c r="E668317" s="2"/>
      <c r="F668317" s="2"/>
      <c r="G668317" s="2"/>
      <c r="H668317" s="2"/>
    </row>
    <row r="668566" spans="3:8" ht="15.6" x14ac:dyDescent="0.25">
      <c r="C668566" s="2"/>
      <c r="D668566" s="2"/>
      <c r="E668566" s="2"/>
      <c r="F668566" s="2"/>
      <c r="G668566" s="2"/>
      <c r="H668566" s="2"/>
    </row>
    <row r="668815" spans="3:8" ht="15.6" x14ac:dyDescent="0.25">
      <c r="C668815" s="2"/>
      <c r="D668815" s="2"/>
      <c r="E668815" s="2"/>
      <c r="F668815" s="2"/>
      <c r="G668815" s="2"/>
      <c r="H668815" s="2"/>
    </row>
    <row r="669064" spans="3:8" ht="15.6" x14ac:dyDescent="0.25">
      <c r="C669064" s="2"/>
      <c r="D669064" s="2"/>
      <c r="E669064" s="2"/>
      <c r="F669064" s="2"/>
      <c r="G669064" s="2"/>
      <c r="H669064" s="2"/>
    </row>
    <row r="669313" spans="3:8" ht="15.6" x14ac:dyDescent="0.25">
      <c r="C669313" s="2"/>
      <c r="D669313" s="2"/>
      <c r="E669313" s="2"/>
      <c r="F669313" s="2"/>
      <c r="G669313" s="2"/>
      <c r="H669313" s="2"/>
    </row>
    <row r="669562" spans="3:8" ht="15.6" x14ac:dyDescent="0.25">
      <c r="C669562" s="2"/>
      <c r="D669562" s="2"/>
      <c r="E669562" s="2"/>
      <c r="F669562" s="2"/>
      <c r="G669562" s="2"/>
      <c r="H669562" s="2"/>
    </row>
    <row r="669811" spans="3:8" ht="15.6" x14ac:dyDescent="0.25">
      <c r="C669811" s="2"/>
      <c r="D669811" s="2"/>
      <c r="E669811" s="2"/>
      <c r="F669811" s="2"/>
      <c r="G669811" s="2"/>
      <c r="H669811" s="2"/>
    </row>
    <row r="670060" spans="3:8" ht="15.6" x14ac:dyDescent="0.25">
      <c r="C670060" s="2"/>
      <c r="D670060" s="2"/>
      <c r="E670060" s="2"/>
      <c r="F670060" s="2"/>
      <c r="G670060" s="2"/>
      <c r="H670060" s="2"/>
    </row>
    <row r="670309" spans="3:8" ht="15.6" x14ac:dyDescent="0.25">
      <c r="C670309" s="2"/>
      <c r="D670309" s="2"/>
      <c r="E670309" s="2"/>
      <c r="F670309" s="2"/>
      <c r="G670309" s="2"/>
      <c r="H670309" s="2"/>
    </row>
    <row r="670558" spans="3:8" ht="15.6" x14ac:dyDescent="0.25">
      <c r="C670558" s="2"/>
      <c r="D670558" s="2"/>
      <c r="E670558" s="2"/>
      <c r="F670558" s="2"/>
      <c r="G670558" s="2"/>
      <c r="H670558" s="2"/>
    </row>
    <row r="670807" spans="3:8" ht="15.6" x14ac:dyDescent="0.25">
      <c r="C670807" s="2"/>
      <c r="D670807" s="2"/>
      <c r="E670807" s="2"/>
      <c r="F670807" s="2"/>
      <c r="G670807" s="2"/>
      <c r="H670807" s="2"/>
    </row>
    <row r="671056" spans="3:8" ht="15.6" x14ac:dyDescent="0.25">
      <c r="C671056" s="2"/>
      <c r="D671056" s="2"/>
      <c r="E671056" s="2"/>
      <c r="F671056" s="2"/>
      <c r="G671056" s="2"/>
      <c r="H671056" s="2"/>
    </row>
    <row r="671305" spans="3:8" ht="15.6" x14ac:dyDescent="0.25">
      <c r="C671305" s="2"/>
      <c r="D671305" s="2"/>
      <c r="E671305" s="2"/>
      <c r="F671305" s="2"/>
      <c r="G671305" s="2"/>
      <c r="H671305" s="2"/>
    </row>
    <row r="671554" spans="3:8" ht="15.6" x14ac:dyDescent="0.25">
      <c r="C671554" s="2"/>
      <c r="D671554" s="2"/>
      <c r="E671554" s="2"/>
      <c r="F671554" s="2"/>
      <c r="G671554" s="2"/>
      <c r="H671554" s="2"/>
    </row>
    <row r="671803" spans="3:8" ht="15.6" x14ac:dyDescent="0.25">
      <c r="C671803" s="2"/>
      <c r="D671803" s="2"/>
      <c r="E671803" s="2"/>
      <c r="F671803" s="2"/>
      <c r="G671803" s="2"/>
      <c r="H671803" s="2"/>
    </row>
    <row r="672052" spans="3:8" ht="15.6" x14ac:dyDescent="0.25">
      <c r="C672052" s="2"/>
      <c r="D672052" s="2"/>
      <c r="E672052" s="2"/>
      <c r="F672052" s="2"/>
      <c r="G672052" s="2"/>
      <c r="H672052" s="2"/>
    </row>
    <row r="672301" spans="3:8" ht="15.6" x14ac:dyDescent="0.25">
      <c r="C672301" s="2"/>
      <c r="D672301" s="2"/>
      <c r="E672301" s="2"/>
      <c r="F672301" s="2"/>
      <c r="G672301" s="2"/>
      <c r="H672301" s="2"/>
    </row>
    <row r="672550" spans="3:8" ht="15.6" x14ac:dyDescent="0.25">
      <c r="C672550" s="2"/>
      <c r="D672550" s="2"/>
      <c r="E672550" s="2"/>
      <c r="F672550" s="2"/>
      <c r="G672550" s="2"/>
      <c r="H672550" s="2"/>
    </row>
    <row r="672799" spans="3:8" ht="15.6" x14ac:dyDescent="0.25">
      <c r="C672799" s="2"/>
      <c r="D672799" s="2"/>
      <c r="E672799" s="2"/>
      <c r="F672799" s="2"/>
      <c r="G672799" s="2"/>
      <c r="H672799" s="2"/>
    </row>
    <row r="673048" spans="3:8" ht="15.6" x14ac:dyDescent="0.25">
      <c r="C673048" s="2"/>
      <c r="D673048" s="2"/>
      <c r="E673048" s="2"/>
      <c r="F673048" s="2"/>
      <c r="G673048" s="2"/>
      <c r="H673048" s="2"/>
    </row>
    <row r="673297" spans="3:8" ht="15.6" x14ac:dyDescent="0.25">
      <c r="C673297" s="2"/>
      <c r="D673297" s="2"/>
      <c r="E673297" s="2"/>
      <c r="F673297" s="2"/>
      <c r="G673297" s="2"/>
      <c r="H673297" s="2"/>
    </row>
    <row r="673546" spans="3:8" ht="15.6" x14ac:dyDescent="0.25">
      <c r="C673546" s="2"/>
      <c r="D673546" s="2"/>
      <c r="E673546" s="2"/>
      <c r="F673546" s="2"/>
      <c r="G673546" s="2"/>
      <c r="H673546" s="2"/>
    </row>
    <row r="673795" spans="3:8" ht="15.6" x14ac:dyDescent="0.25">
      <c r="C673795" s="2"/>
      <c r="D673795" s="2"/>
      <c r="E673795" s="2"/>
      <c r="F673795" s="2"/>
      <c r="G673795" s="2"/>
      <c r="H673795" s="2"/>
    </row>
    <row r="674044" spans="3:8" ht="15.6" x14ac:dyDescent="0.25">
      <c r="C674044" s="2"/>
      <c r="D674044" s="2"/>
      <c r="E674044" s="2"/>
      <c r="F674044" s="2"/>
      <c r="G674044" s="2"/>
      <c r="H674044" s="2"/>
    </row>
    <row r="674293" spans="3:8" ht="15.6" x14ac:dyDescent="0.25">
      <c r="C674293" s="2"/>
      <c r="D674293" s="2"/>
      <c r="E674293" s="2"/>
      <c r="F674293" s="2"/>
      <c r="G674293" s="2"/>
      <c r="H674293" s="2"/>
    </row>
    <row r="674542" spans="3:8" ht="15.6" x14ac:dyDescent="0.25">
      <c r="C674542" s="2"/>
      <c r="D674542" s="2"/>
      <c r="E674542" s="2"/>
      <c r="F674542" s="2"/>
      <c r="G674542" s="2"/>
      <c r="H674542" s="2"/>
    </row>
    <row r="674791" spans="3:8" ht="15.6" x14ac:dyDescent="0.25">
      <c r="C674791" s="2"/>
      <c r="D674791" s="2"/>
      <c r="E674791" s="2"/>
      <c r="F674791" s="2"/>
      <c r="G674791" s="2"/>
      <c r="H674791" s="2"/>
    </row>
    <row r="675040" spans="3:8" ht="15.6" x14ac:dyDescent="0.25">
      <c r="C675040" s="2"/>
      <c r="D675040" s="2"/>
      <c r="E675040" s="2"/>
      <c r="F675040" s="2"/>
      <c r="G675040" s="2"/>
      <c r="H675040" s="2"/>
    </row>
    <row r="675289" spans="3:8" ht="15.6" x14ac:dyDescent="0.25">
      <c r="C675289" s="2"/>
      <c r="D675289" s="2"/>
      <c r="E675289" s="2"/>
      <c r="F675289" s="2"/>
      <c r="G675289" s="2"/>
      <c r="H675289" s="2"/>
    </row>
    <row r="675538" spans="3:8" ht="15.6" x14ac:dyDescent="0.25">
      <c r="C675538" s="2"/>
      <c r="D675538" s="2"/>
      <c r="E675538" s="2"/>
      <c r="F675538" s="2"/>
      <c r="G675538" s="2"/>
      <c r="H675538" s="2"/>
    </row>
    <row r="675787" spans="3:8" ht="15.6" x14ac:dyDescent="0.25">
      <c r="C675787" s="2"/>
      <c r="D675787" s="2"/>
      <c r="E675787" s="2"/>
      <c r="F675787" s="2"/>
      <c r="G675787" s="2"/>
      <c r="H675787" s="2"/>
    </row>
    <row r="676036" spans="3:8" ht="15.6" x14ac:dyDescent="0.25">
      <c r="C676036" s="2"/>
      <c r="D676036" s="2"/>
      <c r="E676036" s="2"/>
      <c r="F676036" s="2"/>
      <c r="G676036" s="2"/>
      <c r="H676036" s="2"/>
    </row>
    <row r="676285" spans="3:8" ht="15.6" x14ac:dyDescent="0.25">
      <c r="C676285" s="2"/>
      <c r="D676285" s="2"/>
      <c r="E676285" s="2"/>
      <c r="F676285" s="2"/>
      <c r="G676285" s="2"/>
      <c r="H676285" s="2"/>
    </row>
    <row r="676534" spans="3:8" ht="15.6" x14ac:dyDescent="0.25">
      <c r="C676534" s="2"/>
      <c r="D676534" s="2"/>
      <c r="E676534" s="2"/>
      <c r="F676534" s="2"/>
      <c r="G676534" s="2"/>
      <c r="H676534" s="2"/>
    </row>
    <row r="676783" spans="3:8" ht="15.6" x14ac:dyDescent="0.25">
      <c r="C676783" s="2"/>
      <c r="D676783" s="2"/>
      <c r="E676783" s="2"/>
      <c r="F676783" s="2"/>
      <c r="G676783" s="2"/>
      <c r="H676783" s="2"/>
    </row>
    <row r="677032" spans="3:8" ht="15.6" x14ac:dyDescent="0.25">
      <c r="C677032" s="2"/>
      <c r="D677032" s="2"/>
      <c r="E677032" s="2"/>
      <c r="F677032" s="2"/>
      <c r="G677032" s="2"/>
      <c r="H677032" s="2"/>
    </row>
    <row r="677281" spans="3:8" ht="15.6" x14ac:dyDescent="0.25">
      <c r="C677281" s="2"/>
      <c r="D677281" s="2"/>
      <c r="E677281" s="2"/>
      <c r="F677281" s="2"/>
      <c r="G677281" s="2"/>
      <c r="H677281" s="2"/>
    </row>
    <row r="677530" spans="3:8" ht="15.6" x14ac:dyDescent="0.25">
      <c r="C677530" s="2"/>
      <c r="D677530" s="2"/>
      <c r="E677530" s="2"/>
      <c r="F677530" s="2"/>
      <c r="G677530" s="2"/>
      <c r="H677530" s="2"/>
    </row>
    <row r="677779" spans="3:8" ht="15.6" x14ac:dyDescent="0.25">
      <c r="C677779" s="2"/>
      <c r="D677779" s="2"/>
      <c r="E677779" s="2"/>
      <c r="F677779" s="2"/>
      <c r="G677779" s="2"/>
      <c r="H677779" s="2"/>
    </row>
    <row r="678028" spans="3:8" ht="15.6" x14ac:dyDescent="0.25">
      <c r="C678028" s="2"/>
      <c r="D678028" s="2"/>
      <c r="E678028" s="2"/>
      <c r="F678028" s="2"/>
      <c r="G678028" s="2"/>
      <c r="H678028" s="2"/>
    </row>
    <row r="678277" spans="3:8" ht="15.6" x14ac:dyDescent="0.25">
      <c r="C678277" s="2"/>
      <c r="D678277" s="2"/>
      <c r="E678277" s="2"/>
      <c r="F678277" s="2"/>
      <c r="G678277" s="2"/>
      <c r="H678277" s="2"/>
    </row>
    <row r="678526" spans="3:8" ht="15.6" x14ac:dyDescent="0.25">
      <c r="C678526" s="2"/>
      <c r="D678526" s="2"/>
      <c r="E678526" s="2"/>
      <c r="F678526" s="2"/>
      <c r="G678526" s="2"/>
      <c r="H678526" s="2"/>
    </row>
    <row r="678775" spans="3:8" ht="15.6" x14ac:dyDescent="0.25">
      <c r="C678775" s="2"/>
      <c r="D678775" s="2"/>
      <c r="E678775" s="2"/>
      <c r="F678775" s="2"/>
      <c r="G678775" s="2"/>
      <c r="H678775" s="2"/>
    </row>
    <row r="679024" spans="3:8" ht="15.6" x14ac:dyDescent="0.25">
      <c r="C679024" s="2"/>
      <c r="D679024" s="2"/>
      <c r="E679024" s="2"/>
      <c r="F679024" s="2"/>
      <c r="G679024" s="2"/>
      <c r="H679024" s="2"/>
    </row>
    <row r="679273" spans="3:8" ht="15.6" x14ac:dyDescent="0.25">
      <c r="C679273" s="2"/>
      <c r="D679273" s="2"/>
      <c r="E679273" s="2"/>
      <c r="F679273" s="2"/>
      <c r="G679273" s="2"/>
      <c r="H679273" s="2"/>
    </row>
    <row r="679522" spans="3:8" ht="15.6" x14ac:dyDescent="0.25">
      <c r="C679522" s="2"/>
      <c r="D679522" s="2"/>
      <c r="E679522" s="2"/>
      <c r="F679522" s="2"/>
      <c r="G679522" s="2"/>
      <c r="H679522" s="2"/>
    </row>
    <row r="679771" spans="3:8" ht="15.6" x14ac:dyDescent="0.25">
      <c r="C679771" s="2"/>
      <c r="D679771" s="2"/>
      <c r="E679771" s="2"/>
      <c r="F679771" s="2"/>
      <c r="G679771" s="2"/>
      <c r="H679771" s="2"/>
    </row>
    <row r="680020" spans="3:8" ht="15.6" x14ac:dyDescent="0.25">
      <c r="C680020" s="2"/>
      <c r="D680020" s="2"/>
      <c r="E680020" s="2"/>
      <c r="F680020" s="2"/>
      <c r="G680020" s="2"/>
      <c r="H680020" s="2"/>
    </row>
    <row r="680269" spans="3:8" ht="15.6" x14ac:dyDescent="0.25">
      <c r="C680269" s="2"/>
      <c r="D680269" s="2"/>
      <c r="E680269" s="2"/>
      <c r="F680269" s="2"/>
      <c r="G680269" s="2"/>
      <c r="H680269" s="2"/>
    </row>
    <row r="680518" spans="3:8" ht="15.6" x14ac:dyDescent="0.25">
      <c r="C680518" s="2"/>
      <c r="D680518" s="2"/>
      <c r="E680518" s="2"/>
      <c r="F680518" s="2"/>
      <c r="G680518" s="2"/>
      <c r="H680518" s="2"/>
    </row>
    <row r="680767" spans="3:8" ht="15.6" x14ac:dyDescent="0.25">
      <c r="C680767" s="2"/>
      <c r="D680767" s="2"/>
      <c r="E680767" s="2"/>
      <c r="F680767" s="2"/>
      <c r="G680767" s="2"/>
      <c r="H680767" s="2"/>
    </row>
    <row r="681016" spans="3:8" ht="15.6" x14ac:dyDescent="0.25">
      <c r="C681016" s="2"/>
      <c r="D681016" s="2"/>
      <c r="E681016" s="2"/>
      <c r="F681016" s="2"/>
      <c r="G681016" s="2"/>
      <c r="H681016" s="2"/>
    </row>
    <row r="681265" spans="3:8" ht="15.6" x14ac:dyDescent="0.25">
      <c r="C681265" s="2"/>
      <c r="D681265" s="2"/>
      <c r="E681265" s="2"/>
      <c r="F681265" s="2"/>
      <c r="G681265" s="2"/>
      <c r="H681265" s="2"/>
    </row>
    <row r="681514" spans="3:8" ht="15.6" x14ac:dyDescent="0.25">
      <c r="C681514" s="2"/>
      <c r="D681514" s="2"/>
      <c r="E681514" s="2"/>
      <c r="F681514" s="2"/>
      <c r="G681514" s="2"/>
      <c r="H681514" s="2"/>
    </row>
    <row r="681763" spans="3:8" ht="15.6" x14ac:dyDescent="0.25">
      <c r="C681763" s="2"/>
      <c r="D681763" s="2"/>
      <c r="E681763" s="2"/>
      <c r="F681763" s="2"/>
      <c r="G681763" s="2"/>
      <c r="H681763" s="2"/>
    </row>
    <row r="682012" spans="3:8" ht="15.6" x14ac:dyDescent="0.25">
      <c r="C682012" s="2"/>
      <c r="D682012" s="2"/>
      <c r="E682012" s="2"/>
      <c r="F682012" s="2"/>
      <c r="G682012" s="2"/>
      <c r="H682012" s="2"/>
    </row>
    <row r="682261" spans="3:8" ht="15.6" x14ac:dyDescent="0.25">
      <c r="C682261" s="2"/>
      <c r="D682261" s="2"/>
      <c r="E682261" s="2"/>
      <c r="F682261" s="2"/>
      <c r="G682261" s="2"/>
      <c r="H682261" s="2"/>
    </row>
    <row r="682510" spans="3:8" ht="15.6" x14ac:dyDescent="0.25">
      <c r="C682510" s="2"/>
      <c r="D682510" s="2"/>
      <c r="E682510" s="2"/>
      <c r="F682510" s="2"/>
      <c r="G682510" s="2"/>
      <c r="H682510" s="2"/>
    </row>
    <row r="682759" spans="3:8" ht="15.6" x14ac:dyDescent="0.25">
      <c r="C682759" s="2"/>
      <c r="D682759" s="2"/>
      <c r="E682759" s="2"/>
      <c r="F682759" s="2"/>
      <c r="G682759" s="2"/>
      <c r="H682759" s="2"/>
    </row>
    <row r="683008" spans="3:8" ht="15.6" x14ac:dyDescent="0.25">
      <c r="C683008" s="2"/>
      <c r="D683008" s="2"/>
      <c r="E683008" s="2"/>
      <c r="F683008" s="2"/>
      <c r="G683008" s="2"/>
      <c r="H683008" s="2"/>
    </row>
    <row r="683257" spans="3:8" ht="15.6" x14ac:dyDescent="0.25">
      <c r="C683257" s="2"/>
      <c r="D683257" s="2"/>
      <c r="E683257" s="2"/>
      <c r="F683257" s="2"/>
      <c r="G683257" s="2"/>
      <c r="H683257" s="2"/>
    </row>
    <row r="683506" spans="3:8" ht="15.6" x14ac:dyDescent="0.25">
      <c r="C683506" s="2"/>
      <c r="D683506" s="2"/>
      <c r="E683506" s="2"/>
      <c r="F683506" s="2"/>
      <c r="G683506" s="2"/>
      <c r="H683506" s="2"/>
    </row>
    <row r="683755" spans="3:8" ht="15.6" x14ac:dyDescent="0.25">
      <c r="C683755" s="2"/>
      <c r="D683755" s="2"/>
      <c r="E683755" s="2"/>
      <c r="F683755" s="2"/>
      <c r="G683755" s="2"/>
      <c r="H683755" s="2"/>
    </row>
    <row r="684004" spans="3:8" ht="15.6" x14ac:dyDescent="0.25">
      <c r="C684004" s="2"/>
      <c r="D684004" s="2"/>
      <c r="E684004" s="2"/>
      <c r="F684004" s="2"/>
      <c r="G684004" s="2"/>
      <c r="H684004" s="2"/>
    </row>
    <row r="684253" spans="3:8" ht="15.6" x14ac:dyDescent="0.25">
      <c r="C684253" s="2"/>
      <c r="D684253" s="2"/>
      <c r="E684253" s="2"/>
      <c r="F684253" s="2"/>
      <c r="G684253" s="2"/>
      <c r="H684253" s="2"/>
    </row>
    <row r="684502" spans="3:8" ht="15.6" x14ac:dyDescent="0.25">
      <c r="C684502" s="2"/>
      <c r="D684502" s="2"/>
      <c r="E684502" s="2"/>
      <c r="F684502" s="2"/>
      <c r="G684502" s="2"/>
      <c r="H684502" s="2"/>
    </row>
    <row r="684751" spans="3:8" ht="15.6" x14ac:dyDescent="0.25">
      <c r="C684751" s="2"/>
      <c r="D684751" s="2"/>
      <c r="E684751" s="2"/>
      <c r="F684751" s="2"/>
      <c r="G684751" s="2"/>
      <c r="H684751" s="2"/>
    </row>
    <row r="685000" spans="3:8" ht="15.6" x14ac:dyDescent="0.25">
      <c r="C685000" s="2"/>
      <c r="D685000" s="2"/>
      <c r="E685000" s="2"/>
      <c r="F685000" s="2"/>
      <c r="G685000" s="2"/>
      <c r="H685000" s="2"/>
    </row>
    <row r="685249" spans="3:8" ht="15.6" x14ac:dyDescent="0.25">
      <c r="C685249" s="2"/>
      <c r="D685249" s="2"/>
      <c r="E685249" s="2"/>
      <c r="F685249" s="2"/>
      <c r="G685249" s="2"/>
      <c r="H685249" s="2"/>
    </row>
    <row r="685498" spans="3:8" ht="15.6" x14ac:dyDescent="0.25">
      <c r="C685498" s="2"/>
      <c r="D685498" s="2"/>
      <c r="E685498" s="2"/>
      <c r="F685498" s="2"/>
      <c r="G685498" s="2"/>
      <c r="H685498" s="2"/>
    </row>
    <row r="685747" spans="3:8" ht="15.6" x14ac:dyDescent="0.25">
      <c r="C685747" s="2"/>
      <c r="D685747" s="2"/>
      <c r="E685747" s="2"/>
      <c r="F685747" s="2"/>
      <c r="G685747" s="2"/>
      <c r="H685747" s="2"/>
    </row>
    <row r="685996" spans="3:8" ht="15.6" x14ac:dyDescent="0.25">
      <c r="C685996" s="2"/>
      <c r="D685996" s="2"/>
      <c r="E685996" s="2"/>
      <c r="F685996" s="2"/>
      <c r="G685996" s="2"/>
      <c r="H685996" s="2"/>
    </row>
    <row r="686245" spans="3:8" ht="15.6" x14ac:dyDescent="0.25">
      <c r="C686245" s="2"/>
      <c r="D686245" s="2"/>
      <c r="E686245" s="2"/>
      <c r="F686245" s="2"/>
      <c r="G686245" s="2"/>
      <c r="H686245" s="2"/>
    </row>
    <row r="686494" spans="3:8" ht="15.6" x14ac:dyDescent="0.25">
      <c r="C686494" s="2"/>
      <c r="D686494" s="2"/>
      <c r="E686494" s="2"/>
      <c r="F686494" s="2"/>
      <c r="G686494" s="2"/>
      <c r="H686494" s="2"/>
    </row>
    <row r="686743" spans="3:8" ht="15.6" x14ac:dyDescent="0.25">
      <c r="C686743" s="2"/>
      <c r="D686743" s="2"/>
      <c r="E686743" s="2"/>
      <c r="F686743" s="2"/>
      <c r="G686743" s="2"/>
      <c r="H686743" s="2"/>
    </row>
    <row r="686992" spans="3:8" ht="15.6" x14ac:dyDescent="0.25">
      <c r="C686992" s="2"/>
      <c r="D686992" s="2"/>
      <c r="E686992" s="2"/>
      <c r="F686992" s="2"/>
      <c r="G686992" s="2"/>
      <c r="H686992" s="2"/>
    </row>
    <row r="687241" spans="3:8" ht="15.6" x14ac:dyDescent="0.25">
      <c r="C687241" s="2"/>
      <c r="D687241" s="2"/>
      <c r="E687241" s="2"/>
      <c r="F687241" s="2"/>
      <c r="G687241" s="2"/>
      <c r="H687241" s="2"/>
    </row>
    <row r="687490" spans="3:8" ht="15.6" x14ac:dyDescent="0.25">
      <c r="C687490" s="2"/>
      <c r="D687490" s="2"/>
      <c r="E687490" s="2"/>
      <c r="F687490" s="2"/>
      <c r="G687490" s="2"/>
      <c r="H687490" s="2"/>
    </row>
    <row r="687739" spans="3:8" ht="15.6" x14ac:dyDescent="0.25">
      <c r="C687739" s="2"/>
      <c r="D687739" s="2"/>
      <c r="E687739" s="2"/>
      <c r="F687739" s="2"/>
      <c r="G687739" s="2"/>
      <c r="H687739" s="2"/>
    </row>
    <row r="687988" spans="3:8" ht="15.6" x14ac:dyDescent="0.25">
      <c r="C687988" s="2"/>
      <c r="D687988" s="2"/>
      <c r="E687988" s="2"/>
      <c r="F687988" s="2"/>
      <c r="G687988" s="2"/>
      <c r="H687988" s="2"/>
    </row>
    <row r="688237" spans="3:8" ht="15.6" x14ac:dyDescent="0.25">
      <c r="C688237" s="2"/>
      <c r="D688237" s="2"/>
      <c r="E688237" s="2"/>
      <c r="F688237" s="2"/>
      <c r="G688237" s="2"/>
      <c r="H688237" s="2"/>
    </row>
    <row r="688486" spans="3:8" ht="15.6" x14ac:dyDescent="0.25">
      <c r="C688486" s="2"/>
      <c r="D688486" s="2"/>
      <c r="E688486" s="2"/>
      <c r="F688486" s="2"/>
      <c r="G688486" s="2"/>
      <c r="H688486" s="2"/>
    </row>
    <row r="688735" spans="3:8" ht="15.6" x14ac:dyDescent="0.25">
      <c r="C688735" s="2"/>
      <c r="D688735" s="2"/>
      <c r="E688735" s="2"/>
      <c r="F688735" s="2"/>
      <c r="G688735" s="2"/>
      <c r="H688735" s="2"/>
    </row>
    <row r="688984" spans="3:8" ht="15.6" x14ac:dyDescent="0.25">
      <c r="C688984" s="2"/>
      <c r="D688984" s="2"/>
      <c r="E688984" s="2"/>
      <c r="F688984" s="2"/>
      <c r="G688984" s="2"/>
      <c r="H688984" s="2"/>
    </row>
    <row r="689233" spans="3:8" ht="15.6" x14ac:dyDescent="0.25">
      <c r="C689233" s="2"/>
      <c r="D689233" s="2"/>
      <c r="E689233" s="2"/>
      <c r="F689233" s="2"/>
      <c r="G689233" s="2"/>
      <c r="H689233" s="2"/>
    </row>
    <row r="689482" spans="3:8" ht="15.6" x14ac:dyDescent="0.25">
      <c r="C689482" s="2"/>
      <c r="D689482" s="2"/>
      <c r="E689482" s="2"/>
      <c r="F689482" s="2"/>
      <c r="G689482" s="2"/>
      <c r="H689482" s="2"/>
    </row>
    <row r="689731" spans="3:8" ht="15.6" x14ac:dyDescent="0.25">
      <c r="C689731" s="2"/>
      <c r="D689731" s="2"/>
      <c r="E689731" s="2"/>
      <c r="F689731" s="2"/>
      <c r="G689731" s="2"/>
      <c r="H689731" s="2"/>
    </row>
    <row r="689980" spans="3:8" ht="15.6" x14ac:dyDescent="0.25">
      <c r="C689980" s="2"/>
      <c r="D689980" s="2"/>
      <c r="E689980" s="2"/>
      <c r="F689980" s="2"/>
      <c r="G689980" s="2"/>
      <c r="H689980" s="2"/>
    </row>
    <row r="690229" spans="3:8" ht="15.6" x14ac:dyDescent="0.25">
      <c r="C690229" s="2"/>
      <c r="D690229" s="2"/>
      <c r="E690229" s="2"/>
      <c r="F690229" s="2"/>
      <c r="G690229" s="2"/>
      <c r="H690229" s="2"/>
    </row>
    <row r="690478" spans="3:8" ht="15.6" x14ac:dyDescent="0.25">
      <c r="C690478" s="2"/>
      <c r="D690478" s="2"/>
      <c r="E690478" s="2"/>
      <c r="F690478" s="2"/>
      <c r="G690478" s="2"/>
      <c r="H690478" s="2"/>
    </row>
    <row r="690727" spans="3:8" ht="15.6" x14ac:dyDescent="0.25">
      <c r="C690727" s="2"/>
      <c r="D690727" s="2"/>
      <c r="E690727" s="2"/>
      <c r="F690727" s="2"/>
      <c r="G690727" s="2"/>
      <c r="H690727" s="2"/>
    </row>
    <row r="690976" spans="3:8" ht="15.6" x14ac:dyDescent="0.25">
      <c r="C690976" s="2"/>
      <c r="D690976" s="2"/>
      <c r="E690976" s="2"/>
      <c r="F690976" s="2"/>
      <c r="G690976" s="2"/>
      <c r="H690976" s="2"/>
    </row>
    <row r="691225" spans="3:8" ht="15.6" x14ac:dyDescent="0.25">
      <c r="C691225" s="2"/>
      <c r="D691225" s="2"/>
      <c r="E691225" s="2"/>
      <c r="F691225" s="2"/>
      <c r="G691225" s="2"/>
      <c r="H691225" s="2"/>
    </row>
    <row r="691474" spans="3:8" ht="15.6" x14ac:dyDescent="0.25">
      <c r="C691474" s="2"/>
      <c r="D691474" s="2"/>
      <c r="E691474" s="2"/>
      <c r="F691474" s="2"/>
      <c r="G691474" s="2"/>
      <c r="H691474" s="2"/>
    </row>
    <row r="691723" spans="3:8" ht="15.6" x14ac:dyDescent="0.25">
      <c r="C691723" s="2"/>
      <c r="D691723" s="2"/>
      <c r="E691723" s="2"/>
      <c r="F691723" s="2"/>
      <c r="G691723" s="2"/>
      <c r="H691723" s="2"/>
    </row>
    <row r="691972" spans="3:8" ht="15.6" x14ac:dyDescent="0.25">
      <c r="C691972" s="2"/>
      <c r="D691972" s="2"/>
      <c r="E691972" s="2"/>
      <c r="F691972" s="2"/>
      <c r="G691972" s="2"/>
      <c r="H691972" s="2"/>
    </row>
    <row r="692221" spans="3:8" ht="15.6" x14ac:dyDescent="0.25">
      <c r="C692221" s="2"/>
      <c r="D692221" s="2"/>
      <c r="E692221" s="2"/>
      <c r="F692221" s="2"/>
      <c r="G692221" s="2"/>
      <c r="H692221" s="2"/>
    </row>
    <row r="692470" spans="3:8" ht="15.6" x14ac:dyDescent="0.25">
      <c r="C692470" s="2"/>
      <c r="D692470" s="2"/>
      <c r="E692470" s="2"/>
      <c r="F692470" s="2"/>
      <c r="G692470" s="2"/>
      <c r="H692470" s="2"/>
    </row>
    <row r="692719" spans="3:8" ht="15.6" x14ac:dyDescent="0.25">
      <c r="C692719" s="2"/>
      <c r="D692719" s="2"/>
      <c r="E692719" s="2"/>
      <c r="F692719" s="2"/>
      <c r="G692719" s="2"/>
      <c r="H692719" s="2"/>
    </row>
    <row r="692968" spans="3:8" ht="15.6" x14ac:dyDescent="0.25">
      <c r="C692968" s="2"/>
      <c r="D692968" s="2"/>
      <c r="E692968" s="2"/>
      <c r="F692968" s="2"/>
      <c r="G692968" s="2"/>
      <c r="H692968" s="2"/>
    </row>
    <row r="693217" spans="3:8" ht="15.6" x14ac:dyDescent="0.25">
      <c r="C693217" s="2"/>
      <c r="D693217" s="2"/>
      <c r="E693217" s="2"/>
      <c r="F693217" s="2"/>
      <c r="G693217" s="2"/>
      <c r="H693217" s="2"/>
    </row>
    <row r="693466" spans="3:8" ht="15.6" x14ac:dyDescent="0.25">
      <c r="C693466" s="2"/>
      <c r="D693466" s="2"/>
      <c r="E693466" s="2"/>
      <c r="F693466" s="2"/>
      <c r="G693466" s="2"/>
      <c r="H693466" s="2"/>
    </row>
    <row r="693715" spans="3:8" ht="15.6" x14ac:dyDescent="0.25">
      <c r="C693715" s="2"/>
      <c r="D693715" s="2"/>
      <c r="E693715" s="2"/>
      <c r="F693715" s="2"/>
      <c r="G693715" s="2"/>
      <c r="H693715" s="2"/>
    </row>
    <row r="693964" spans="3:8" ht="15.6" x14ac:dyDescent="0.25">
      <c r="C693964" s="2"/>
      <c r="D693964" s="2"/>
      <c r="E693964" s="2"/>
      <c r="F693964" s="2"/>
      <c r="G693964" s="2"/>
      <c r="H693964" s="2"/>
    </row>
    <row r="694213" spans="3:8" ht="15.6" x14ac:dyDescent="0.25">
      <c r="C694213" s="2"/>
      <c r="D694213" s="2"/>
      <c r="E694213" s="2"/>
      <c r="F694213" s="2"/>
      <c r="G694213" s="2"/>
      <c r="H694213" s="2"/>
    </row>
    <row r="694462" spans="3:8" ht="15.6" x14ac:dyDescent="0.25">
      <c r="C694462" s="2"/>
      <c r="D694462" s="2"/>
      <c r="E694462" s="2"/>
      <c r="F694462" s="2"/>
      <c r="G694462" s="2"/>
      <c r="H694462" s="2"/>
    </row>
    <row r="694711" spans="3:8" ht="15.6" x14ac:dyDescent="0.25">
      <c r="C694711" s="2"/>
      <c r="D694711" s="2"/>
      <c r="E694711" s="2"/>
      <c r="F694711" s="2"/>
      <c r="G694711" s="2"/>
      <c r="H694711" s="2"/>
    </row>
    <row r="694960" spans="3:8" ht="15.6" x14ac:dyDescent="0.25">
      <c r="C694960" s="2"/>
      <c r="D694960" s="2"/>
      <c r="E694960" s="2"/>
      <c r="F694960" s="2"/>
      <c r="G694960" s="2"/>
      <c r="H694960" s="2"/>
    </row>
    <row r="695209" spans="3:8" ht="15.6" x14ac:dyDescent="0.25">
      <c r="C695209" s="2"/>
      <c r="D695209" s="2"/>
      <c r="E695209" s="2"/>
      <c r="F695209" s="2"/>
      <c r="G695209" s="2"/>
      <c r="H695209" s="2"/>
    </row>
    <row r="695458" spans="3:8" ht="15.6" x14ac:dyDescent="0.25">
      <c r="C695458" s="2"/>
      <c r="D695458" s="2"/>
      <c r="E695458" s="2"/>
      <c r="F695458" s="2"/>
      <c r="G695458" s="2"/>
      <c r="H695458" s="2"/>
    </row>
    <row r="695707" spans="3:8" ht="15.6" x14ac:dyDescent="0.25">
      <c r="C695707" s="2"/>
      <c r="D695707" s="2"/>
      <c r="E695707" s="2"/>
      <c r="F695707" s="2"/>
      <c r="G695707" s="2"/>
      <c r="H695707" s="2"/>
    </row>
    <row r="695956" spans="3:8" ht="15.6" x14ac:dyDescent="0.25">
      <c r="C695956" s="2"/>
      <c r="D695956" s="2"/>
      <c r="E695956" s="2"/>
      <c r="F695956" s="2"/>
      <c r="G695956" s="2"/>
      <c r="H695956" s="2"/>
    </row>
    <row r="696205" spans="3:8" ht="15.6" x14ac:dyDescent="0.25">
      <c r="C696205" s="2"/>
      <c r="D696205" s="2"/>
      <c r="E696205" s="2"/>
      <c r="F696205" s="2"/>
      <c r="G696205" s="2"/>
      <c r="H696205" s="2"/>
    </row>
    <row r="696454" spans="3:8" ht="15.6" x14ac:dyDescent="0.25">
      <c r="C696454" s="2"/>
      <c r="D696454" s="2"/>
      <c r="E696454" s="2"/>
      <c r="F696454" s="2"/>
      <c r="G696454" s="2"/>
      <c r="H696454" s="2"/>
    </row>
    <row r="696703" spans="3:8" ht="15.6" x14ac:dyDescent="0.25">
      <c r="C696703" s="2"/>
      <c r="D696703" s="2"/>
      <c r="E696703" s="2"/>
      <c r="F696703" s="2"/>
      <c r="G696703" s="2"/>
      <c r="H696703" s="2"/>
    </row>
    <row r="696952" spans="3:8" ht="15.6" x14ac:dyDescent="0.25">
      <c r="C696952" s="2"/>
      <c r="D696952" s="2"/>
      <c r="E696952" s="2"/>
      <c r="F696952" s="2"/>
      <c r="G696952" s="2"/>
      <c r="H696952" s="2"/>
    </row>
    <row r="697201" spans="3:8" ht="15.6" x14ac:dyDescent="0.25">
      <c r="C697201" s="2"/>
      <c r="D697201" s="2"/>
      <c r="E697201" s="2"/>
      <c r="F697201" s="2"/>
      <c r="G697201" s="2"/>
      <c r="H697201" s="2"/>
    </row>
    <row r="697450" spans="3:8" ht="15.6" x14ac:dyDescent="0.25">
      <c r="C697450" s="2"/>
      <c r="D697450" s="2"/>
      <c r="E697450" s="2"/>
      <c r="F697450" s="2"/>
      <c r="G697450" s="2"/>
      <c r="H697450" s="2"/>
    </row>
    <row r="697699" spans="3:8" ht="15.6" x14ac:dyDescent="0.25">
      <c r="C697699" s="2"/>
      <c r="D697699" s="2"/>
      <c r="E697699" s="2"/>
      <c r="F697699" s="2"/>
      <c r="G697699" s="2"/>
      <c r="H697699" s="2"/>
    </row>
    <row r="697948" spans="3:8" ht="15.6" x14ac:dyDescent="0.25">
      <c r="C697948" s="2"/>
      <c r="D697948" s="2"/>
      <c r="E697948" s="2"/>
      <c r="F697948" s="2"/>
      <c r="G697948" s="2"/>
      <c r="H697948" s="2"/>
    </row>
    <row r="698197" spans="3:8" ht="15.6" x14ac:dyDescent="0.25">
      <c r="C698197" s="2"/>
      <c r="D698197" s="2"/>
      <c r="E698197" s="2"/>
      <c r="F698197" s="2"/>
      <c r="G698197" s="2"/>
      <c r="H698197" s="2"/>
    </row>
    <row r="698446" spans="3:8" ht="15.6" x14ac:dyDescent="0.25">
      <c r="C698446" s="2"/>
      <c r="D698446" s="2"/>
      <c r="E698446" s="2"/>
      <c r="F698446" s="2"/>
      <c r="G698446" s="2"/>
      <c r="H698446" s="2"/>
    </row>
    <row r="698695" spans="3:8" ht="15.6" x14ac:dyDescent="0.25">
      <c r="C698695" s="2"/>
      <c r="D698695" s="2"/>
      <c r="E698695" s="2"/>
      <c r="F698695" s="2"/>
      <c r="G698695" s="2"/>
      <c r="H698695" s="2"/>
    </row>
    <row r="698944" spans="3:8" ht="15.6" x14ac:dyDescent="0.25">
      <c r="C698944" s="2"/>
      <c r="D698944" s="2"/>
      <c r="E698944" s="2"/>
      <c r="F698944" s="2"/>
      <c r="G698944" s="2"/>
      <c r="H698944" s="2"/>
    </row>
    <row r="699193" spans="3:8" ht="15.6" x14ac:dyDescent="0.25">
      <c r="C699193" s="2"/>
      <c r="D699193" s="2"/>
      <c r="E699193" s="2"/>
      <c r="F699193" s="2"/>
      <c r="G699193" s="2"/>
      <c r="H699193" s="2"/>
    </row>
    <row r="699442" spans="3:8" ht="15.6" x14ac:dyDescent="0.25">
      <c r="C699442" s="2"/>
      <c r="D699442" s="2"/>
      <c r="E699442" s="2"/>
      <c r="F699442" s="2"/>
      <c r="G699442" s="2"/>
      <c r="H699442" s="2"/>
    </row>
    <row r="699691" spans="3:8" ht="15.6" x14ac:dyDescent="0.25">
      <c r="C699691" s="2"/>
      <c r="D699691" s="2"/>
      <c r="E699691" s="2"/>
      <c r="F699691" s="2"/>
      <c r="G699691" s="2"/>
      <c r="H699691" s="2"/>
    </row>
    <row r="699940" spans="3:8" ht="15.6" x14ac:dyDescent="0.25">
      <c r="C699940" s="2"/>
      <c r="D699940" s="2"/>
      <c r="E699940" s="2"/>
      <c r="F699940" s="2"/>
      <c r="G699940" s="2"/>
      <c r="H699940" s="2"/>
    </row>
    <row r="700189" spans="3:8" ht="15.6" x14ac:dyDescent="0.25">
      <c r="C700189" s="2"/>
      <c r="D700189" s="2"/>
      <c r="E700189" s="2"/>
      <c r="F700189" s="2"/>
      <c r="G700189" s="2"/>
      <c r="H700189" s="2"/>
    </row>
    <row r="700438" spans="3:8" ht="15.6" x14ac:dyDescent="0.25">
      <c r="C700438" s="2"/>
      <c r="D700438" s="2"/>
      <c r="E700438" s="2"/>
      <c r="F700438" s="2"/>
      <c r="G700438" s="2"/>
      <c r="H700438" s="2"/>
    </row>
    <row r="700687" spans="3:8" ht="15.6" x14ac:dyDescent="0.25">
      <c r="C700687" s="2"/>
      <c r="D700687" s="2"/>
      <c r="E700687" s="2"/>
      <c r="F700687" s="2"/>
      <c r="G700687" s="2"/>
      <c r="H700687" s="2"/>
    </row>
    <row r="700936" spans="3:8" ht="15.6" x14ac:dyDescent="0.25">
      <c r="C700936" s="2"/>
      <c r="D700936" s="2"/>
      <c r="E700936" s="2"/>
      <c r="F700936" s="2"/>
      <c r="G700936" s="2"/>
      <c r="H700936" s="2"/>
    </row>
    <row r="701185" spans="3:8" ht="15.6" x14ac:dyDescent="0.25">
      <c r="C701185" s="2"/>
      <c r="D701185" s="2"/>
      <c r="E701185" s="2"/>
      <c r="F701185" s="2"/>
      <c r="G701185" s="2"/>
      <c r="H701185" s="2"/>
    </row>
    <row r="701434" spans="3:8" ht="15.6" x14ac:dyDescent="0.25">
      <c r="C701434" s="2"/>
      <c r="D701434" s="2"/>
      <c r="E701434" s="2"/>
      <c r="F701434" s="2"/>
      <c r="G701434" s="2"/>
      <c r="H701434" s="2"/>
    </row>
    <row r="701683" spans="3:8" ht="15.6" x14ac:dyDescent="0.25">
      <c r="C701683" s="2"/>
      <c r="D701683" s="2"/>
      <c r="E701683" s="2"/>
      <c r="F701683" s="2"/>
      <c r="G701683" s="2"/>
      <c r="H701683" s="2"/>
    </row>
    <row r="701932" spans="3:8" ht="15.6" x14ac:dyDescent="0.25">
      <c r="C701932" s="2"/>
      <c r="D701932" s="2"/>
      <c r="E701932" s="2"/>
      <c r="F701932" s="2"/>
      <c r="G701932" s="2"/>
      <c r="H701932" s="2"/>
    </row>
    <row r="702181" spans="3:8" ht="15.6" x14ac:dyDescent="0.25">
      <c r="C702181" s="2"/>
      <c r="D702181" s="2"/>
      <c r="E702181" s="2"/>
      <c r="F702181" s="2"/>
      <c r="G702181" s="2"/>
      <c r="H702181" s="2"/>
    </row>
    <row r="702430" spans="3:8" ht="15.6" x14ac:dyDescent="0.25">
      <c r="C702430" s="2"/>
      <c r="D702430" s="2"/>
      <c r="E702430" s="2"/>
      <c r="F702430" s="2"/>
      <c r="G702430" s="2"/>
      <c r="H702430" s="2"/>
    </row>
    <row r="702679" spans="3:8" ht="15.6" x14ac:dyDescent="0.25">
      <c r="C702679" s="2"/>
      <c r="D702679" s="2"/>
      <c r="E702679" s="2"/>
      <c r="F702679" s="2"/>
      <c r="G702679" s="2"/>
      <c r="H702679" s="2"/>
    </row>
    <row r="702928" spans="3:8" ht="15.6" x14ac:dyDescent="0.25">
      <c r="C702928" s="2"/>
      <c r="D702928" s="2"/>
      <c r="E702928" s="2"/>
      <c r="F702928" s="2"/>
      <c r="G702928" s="2"/>
      <c r="H702928" s="2"/>
    </row>
    <row r="703177" spans="3:8" ht="15.6" x14ac:dyDescent="0.25">
      <c r="C703177" s="2"/>
      <c r="D703177" s="2"/>
      <c r="E703177" s="2"/>
      <c r="F703177" s="2"/>
      <c r="G703177" s="2"/>
      <c r="H703177" s="2"/>
    </row>
    <row r="703426" spans="3:8" ht="15.6" x14ac:dyDescent="0.25">
      <c r="C703426" s="2"/>
      <c r="D703426" s="2"/>
      <c r="E703426" s="2"/>
      <c r="F703426" s="2"/>
      <c r="G703426" s="2"/>
      <c r="H703426" s="2"/>
    </row>
    <row r="703675" spans="3:8" ht="15.6" x14ac:dyDescent="0.25">
      <c r="C703675" s="2"/>
      <c r="D703675" s="2"/>
      <c r="E703675" s="2"/>
      <c r="F703675" s="2"/>
      <c r="G703675" s="2"/>
      <c r="H703675" s="2"/>
    </row>
    <row r="703924" spans="3:8" ht="15.6" x14ac:dyDescent="0.25">
      <c r="C703924" s="2"/>
      <c r="D703924" s="2"/>
      <c r="E703924" s="2"/>
      <c r="F703924" s="2"/>
      <c r="G703924" s="2"/>
      <c r="H703924" s="2"/>
    </row>
    <row r="704173" spans="3:8" ht="15.6" x14ac:dyDescent="0.25">
      <c r="C704173" s="2"/>
      <c r="D704173" s="2"/>
      <c r="E704173" s="2"/>
      <c r="F704173" s="2"/>
      <c r="G704173" s="2"/>
      <c r="H704173" s="2"/>
    </row>
    <row r="704422" spans="3:8" ht="15.6" x14ac:dyDescent="0.25">
      <c r="C704422" s="2"/>
      <c r="D704422" s="2"/>
      <c r="E704422" s="2"/>
      <c r="F704422" s="2"/>
      <c r="G704422" s="2"/>
      <c r="H704422" s="2"/>
    </row>
    <row r="704671" spans="3:8" ht="15.6" x14ac:dyDescent="0.25">
      <c r="C704671" s="2"/>
      <c r="D704671" s="2"/>
      <c r="E704671" s="2"/>
      <c r="F704671" s="2"/>
      <c r="G704671" s="2"/>
      <c r="H704671" s="2"/>
    </row>
    <row r="704920" spans="3:8" ht="15.6" x14ac:dyDescent="0.25">
      <c r="C704920" s="2"/>
      <c r="D704920" s="2"/>
      <c r="E704920" s="2"/>
      <c r="F704920" s="2"/>
      <c r="G704920" s="2"/>
      <c r="H704920" s="2"/>
    </row>
    <row r="705169" spans="3:8" ht="15.6" x14ac:dyDescent="0.25">
      <c r="C705169" s="2"/>
      <c r="D705169" s="2"/>
      <c r="E705169" s="2"/>
      <c r="F705169" s="2"/>
      <c r="G705169" s="2"/>
      <c r="H705169" s="2"/>
    </row>
    <row r="705418" spans="3:8" ht="15.6" x14ac:dyDescent="0.25">
      <c r="C705418" s="2"/>
      <c r="D705418" s="2"/>
      <c r="E705418" s="2"/>
      <c r="F705418" s="2"/>
      <c r="G705418" s="2"/>
      <c r="H705418" s="2"/>
    </row>
    <row r="705667" spans="3:8" ht="15.6" x14ac:dyDescent="0.25">
      <c r="C705667" s="2"/>
      <c r="D705667" s="2"/>
      <c r="E705667" s="2"/>
      <c r="F705667" s="2"/>
      <c r="G705667" s="2"/>
      <c r="H705667" s="2"/>
    </row>
    <row r="705916" spans="3:8" ht="15.6" x14ac:dyDescent="0.25">
      <c r="C705916" s="2"/>
      <c r="D705916" s="2"/>
      <c r="E705916" s="2"/>
      <c r="F705916" s="2"/>
      <c r="G705916" s="2"/>
      <c r="H705916" s="2"/>
    </row>
    <row r="706165" spans="3:8" ht="15.6" x14ac:dyDescent="0.25">
      <c r="C706165" s="2"/>
      <c r="D706165" s="2"/>
      <c r="E706165" s="2"/>
      <c r="F706165" s="2"/>
      <c r="G706165" s="2"/>
      <c r="H706165" s="2"/>
    </row>
    <row r="706414" spans="3:8" ht="15.6" x14ac:dyDescent="0.25">
      <c r="C706414" s="2"/>
      <c r="D706414" s="2"/>
      <c r="E706414" s="2"/>
      <c r="F706414" s="2"/>
      <c r="G706414" s="2"/>
      <c r="H706414" s="2"/>
    </row>
    <row r="706663" spans="3:8" ht="15.6" x14ac:dyDescent="0.25">
      <c r="C706663" s="2"/>
      <c r="D706663" s="2"/>
      <c r="E706663" s="2"/>
      <c r="F706663" s="2"/>
      <c r="G706663" s="2"/>
      <c r="H706663" s="2"/>
    </row>
    <row r="706912" spans="3:8" ht="15.6" x14ac:dyDescent="0.25">
      <c r="C706912" s="2"/>
      <c r="D706912" s="2"/>
      <c r="E706912" s="2"/>
      <c r="F706912" s="2"/>
      <c r="G706912" s="2"/>
      <c r="H706912" s="2"/>
    </row>
    <row r="707161" spans="3:8" ht="15.6" x14ac:dyDescent="0.25">
      <c r="C707161" s="2"/>
      <c r="D707161" s="2"/>
      <c r="E707161" s="2"/>
      <c r="F707161" s="2"/>
      <c r="G707161" s="2"/>
      <c r="H707161" s="2"/>
    </row>
    <row r="707410" spans="3:8" ht="15.6" x14ac:dyDescent="0.25">
      <c r="C707410" s="2"/>
      <c r="D707410" s="2"/>
      <c r="E707410" s="2"/>
      <c r="F707410" s="2"/>
      <c r="G707410" s="2"/>
      <c r="H707410" s="2"/>
    </row>
    <row r="707659" spans="3:8" ht="15.6" x14ac:dyDescent="0.25">
      <c r="C707659" s="2"/>
      <c r="D707659" s="2"/>
      <c r="E707659" s="2"/>
      <c r="F707659" s="2"/>
      <c r="G707659" s="2"/>
      <c r="H707659" s="2"/>
    </row>
    <row r="707908" spans="3:8" ht="15.6" x14ac:dyDescent="0.25">
      <c r="C707908" s="2"/>
      <c r="D707908" s="2"/>
      <c r="E707908" s="2"/>
      <c r="F707908" s="2"/>
      <c r="G707908" s="2"/>
      <c r="H707908" s="2"/>
    </row>
    <row r="708157" spans="3:8" ht="15.6" x14ac:dyDescent="0.25">
      <c r="C708157" s="2"/>
      <c r="D708157" s="2"/>
      <c r="E708157" s="2"/>
      <c r="F708157" s="2"/>
      <c r="G708157" s="2"/>
      <c r="H708157" s="2"/>
    </row>
    <row r="708406" spans="3:8" ht="15.6" x14ac:dyDescent="0.25">
      <c r="C708406" s="2"/>
      <c r="D708406" s="2"/>
      <c r="E708406" s="2"/>
      <c r="F708406" s="2"/>
      <c r="G708406" s="2"/>
      <c r="H708406" s="2"/>
    </row>
    <row r="708655" spans="3:8" ht="15.6" x14ac:dyDescent="0.25">
      <c r="C708655" s="2"/>
      <c r="D708655" s="2"/>
      <c r="E708655" s="2"/>
      <c r="F708655" s="2"/>
      <c r="G708655" s="2"/>
      <c r="H708655" s="2"/>
    </row>
    <row r="708904" spans="3:8" ht="15.6" x14ac:dyDescent="0.25">
      <c r="C708904" s="2"/>
      <c r="D708904" s="2"/>
      <c r="E708904" s="2"/>
      <c r="F708904" s="2"/>
      <c r="G708904" s="2"/>
      <c r="H708904" s="2"/>
    </row>
    <row r="709153" spans="3:8" ht="15.6" x14ac:dyDescent="0.25">
      <c r="C709153" s="2"/>
      <c r="D709153" s="2"/>
      <c r="E709153" s="2"/>
      <c r="F709153" s="2"/>
      <c r="G709153" s="2"/>
      <c r="H709153" s="2"/>
    </row>
    <row r="709402" spans="3:8" ht="15.6" x14ac:dyDescent="0.25">
      <c r="C709402" s="2"/>
      <c r="D709402" s="2"/>
      <c r="E709402" s="2"/>
      <c r="F709402" s="2"/>
      <c r="G709402" s="2"/>
      <c r="H709402" s="2"/>
    </row>
    <row r="709651" spans="3:8" ht="15.6" x14ac:dyDescent="0.25">
      <c r="C709651" s="2"/>
      <c r="D709651" s="2"/>
      <c r="E709651" s="2"/>
      <c r="F709651" s="2"/>
      <c r="G709651" s="2"/>
      <c r="H709651" s="2"/>
    </row>
    <row r="709900" spans="3:8" ht="15.6" x14ac:dyDescent="0.25">
      <c r="C709900" s="2"/>
      <c r="D709900" s="2"/>
      <c r="E709900" s="2"/>
      <c r="F709900" s="2"/>
      <c r="G709900" s="2"/>
      <c r="H709900" s="2"/>
    </row>
    <row r="710149" spans="3:8" ht="15.6" x14ac:dyDescent="0.25">
      <c r="C710149" s="2"/>
      <c r="D710149" s="2"/>
      <c r="E710149" s="2"/>
      <c r="F710149" s="2"/>
      <c r="G710149" s="2"/>
      <c r="H710149" s="2"/>
    </row>
    <row r="710398" spans="3:8" ht="15.6" x14ac:dyDescent="0.25">
      <c r="C710398" s="2"/>
      <c r="D710398" s="2"/>
      <c r="E710398" s="2"/>
      <c r="F710398" s="2"/>
      <c r="G710398" s="2"/>
      <c r="H710398" s="2"/>
    </row>
    <row r="710647" spans="3:8" ht="15.6" x14ac:dyDescent="0.25">
      <c r="C710647" s="2"/>
      <c r="D710647" s="2"/>
      <c r="E710647" s="2"/>
      <c r="F710647" s="2"/>
      <c r="G710647" s="2"/>
      <c r="H710647" s="2"/>
    </row>
    <row r="710896" spans="3:8" ht="15.6" x14ac:dyDescent="0.25">
      <c r="C710896" s="2"/>
      <c r="D710896" s="2"/>
      <c r="E710896" s="2"/>
      <c r="F710896" s="2"/>
      <c r="G710896" s="2"/>
      <c r="H710896" s="2"/>
    </row>
    <row r="711145" spans="3:8" ht="15.6" x14ac:dyDescent="0.25">
      <c r="C711145" s="2"/>
      <c r="D711145" s="2"/>
      <c r="E711145" s="2"/>
      <c r="F711145" s="2"/>
      <c r="G711145" s="2"/>
      <c r="H711145" s="2"/>
    </row>
    <row r="711394" spans="3:8" ht="15.6" x14ac:dyDescent="0.25">
      <c r="C711394" s="2"/>
      <c r="D711394" s="2"/>
      <c r="E711394" s="2"/>
      <c r="F711394" s="2"/>
      <c r="G711394" s="2"/>
      <c r="H711394" s="2"/>
    </row>
    <row r="711643" spans="3:8" ht="15.6" x14ac:dyDescent="0.25">
      <c r="C711643" s="2"/>
      <c r="D711643" s="2"/>
      <c r="E711643" s="2"/>
      <c r="F711643" s="2"/>
      <c r="G711643" s="2"/>
      <c r="H711643" s="2"/>
    </row>
    <row r="711892" spans="3:8" ht="15.6" x14ac:dyDescent="0.25">
      <c r="C711892" s="2"/>
      <c r="D711892" s="2"/>
      <c r="E711892" s="2"/>
      <c r="F711892" s="2"/>
      <c r="G711892" s="2"/>
      <c r="H711892" s="2"/>
    </row>
    <row r="712141" spans="3:8" ht="15.6" x14ac:dyDescent="0.25">
      <c r="C712141" s="2"/>
      <c r="D712141" s="2"/>
      <c r="E712141" s="2"/>
      <c r="F712141" s="2"/>
      <c r="G712141" s="2"/>
      <c r="H712141" s="2"/>
    </row>
    <row r="712390" spans="3:8" ht="15.6" x14ac:dyDescent="0.25">
      <c r="C712390" s="2"/>
      <c r="D712390" s="2"/>
      <c r="E712390" s="2"/>
      <c r="F712390" s="2"/>
      <c r="G712390" s="2"/>
      <c r="H712390" s="2"/>
    </row>
    <row r="712639" spans="3:8" ht="15.6" x14ac:dyDescent="0.25">
      <c r="C712639" s="2"/>
      <c r="D712639" s="2"/>
      <c r="E712639" s="2"/>
      <c r="F712639" s="2"/>
      <c r="G712639" s="2"/>
      <c r="H712639" s="2"/>
    </row>
    <row r="712888" spans="3:8" ht="15.6" x14ac:dyDescent="0.25">
      <c r="C712888" s="2"/>
      <c r="D712888" s="2"/>
      <c r="E712888" s="2"/>
      <c r="F712888" s="2"/>
      <c r="G712888" s="2"/>
      <c r="H712888" s="2"/>
    </row>
    <row r="713137" spans="3:8" ht="15.6" x14ac:dyDescent="0.25">
      <c r="C713137" s="2"/>
      <c r="D713137" s="2"/>
      <c r="E713137" s="2"/>
      <c r="F713137" s="2"/>
      <c r="G713137" s="2"/>
      <c r="H713137" s="2"/>
    </row>
    <row r="713386" spans="3:8" ht="15.6" x14ac:dyDescent="0.25">
      <c r="C713386" s="2"/>
      <c r="D713386" s="2"/>
      <c r="E713386" s="2"/>
      <c r="F713386" s="2"/>
      <c r="G713386" s="2"/>
      <c r="H713386" s="2"/>
    </row>
    <row r="713635" spans="3:8" ht="15.6" x14ac:dyDescent="0.25">
      <c r="C713635" s="2"/>
      <c r="D713635" s="2"/>
      <c r="E713635" s="2"/>
      <c r="F713635" s="2"/>
      <c r="G713635" s="2"/>
      <c r="H713635" s="2"/>
    </row>
    <row r="713884" spans="3:8" ht="15.6" x14ac:dyDescent="0.25">
      <c r="C713884" s="2"/>
      <c r="D713884" s="2"/>
      <c r="E713884" s="2"/>
      <c r="F713884" s="2"/>
      <c r="G713884" s="2"/>
      <c r="H713884" s="2"/>
    </row>
    <row r="714133" spans="3:8" ht="15.6" x14ac:dyDescent="0.25">
      <c r="C714133" s="2"/>
      <c r="D714133" s="2"/>
      <c r="E714133" s="2"/>
      <c r="F714133" s="2"/>
      <c r="G714133" s="2"/>
      <c r="H714133" s="2"/>
    </row>
    <row r="714382" spans="3:8" ht="15.6" x14ac:dyDescent="0.25">
      <c r="C714382" s="2"/>
      <c r="D714382" s="2"/>
      <c r="E714382" s="2"/>
      <c r="F714382" s="2"/>
      <c r="G714382" s="2"/>
      <c r="H714382" s="2"/>
    </row>
    <row r="714631" spans="3:8" ht="15.6" x14ac:dyDescent="0.25">
      <c r="C714631" s="2"/>
      <c r="D714631" s="2"/>
      <c r="E714631" s="2"/>
      <c r="F714631" s="2"/>
      <c r="G714631" s="2"/>
      <c r="H714631" s="2"/>
    </row>
    <row r="714880" spans="3:8" ht="15.6" x14ac:dyDescent="0.25">
      <c r="C714880" s="2"/>
      <c r="D714880" s="2"/>
      <c r="E714880" s="2"/>
      <c r="F714880" s="2"/>
      <c r="G714880" s="2"/>
      <c r="H714880" s="2"/>
    </row>
    <row r="715129" spans="3:8" ht="15.6" x14ac:dyDescent="0.25">
      <c r="C715129" s="2"/>
      <c r="D715129" s="2"/>
      <c r="E715129" s="2"/>
      <c r="F715129" s="2"/>
      <c r="G715129" s="2"/>
      <c r="H715129" s="2"/>
    </row>
    <row r="715378" spans="3:8" ht="15.6" x14ac:dyDescent="0.25">
      <c r="C715378" s="2"/>
      <c r="D715378" s="2"/>
      <c r="E715378" s="2"/>
      <c r="F715378" s="2"/>
      <c r="G715378" s="2"/>
      <c r="H715378" s="2"/>
    </row>
    <row r="715627" spans="3:8" ht="15.6" x14ac:dyDescent="0.25">
      <c r="C715627" s="2"/>
      <c r="D715627" s="2"/>
      <c r="E715627" s="2"/>
      <c r="F715627" s="2"/>
      <c r="G715627" s="2"/>
      <c r="H715627" s="2"/>
    </row>
    <row r="715876" spans="3:8" ht="15.6" x14ac:dyDescent="0.25">
      <c r="C715876" s="2"/>
      <c r="D715876" s="2"/>
      <c r="E715876" s="2"/>
      <c r="F715876" s="2"/>
      <c r="G715876" s="2"/>
      <c r="H715876" s="2"/>
    </row>
    <row r="716125" spans="3:8" ht="15.6" x14ac:dyDescent="0.25">
      <c r="C716125" s="2"/>
      <c r="D716125" s="2"/>
      <c r="E716125" s="2"/>
      <c r="F716125" s="2"/>
      <c r="G716125" s="2"/>
      <c r="H716125" s="2"/>
    </row>
    <row r="716374" spans="3:8" ht="15.6" x14ac:dyDescent="0.25">
      <c r="C716374" s="2"/>
      <c r="D716374" s="2"/>
      <c r="E716374" s="2"/>
      <c r="F716374" s="2"/>
      <c r="G716374" s="2"/>
      <c r="H716374" s="2"/>
    </row>
    <row r="716623" spans="3:8" ht="15.6" x14ac:dyDescent="0.25">
      <c r="C716623" s="2"/>
      <c r="D716623" s="2"/>
      <c r="E716623" s="2"/>
      <c r="F716623" s="2"/>
      <c r="G716623" s="2"/>
      <c r="H716623" s="2"/>
    </row>
    <row r="716872" spans="3:8" ht="15.6" x14ac:dyDescent="0.25">
      <c r="C716872" s="2"/>
      <c r="D716872" s="2"/>
      <c r="E716872" s="2"/>
      <c r="F716872" s="2"/>
      <c r="G716872" s="2"/>
      <c r="H716872" s="2"/>
    </row>
    <row r="717121" spans="3:8" ht="15.6" x14ac:dyDescent="0.25">
      <c r="C717121" s="2"/>
      <c r="D717121" s="2"/>
      <c r="E717121" s="2"/>
      <c r="F717121" s="2"/>
      <c r="G717121" s="2"/>
      <c r="H717121" s="2"/>
    </row>
    <row r="717370" spans="3:8" ht="15.6" x14ac:dyDescent="0.25">
      <c r="C717370" s="2"/>
      <c r="D717370" s="2"/>
      <c r="E717370" s="2"/>
      <c r="F717370" s="2"/>
      <c r="G717370" s="2"/>
      <c r="H717370" s="2"/>
    </row>
    <row r="717619" spans="3:8" ht="15.6" x14ac:dyDescent="0.25">
      <c r="C717619" s="2"/>
      <c r="D717619" s="2"/>
      <c r="E717619" s="2"/>
      <c r="F717619" s="2"/>
      <c r="G717619" s="2"/>
      <c r="H717619" s="2"/>
    </row>
    <row r="717868" spans="3:8" ht="15.6" x14ac:dyDescent="0.25">
      <c r="C717868" s="2"/>
      <c r="D717868" s="2"/>
      <c r="E717868" s="2"/>
      <c r="F717868" s="2"/>
      <c r="G717868" s="2"/>
      <c r="H717868" s="2"/>
    </row>
    <row r="718117" spans="3:8" ht="15.6" x14ac:dyDescent="0.25">
      <c r="C718117" s="2"/>
      <c r="D718117" s="2"/>
      <c r="E718117" s="2"/>
      <c r="F718117" s="2"/>
      <c r="G718117" s="2"/>
      <c r="H718117" s="2"/>
    </row>
    <row r="718366" spans="3:8" ht="15.6" x14ac:dyDescent="0.25">
      <c r="C718366" s="2"/>
      <c r="D718366" s="2"/>
      <c r="E718366" s="2"/>
      <c r="F718366" s="2"/>
      <c r="G718366" s="2"/>
      <c r="H718366" s="2"/>
    </row>
    <row r="718615" spans="3:8" ht="15.6" x14ac:dyDescent="0.25">
      <c r="C718615" s="2"/>
      <c r="D718615" s="2"/>
      <c r="E718615" s="2"/>
      <c r="F718615" s="2"/>
      <c r="G718615" s="2"/>
      <c r="H718615" s="2"/>
    </row>
    <row r="718864" spans="3:8" ht="15.6" x14ac:dyDescent="0.25">
      <c r="C718864" s="2"/>
      <c r="D718864" s="2"/>
      <c r="E718864" s="2"/>
      <c r="F718864" s="2"/>
      <c r="G718864" s="2"/>
      <c r="H718864" s="2"/>
    </row>
    <row r="719113" spans="3:8" ht="15.6" x14ac:dyDescent="0.25">
      <c r="C719113" s="2"/>
      <c r="D719113" s="2"/>
      <c r="E719113" s="2"/>
      <c r="F719113" s="2"/>
      <c r="G719113" s="2"/>
      <c r="H719113" s="2"/>
    </row>
    <row r="719362" spans="3:8" ht="15.6" x14ac:dyDescent="0.25">
      <c r="C719362" s="2"/>
      <c r="D719362" s="2"/>
      <c r="E719362" s="2"/>
      <c r="F719362" s="2"/>
      <c r="G719362" s="2"/>
      <c r="H719362" s="2"/>
    </row>
    <row r="719611" spans="3:8" ht="15.6" x14ac:dyDescent="0.25">
      <c r="C719611" s="2"/>
      <c r="D719611" s="2"/>
      <c r="E719611" s="2"/>
      <c r="F719611" s="2"/>
      <c r="G719611" s="2"/>
      <c r="H719611" s="2"/>
    </row>
    <row r="719860" spans="3:8" ht="15.6" x14ac:dyDescent="0.25">
      <c r="C719860" s="2"/>
      <c r="D719860" s="2"/>
      <c r="E719860" s="2"/>
      <c r="F719860" s="2"/>
      <c r="G719860" s="2"/>
      <c r="H719860" s="2"/>
    </row>
    <row r="720109" spans="3:8" ht="15.6" x14ac:dyDescent="0.25">
      <c r="C720109" s="2"/>
      <c r="D720109" s="2"/>
      <c r="E720109" s="2"/>
      <c r="F720109" s="2"/>
      <c r="G720109" s="2"/>
      <c r="H720109" s="2"/>
    </row>
    <row r="720358" spans="3:8" ht="15.6" x14ac:dyDescent="0.25">
      <c r="C720358" s="2"/>
      <c r="D720358" s="2"/>
      <c r="E720358" s="2"/>
      <c r="F720358" s="2"/>
      <c r="G720358" s="2"/>
      <c r="H720358" s="2"/>
    </row>
    <row r="720607" spans="3:8" ht="15.6" x14ac:dyDescent="0.25">
      <c r="C720607" s="2"/>
      <c r="D720607" s="2"/>
      <c r="E720607" s="2"/>
      <c r="F720607" s="2"/>
      <c r="G720607" s="2"/>
      <c r="H720607" s="2"/>
    </row>
    <row r="720856" spans="3:8" ht="15.6" x14ac:dyDescent="0.25">
      <c r="C720856" s="2"/>
      <c r="D720856" s="2"/>
      <c r="E720856" s="2"/>
      <c r="F720856" s="2"/>
      <c r="G720856" s="2"/>
      <c r="H720856" s="2"/>
    </row>
    <row r="721105" spans="3:8" ht="15.6" x14ac:dyDescent="0.25">
      <c r="C721105" s="2"/>
      <c r="D721105" s="2"/>
      <c r="E721105" s="2"/>
      <c r="F721105" s="2"/>
      <c r="G721105" s="2"/>
      <c r="H721105" s="2"/>
    </row>
    <row r="721354" spans="3:8" ht="15.6" x14ac:dyDescent="0.25">
      <c r="C721354" s="2"/>
      <c r="D721354" s="2"/>
      <c r="E721354" s="2"/>
      <c r="F721354" s="2"/>
      <c r="G721354" s="2"/>
      <c r="H721354" s="2"/>
    </row>
    <row r="721603" spans="3:8" ht="15.6" x14ac:dyDescent="0.25">
      <c r="C721603" s="2"/>
      <c r="D721603" s="2"/>
      <c r="E721603" s="2"/>
      <c r="F721603" s="2"/>
      <c r="G721603" s="2"/>
      <c r="H721603" s="2"/>
    </row>
    <row r="721852" spans="3:8" ht="15.6" x14ac:dyDescent="0.25">
      <c r="C721852" s="2"/>
      <c r="D721852" s="2"/>
      <c r="E721852" s="2"/>
      <c r="F721852" s="2"/>
      <c r="G721852" s="2"/>
      <c r="H721852" s="2"/>
    </row>
    <row r="722101" spans="3:8" ht="15.6" x14ac:dyDescent="0.25">
      <c r="C722101" s="2"/>
      <c r="D722101" s="2"/>
      <c r="E722101" s="2"/>
      <c r="F722101" s="2"/>
      <c r="G722101" s="2"/>
      <c r="H722101" s="2"/>
    </row>
    <row r="722350" spans="3:8" ht="15.6" x14ac:dyDescent="0.25">
      <c r="C722350" s="2"/>
      <c r="D722350" s="2"/>
      <c r="E722350" s="2"/>
      <c r="F722350" s="2"/>
      <c r="G722350" s="2"/>
      <c r="H722350" s="2"/>
    </row>
    <row r="722599" spans="3:8" ht="15.6" x14ac:dyDescent="0.25">
      <c r="C722599" s="2"/>
      <c r="D722599" s="2"/>
      <c r="E722599" s="2"/>
      <c r="F722599" s="2"/>
      <c r="G722599" s="2"/>
      <c r="H722599" s="2"/>
    </row>
    <row r="722848" spans="3:8" ht="15.6" x14ac:dyDescent="0.25">
      <c r="C722848" s="2"/>
      <c r="D722848" s="2"/>
      <c r="E722848" s="2"/>
      <c r="F722848" s="2"/>
      <c r="G722848" s="2"/>
      <c r="H722848" s="2"/>
    </row>
    <row r="723097" spans="3:8" ht="15.6" x14ac:dyDescent="0.25">
      <c r="C723097" s="2"/>
      <c r="D723097" s="2"/>
      <c r="E723097" s="2"/>
      <c r="F723097" s="2"/>
      <c r="G723097" s="2"/>
      <c r="H723097" s="2"/>
    </row>
    <row r="723346" spans="3:8" ht="15.6" x14ac:dyDescent="0.25">
      <c r="C723346" s="2"/>
      <c r="D723346" s="2"/>
      <c r="E723346" s="2"/>
      <c r="F723346" s="2"/>
      <c r="G723346" s="2"/>
      <c r="H723346" s="2"/>
    </row>
    <row r="723595" spans="3:8" ht="15.6" x14ac:dyDescent="0.25">
      <c r="C723595" s="2"/>
      <c r="D723595" s="2"/>
      <c r="E723595" s="2"/>
      <c r="F723595" s="2"/>
      <c r="G723595" s="2"/>
      <c r="H723595" s="2"/>
    </row>
    <row r="723844" spans="3:8" ht="15.6" x14ac:dyDescent="0.25">
      <c r="C723844" s="2"/>
      <c r="D723844" s="2"/>
      <c r="E723844" s="2"/>
      <c r="F723844" s="2"/>
      <c r="G723844" s="2"/>
      <c r="H723844" s="2"/>
    </row>
    <row r="724093" spans="3:8" ht="15.6" x14ac:dyDescent="0.25">
      <c r="C724093" s="2"/>
      <c r="D724093" s="2"/>
      <c r="E724093" s="2"/>
      <c r="F724093" s="2"/>
      <c r="G724093" s="2"/>
      <c r="H724093" s="2"/>
    </row>
    <row r="724342" spans="3:8" ht="15.6" x14ac:dyDescent="0.25">
      <c r="C724342" s="2"/>
      <c r="D724342" s="2"/>
      <c r="E724342" s="2"/>
      <c r="F724342" s="2"/>
      <c r="G724342" s="2"/>
      <c r="H724342" s="2"/>
    </row>
    <row r="724591" spans="3:8" ht="15.6" x14ac:dyDescent="0.25">
      <c r="C724591" s="2"/>
      <c r="D724591" s="2"/>
      <c r="E724591" s="2"/>
      <c r="F724591" s="2"/>
      <c r="G724591" s="2"/>
      <c r="H724591" s="2"/>
    </row>
    <row r="724840" spans="3:8" ht="15.6" x14ac:dyDescent="0.25">
      <c r="C724840" s="2"/>
      <c r="D724840" s="2"/>
      <c r="E724840" s="2"/>
      <c r="F724840" s="2"/>
      <c r="G724840" s="2"/>
      <c r="H724840" s="2"/>
    </row>
    <row r="725089" spans="3:8" ht="15.6" x14ac:dyDescent="0.25">
      <c r="C725089" s="2"/>
      <c r="D725089" s="2"/>
      <c r="E725089" s="2"/>
      <c r="F725089" s="2"/>
      <c r="G725089" s="2"/>
      <c r="H725089" s="2"/>
    </row>
    <row r="725338" spans="3:8" ht="15.6" x14ac:dyDescent="0.25">
      <c r="C725338" s="2"/>
      <c r="D725338" s="2"/>
      <c r="E725338" s="2"/>
      <c r="F725338" s="2"/>
      <c r="G725338" s="2"/>
      <c r="H725338" s="2"/>
    </row>
    <row r="725587" spans="3:8" ht="15.6" x14ac:dyDescent="0.25">
      <c r="C725587" s="2"/>
      <c r="D725587" s="2"/>
      <c r="E725587" s="2"/>
      <c r="F725587" s="2"/>
      <c r="G725587" s="2"/>
      <c r="H725587" s="2"/>
    </row>
    <row r="725836" spans="3:8" ht="15.6" x14ac:dyDescent="0.25">
      <c r="C725836" s="2"/>
      <c r="D725836" s="2"/>
      <c r="E725836" s="2"/>
      <c r="F725836" s="2"/>
      <c r="G725836" s="2"/>
      <c r="H725836" s="2"/>
    </row>
    <row r="726085" spans="3:8" ht="15.6" x14ac:dyDescent="0.25">
      <c r="C726085" s="2"/>
      <c r="D726085" s="2"/>
      <c r="E726085" s="2"/>
      <c r="F726085" s="2"/>
      <c r="G726085" s="2"/>
      <c r="H726085" s="2"/>
    </row>
    <row r="726334" spans="3:8" ht="15.6" x14ac:dyDescent="0.25">
      <c r="C726334" s="2"/>
      <c r="D726334" s="2"/>
      <c r="E726334" s="2"/>
      <c r="F726334" s="2"/>
      <c r="G726334" s="2"/>
      <c r="H726334" s="2"/>
    </row>
    <row r="726583" spans="3:8" ht="15.6" x14ac:dyDescent="0.25">
      <c r="C726583" s="2"/>
      <c r="D726583" s="2"/>
      <c r="E726583" s="2"/>
      <c r="F726583" s="2"/>
      <c r="G726583" s="2"/>
      <c r="H726583" s="2"/>
    </row>
    <row r="726832" spans="3:8" ht="15.6" x14ac:dyDescent="0.25">
      <c r="C726832" s="2"/>
      <c r="D726832" s="2"/>
      <c r="E726832" s="2"/>
      <c r="F726832" s="2"/>
      <c r="G726832" s="2"/>
      <c r="H726832" s="2"/>
    </row>
    <row r="727081" spans="3:8" ht="15.6" x14ac:dyDescent="0.25">
      <c r="C727081" s="2"/>
      <c r="D727081" s="2"/>
      <c r="E727081" s="2"/>
      <c r="F727081" s="2"/>
      <c r="G727081" s="2"/>
      <c r="H727081" s="2"/>
    </row>
    <row r="727330" spans="3:8" ht="15.6" x14ac:dyDescent="0.25">
      <c r="C727330" s="2"/>
      <c r="D727330" s="2"/>
      <c r="E727330" s="2"/>
      <c r="F727330" s="2"/>
      <c r="G727330" s="2"/>
      <c r="H727330" s="2"/>
    </row>
    <row r="727579" spans="3:8" ht="15.6" x14ac:dyDescent="0.25">
      <c r="C727579" s="2"/>
      <c r="D727579" s="2"/>
      <c r="E727579" s="2"/>
      <c r="F727579" s="2"/>
      <c r="G727579" s="2"/>
      <c r="H727579" s="2"/>
    </row>
    <row r="727828" spans="3:8" ht="15.6" x14ac:dyDescent="0.25">
      <c r="C727828" s="2"/>
      <c r="D727828" s="2"/>
      <c r="E727828" s="2"/>
      <c r="F727828" s="2"/>
      <c r="G727828" s="2"/>
      <c r="H727828" s="2"/>
    </row>
    <row r="728077" spans="3:8" ht="15.6" x14ac:dyDescent="0.25">
      <c r="C728077" s="2"/>
      <c r="D728077" s="2"/>
      <c r="E728077" s="2"/>
      <c r="F728077" s="2"/>
      <c r="G728077" s="2"/>
      <c r="H728077" s="2"/>
    </row>
    <row r="728326" spans="3:8" ht="15.6" x14ac:dyDescent="0.25">
      <c r="C728326" s="2"/>
      <c r="D728326" s="2"/>
      <c r="E728326" s="2"/>
      <c r="F728326" s="2"/>
      <c r="G728326" s="2"/>
      <c r="H728326" s="2"/>
    </row>
    <row r="728575" spans="3:8" ht="15.6" x14ac:dyDescent="0.25">
      <c r="C728575" s="2"/>
      <c r="D728575" s="2"/>
      <c r="E728575" s="2"/>
      <c r="F728575" s="2"/>
      <c r="G728575" s="2"/>
      <c r="H728575" s="2"/>
    </row>
    <row r="728824" spans="3:8" ht="15.6" x14ac:dyDescent="0.25">
      <c r="C728824" s="2"/>
      <c r="D728824" s="2"/>
      <c r="E728824" s="2"/>
      <c r="F728824" s="2"/>
      <c r="G728824" s="2"/>
      <c r="H728824" s="2"/>
    </row>
    <row r="729073" spans="3:8" ht="15.6" x14ac:dyDescent="0.25">
      <c r="C729073" s="2"/>
      <c r="D729073" s="2"/>
      <c r="E729073" s="2"/>
      <c r="F729073" s="2"/>
      <c r="G729073" s="2"/>
      <c r="H729073" s="2"/>
    </row>
    <row r="729322" spans="3:8" ht="15.6" x14ac:dyDescent="0.25">
      <c r="C729322" s="2"/>
      <c r="D729322" s="2"/>
      <c r="E729322" s="2"/>
      <c r="F729322" s="2"/>
      <c r="G729322" s="2"/>
      <c r="H729322" s="2"/>
    </row>
    <row r="729571" spans="3:8" ht="15.6" x14ac:dyDescent="0.25">
      <c r="C729571" s="2"/>
      <c r="D729571" s="2"/>
      <c r="E729571" s="2"/>
      <c r="F729571" s="2"/>
      <c r="G729571" s="2"/>
      <c r="H729571" s="2"/>
    </row>
    <row r="729820" spans="3:8" ht="15.6" x14ac:dyDescent="0.25">
      <c r="C729820" s="2"/>
      <c r="D729820" s="2"/>
      <c r="E729820" s="2"/>
      <c r="F729820" s="2"/>
      <c r="G729820" s="2"/>
      <c r="H729820" s="2"/>
    </row>
    <row r="730069" spans="3:8" ht="15.6" x14ac:dyDescent="0.25">
      <c r="C730069" s="2"/>
      <c r="D730069" s="2"/>
      <c r="E730069" s="2"/>
      <c r="F730069" s="2"/>
      <c r="G730069" s="2"/>
      <c r="H730069" s="2"/>
    </row>
    <row r="730318" spans="3:8" ht="15.6" x14ac:dyDescent="0.25">
      <c r="C730318" s="2"/>
      <c r="D730318" s="2"/>
      <c r="E730318" s="2"/>
      <c r="F730318" s="2"/>
      <c r="G730318" s="2"/>
      <c r="H730318" s="2"/>
    </row>
    <row r="730567" spans="3:8" ht="15.6" x14ac:dyDescent="0.25">
      <c r="C730567" s="2"/>
      <c r="D730567" s="2"/>
      <c r="E730567" s="2"/>
      <c r="F730567" s="2"/>
      <c r="G730567" s="2"/>
      <c r="H730567" s="2"/>
    </row>
    <row r="730816" spans="3:8" ht="15.6" x14ac:dyDescent="0.25">
      <c r="C730816" s="2"/>
      <c r="D730816" s="2"/>
      <c r="E730816" s="2"/>
      <c r="F730816" s="2"/>
      <c r="G730816" s="2"/>
      <c r="H730816" s="2"/>
    </row>
    <row r="731065" spans="3:8" ht="15.6" x14ac:dyDescent="0.25">
      <c r="C731065" s="2"/>
      <c r="D731065" s="2"/>
      <c r="E731065" s="2"/>
      <c r="F731065" s="2"/>
      <c r="G731065" s="2"/>
      <c r="H731065" s="2"/>
    </row>
    <row r="731314" spans="3:8" ht="15.6" x14ac:dyDescent="0.25">
      <c r="C731314" s="2"/>
      <c r="D731314" s="2"/>
      <c r="E731314" s="2"/>
      <c r="F731314" s="2"/>
      <c r="G731314" s="2"/>
      <c r="H731314" s="2"/>
    </row>
    <row r="731563" spans="3:8" ht="15.6" x14ac:dyDescent="0.25">
      <c r="C731563" s="2"/>
      <c r="D731563" s="2"/>
      <c r="E731563" s="2"/>
      <c r="F731563" s="2"/>
      <c r="G731563" s="2"/>
      <c r="H731563" s="2"/>
    </row>
    <row r="731812" spans="3:8" ht="15.6" x14ac:dyDescent="0.25">
      <c r="C731812" s="2"/>
      <c r="D731812" s="2"/>
      <c r="E731812" s="2"/>
      <c r="F731812" s="2"/>
      <c r="G731812" s="2"/>
      <c r="H731812" s="2"/>
    </row>
    <row r="732061" spans="3:8" ht="15.6" x14ac:dyDescent="0.25">
      <c r="C732061" s="2"/>
      <c r="D732061" s="2"/>
      <c r="E732061" s="2"/>
      <c r="F732061" s="2"/>
      <c r="G732061" s="2"/>
      <c r="H732061" s="2"/>
    </row>
    <row r="732310" spans="3:8" ht="15.6" x14ac:dyDescent="0.25">
      <c r="C732310" s="2"/>
      <c r="D732310" s="2"/>
      <c r="E732310" s="2"/>
      <c r="F732310" s="2"/>
      <c r="G732310" s="2"/>
      <c r="H732310" s="2"/>
    </row>
    <row r="732559" spans="3:8" ht="15.6" x14ac:dyDescent="0.25">
      <c r="C732559" s="2"/>
      <c r="D732559" s="2"/>
      <c r="E732559" s="2"/>
      <c r="F732559" s="2"/>
      <c r="G732559" s="2"/>
      <c r="H732559" s="2"/>
    </row>
    <row r="732808" spans="3:8" ht="15.6" x14ac:dyDescent="0.25">
      <c r="C732808" s="2"/>
      <c r="D732808" s="2"/>
      <c r="E732808" s="2"/>
      <c r="F732808" s="2"/>
      <c r="G732808" s="2"/>
      <c r="H732808" s="2"/>
    </row>
    <row r="733057" spans="3:8" ht="15.6" x14ac:dyDescent="0.25">
      <c r="C733057" s="2"/>
      <c r="D733057" s="2"/>
      <c r="E733057" s="2"/>
      <c r="F733057" s="2"/>
      <c r="G733057" s="2"/>
      <c r="H733057" s="2"/>
    </row>
    <row r="733306" spans="3:8" ht="15.6" x14ac:dyDescent="0.25">
      <c r="C733306" s="2"/>
      <c r="D733306" s="2"/>
      <c r="E733306" s="2"/>
      <c r="F733306" s="2"/>
      <c r="G733306" s="2"/>
      <c r="H733306" s="2"/>
    </row>
    <row r="733555" spans="3:8" ht="15.6" x14ac:dyDescent="0.25">
      <c r="C733555" s="2"/>
      <c r="D733555" s="2"/>
      <c r="E733555" s="2"/>
      <c r="F733555" s="2"/>
      <c r="G733555" s="2"/>
      <c r="H733555" s="2"/>
    </row>
    <row r="733804" spans="3:8" ht="15.6" x14ac:dyDescent="0.25">
      <c r="C733804" s="2"/>
      <c r="D733804" s="2"/>
      <c r="E733804" s="2"/>
      <c r="F733804" s="2"/>
      <c r="G733804" s="2"/>
      <c r="H733804" s="2"/>
    </row>
    <row r="734053" spans="3:8" ht="15.6" x14ac:dyDescent="0.25">
      <c r="C734053" s="2"/>
      <c r="D734053" s="2"/>
      <c r="E734053" s="2"/>
      <c r="F734053" s="2"/>
      <c r="G734053" s="2"/>
      <c r="H734053" s="2"/>
    </row>
    <row r="734302" spans="3:8" ht="15.6" x14ac:dyDescent="0.25">
      <c r="C734302" s="2"/>
      <c r="D734302" s="2"/>
      <c r="E734302" s="2"/>
      <c r="F734302" s="2"/>
      <c r="G734302" s="2"/>
      <c r="H734302" s="2"/>
    </row>
    <row r="734551" spans="3:8" ht="15.6" x14ac:dyDescent="0.25">
      <c r="C734551" s="2"/>
      <c r="D734551" s="2"/>
      <c r="E734551" s="2"/>
      <c r="F734551" s="2"/>
      <c r="G734551" s="2"/>
      <c r="H734551" s="2"/>
    </row>
    <row r="734800" spans="3:8" ht="15.6" x14ac:dyDescent="0.25">
      <c r="C734800" s="2"/>
      <c r="D734800" s="2"/>
      <c r="E734800" s="2"/>
      <c r="F734800" s="2"/>
      <c r="G734800" s="2"/>
      <c r="H734800" s="2"/>
    </row>
    <row r="735049" spans="3:8" ht="15.6" x14ac:dyDescent="0.25">
      <c r="C735049" s="2"/>
      <c r="D735049" s="2"/>
      <c r="E735049" s="2"/>
      <c r="F735049" s="2"/>
      <c r="G735049" s="2"/>
      <c r="H735049" s="2"/>
    </row>
    <row r="735298" spans="3:8" ht="15.6" x14ac:dyDescent="0.25">
      <c r="C735298" s="2"/>
      <c r="D735298" s="2"/>
      <c r="E735298" s="2"/>
      <c r="F735298" s="2"/>
      <c r="G735298" s="2"/>
      <c r="H735298" s="2"/>
    </row>
    <row r="735547" spans="3:8" ht="15.6" x14ac:dyDescent="0.25">
      <c r="C735547" s="2"/>
      <c r="D735547" s="2"/>
      <c r="E735547" s="2"/>
      <c r="F735547" s="2"/>
      <c r="G735547" s="2"/>
      <c r="H735547" s="2"/>
    </row>
    <row r="735796" spans="3:8" ht="15.6" x14ac:dyDescent="0.25">
      <c r="C735796" s="2"/>
      <c r="D735796" s="2"/>
      <c r="E735796" s="2"/>
      <c r="F735796" s="2"/>
      <c r="G735796" s="2"/>
      <c r="H735796" s="2"/>
    </row>
    <row r="736045" spans="3:8" ht="15.6" x14ac:dyDescent="0.25">
      <c r="C736045" s="2"/>
      <c r="D736045" s="2"/>
      <c r="E736045" s="2"/>
      <c r="F736045" s="2"/>
      <c r="G736045" s="2"/>
      <c r="H736045" s="2"/>
    </row>
    <row r="736294" spans="3:8" ht="15.6" x14ac:dyDescent="0.25">
      <c r="C736294" s="2"/>
      <c r="D736294" s="2"/>
      <c r="E736294" s="2"/>
      <c r="F736294" s="2"/>
      <c r="G736294" s="2"/>
      <c r="H736294" s="2"/>
    </row>
    <row r="736543" spans="3:8" ht="15.6" x14ac:dyDescent="0.25">
      <c r="C736543" s="2"/>
      <c r="D736543" s="2"/>
      <c r="E736543" s="2"/>
      <c r="F736543" s="2"/>
      <c r="G736543" s="2"/>
      <c r="H736543" s="2"/>
    </row>
    <row r="736792" spans="3:8" ht="15.6" x14ac:dyDescent="0.25">
      <c r="C736792" s="2"/>
      <c r="D736792" s="2"/>
      <c r="E736792" s="2"/>
      <c r="F736792" s="2"/>
      <c r="G736792" s="2"/>
      <c r="H736792" s="2"/>
    </row>
    <row r="737041" spans="3:8" ht="15.6" x14ac:dyDescent="0.25">
      <c r="C737041" s="2"/>
      <c r="D737041" s="2"/>
      <c r="E737041" s="2"/>
      <c r="F737041" s="2"/>
      <c r="G737041" s="2"/>
      <c r="H737041" s="2"/>
    </row>
    <row r="737290" spans="3:8" ht="15.6" x14ac:dyDescent="0.25">
      <c r="C737290" s="2"/>
      <c r="D737290" s="2"/>
      <c r="E737290" s="2"/>
      <c r="F737290" s="2"/>
      <c r="G737290" s="2"/>
      <c r="H737290" s="2"/>
    </row>
    <row r="737539" spans="3:8" ht="15.6" x14ac:dyDescent="0.25">
      <c r="C737539" s="2"/>
      <c r="D737539" s="2"/>
      <c r="E737539" s="2"/>
      <c r="F737539" s="2"/>
      <c r="G737539" s="2"/>
      <c r="H737539" s="2"/>
    </row>
    <row r="737788" spans="3:8" ht="15.6" x14ac:dyDescent="0.25">
      <c r="C737788" s="2"/>
      <c r="D737788" s="2"/>
      <c r="E737788" s="2"/>
      <c r="F737788" s="2"/>
      <c r="G737788" s="2"/>
      <c r="H737788" s="2"/>
    </row>
    <row r="738037" spans="3:8" ht="15.6" x14ac:dyDescent="0.25">
      <c r="C738037" s="2"/>
      <c r="D738037" s="2"/>
      <c r="E738037" s="2"/>
      <c r="F738037" s="2"/>
      <c r="G738037" s="2"/>
      <c r="H738037" s="2"/>
    </row>
    <row r="738286" spans="3:8" ht="15.6" x14ac:dyDescent="0.25">
      <c r="C738286" s="2"/>
      <c r="D738286" s="2"/>
      <c r="E738286" s="2"/>
      <c r="F738286" s="2"/>
      <c r="G738286" s="2"/>
      <c r="H738286" s="2"/>
    </row>
    <row r="738535" spans="3:8" ht="15.6" x14ac:dyDescent="0.25">
      <c r="C738535" s="2"/>
      <c r="D738535" s="2"/>
      <c r="E738535" s="2"/>
      <c r="F738535" s="2"/>
      <c r="G738535" s="2"/>
      <c r="H738535" s="2"/>
    </row>
    <row r="738784" spans="3:8" ht="15.6" x14ac:dyDescent="0.25">
      <c r="C738784" s="2"/>
      <c r="D738784" s="2"/>
      <c r="E738784" s="2"/>
      <c r="F738784" s="2"/>
      <c r="G738784" s="2"/>
      <c r="H738784" s="2"/>
    </row>
    <row r="739033" spans="3:8" ht="15.6" x14ac:dyDescent="0.25">
      <c r="C739033" s="2"/>
      <c r="D739033" s="2"/>
      <c r="E739033" s="2"/>
      <c r="F739033" s="2"/>
      <c r="G739033" s="2"/>
      <c r="H739033" s="2"/>
    </row>
    <row r="739282" spans="3:8" ht="15.6" x14ac:dyDescent="0.25">
      <c r="C739282" s="2"/>
      <c r="D739282" s="2"/>
      <c r="E739282" s="2"/>
      <c r="F739282" s="2"/>
      <c r="G739282" s="2"/>
      <c r="H739282" s="2"/>
    </row>
    <row r="739531" spans="3:8" ht="15.6" x14ac:dyDescent="0.25">
      <c r="C739531" s="2"/>
      <c r="D739531" s="2"/>
      <c r="E739531" s="2"/>
      <c r="F739531" s="2"/>
      <c r="G739531" s="2"/>
      <c r="H739531" s="2"/>
    </row>
    <row r="739780" spans="3:8" ht="15.6" x14ac:dyDescent="0.25">
      <c r="C739780" s="2"/>
      <c r="D739780" s="2"/>
      <c r="E739780" s="2"/>
      <c r="F739780" s="2"/>
      <c r="G739780" s="2"/>
      <c r="H739780" s="2"/>
    </row>
    <row r="740029" spans="3:8" ht="15.6" x14ac:dyDescent="0.25">
      <c r="C740029" s="2"/>
      <c r="D740029" s="2"/>
      <c r="E740029" s="2"/>
      <c r="F740029" s="2"/>
      <c r="G740029" s="2"/>
      <c r="H740029" s="2"/>
    </row>
    <row r="740278" spans="3:8" ht="15.6" x14ac:dyDescent="0.25">
      <c r="C740278" s="2"/>
      <c r="D740278" s="2"/>
      <c r="E740278" s="2"/>
      <c r="F740278" s="2"/>
      <c r="G740278" s="2"/>
      <c r="H740278" s="2"/>
    </row>
    <row r="740527" spans="3:8" ht="15.6" x14ac:dyDescent="0.25">
      <c r="C740527" s="2"/>
      <c r="D740527" s="2"/>
      <c r="E740527" s="2"/>
      <c r="F740527" s="2"/>
      <c r="G740527" s="2"/>
      <c r="H740527" s="2"/>
    </row>
    <row r="740776" spans="3:8" ht="15.6" x14ac:dyDescent="0.25">
      <c r="C740776" s="2"/>
      <c r="D740776" s="2"/>
      <c r="E740776" s="2"/>
      <c r="F740776" s="2"/>
      <c r="G740776" s="2"/>
      <c r="H740776" s="2"/>
    </row>
    <row r="741025" spans="3:8" ht="15.6" x14ac:dyDescent="0.25">
      <c r="C741025" s="2"/>
      <c r="D741025" s="2"/>
      <c r="E741025" s="2"/>
      <c r="F741025" s="2"/>
      <c r="G741025" s="2"/>
      <c r="H741025" s="2"/>
    </row>
    <row r="741274" spans="3:8" ht="15.6" x14ac:dyDescent="0.25">
      <c r="C741274" s="2"/>
      <c r="D741274" s="2"/>
      <c r="E741274" s="2"/>
      <c r="F741274" s="2"/>
      <c r="G741274" s="2"/>
      <c r="H741274" s="2"/>
    </row>
    <row r="741523" spans="3:8" ht="15.6" x14ac:dyDescent="0.25">
      <c r="C741523" s="2"/>
      <c r="D741523" s="2"/>
      <c r="E741523" s="2"/>
      <c r="F741523" s="2"/>
      <c r="G741523" s="2"/>
      <c r="H741523" s="2"/>
    </row>
    <row r="741772" spans="3:8" ht="15.6" x14ac:dyDescent="0.25">
      <c r="C741772" s="2"/>
      <c r="D741772" s="2"/>
      <c r="E741772" s="2"/>
      <c r="F741772" s="2"/>
      <c r="G741772" s="2"/>
      <c r="H741772" s="2"/>
    </row>
    <row r="742021" spans="3:8" ht="15.6" x14ac:dyDescent="0.25">
      <c r="C742021" s="2"/>
      <c r="D742021" s="2"/>
      <c r="E742021" s="2"/>
      <c r="F742021" s="2"/>
      <c r="G742021" s="2"/>
      <c r="H742021" s="2"/>
    </row>
    <row r="742270" spans="3:8" ht="15.6" x14ac:dyDescent="0.25">
      <c r="C742270" s="2"/>
      <c r="D742270" s="2"/>
      <c r="E742270" s="2"/>
      <c r="F742270" s="2"/>
      <c r="G742270" s="2"/>
      <c r="H742270" s="2"/>
    </row>
    <row r="742519" spans="3:8" ht="15.6" x14ac:dyDescent="0.25">
      <c r="C742519" s="2"/>
      <c r="D742519" s="2"/>
      <c r="E742519" s="2"/>
      <c r="F742519" s="2"/>
      <c r="G742519" s="2"/>
      <c r="H742519" s="2"/>
    </row>
    <row r="742768" spans="3:8" ht="15.6" x14ac:dyDescent="0.25">
      <c r="C742768" s="2"/>
      <c r="D742768" s="2"/>
      <c r="E742768" s="2"/>
      <c r="F742768" s="2"/>
      <c r="G742768" s="2"/>
      <c r="H742768" s="2"/>
    </row>
    <row r="743017" spans="3:8" ht="15.6" x14ac:dyDescent="0.25">
      <c r="C743017" s="2"/>
      <c r="D743017" s="2"/>
      <c r="E743017" s="2"/>
      <c r="F743017" s="2"/>
      <c r="G743017" s="2"/>
      <c r="H743017" s="2"/>
    </row>
    <row r="743266" spans="3:8" ht="15.6" x14ac:dyDescent="0.25">
      <c r="C743266" s="2"/>
      <c r="D743266" s="2"/>
      <c r="E743266" s="2"/>
      <c r="F743266" s="2"/>
      <c r="G743266" s="2"/>
      <c r="H743266" s="2"/>
    </row>
    <row r="743515" spans="3:8" ht="15.6" x14ac:dyDescent="0.25">
      <c r="C743515" s="2"/>
      <c r="D743515" s="2"/>
      <c r="E743515" s="2"/>
      <c r="F743515" s="2"/>
      <c r="G743515" s="2"/>
      <c r="H743515" s="2"/>
    </row>
    <row r="743764" spans="3:8" ht="15.6" x14ac:dyDescent="0.25">
      <c r="C743764" s="2"/>
      <c r="D743764" s="2"/>
      <c r="E743764" s="2"/>
      <c r="F743764" s="2"/>
      <c r="G743764" s="2"/>
      <c r="H743764" s="2"/>
    </row>
    <row r="744013" spans="3:8" ht="15.6" x14ac:dyDescent="0.25">
      <c r="C744013" s="2"/>
      <c r="D744013" s="2"/>
      <c r="E744013" s="2"/>
      <c r="F744013" s="2"/>
      <c r="G744013" s="2"/>
      <c r="H744013" s="2"/>
    </row>
    <row r="744262" spans="3:8" ht="15.6" x14ac:dyDescent="0.25">
      <c r="C744262" s="2"/>
      <c r="D744262" s="2"/>
      <c r="E744262" s="2"/>
      <c r="F744262" s="2"/>
      <c r="G744262" s="2"/>
      <c r="H744262" s="2"/>
    </row>
    <row r="744511" spans="3:8" ht="15.6" x14ac:dyDescent="0.25">
      <c r="C744511" s="2"/>
      <c r="D744511" s="2"/>
      <c r="E744511" s="2"/>
      <c r="F744511" s="2"/>
      <c r="G744511" s="2"/>
      <c r="H744511" s="2"/>
    </row>
    <row r="744760" spans="3:8" ht="15.6" x14ac:dyDescent="0.25">
      <c r="C744760" s="2"/>
      <c r="D744760" s="2"/>
      <c r="E744760" s="2"/>
      <c r="F744760" s="2"/>
      <c r="G744760" s="2"/>
      <c r="H744760" s="2"/>
    </row>
    <row r="745009" spans="3:8" ht="15.6" x14ac:dyDescent="0.25">
      <c r="C745009" s="2"/>
      <c r="D745009" s="2"/>
      <c r="E745009" s="2"/>
      <c r="F745009" s="2"/>
      <c r="G745009" s="2"/>
      <c r="H745009" s="2"/>
    </row>
    <row r="745258" spans="3:8" ht="15.6" x14ac:dyDescent="0.25">
      <c r="C745258" s="2"/>
      <c r="D745258" s="2"/>
      <c r="E745258" s="2"/>
      <c r="F745258" s="2"/>
      <c r="G745258" s="2"/>
      <c r="H745258" s="2"/>
    </row>
    <row r="745507" spans="3:8" ht="15.6" x14ac:dyDescent="0.25">
      <c r="C745507" s="2"/>
      <c r="D745507" s="2"/>
      <c r="E745507" s="2"/>
      <c r="F745507" s="2"/>
      <c r="G745507" s="2"/>
      <c r="H745507" s="2"/>
    </row>
    <row r="745756" spans="3:8" ht="15.6" x14ac:dyDescent="0.25">
      <c r="C745756" s="2"/>
      <c r="D745756" s="2"/>
      <c r="E745756" s="2"/>
      <c r="F745756" s="2"/>
      <c r="G745756" s="2"/>
      <c r="H745756" s="2"/>
    </row>
    <row r="746005" spans="3:8" ht="15.6" x14ac:dyDescent="0.25">
      <c r="C746005" s="2"/>
      <c r="D746005" s="2"/>
      <c r="E746005" s="2"/>
      <c r="F746005" s="2"/>
      <c r="G746005" s="2"/>
      <c r="H746005" s="2"/>
    </row>
    <row r="746254" spans="3:8" ht="15.6" x14ac:dyDescent="0.25">
      <c r="C746254" s="2"/>
      <c r="D746254" s="2"/>
      <c r="E746254" s="2"/>
      <c r="F746254" s="2"/>
      <c r="G746254" s="2"/>
      <c r="H746254" s="2"/>
    </row>
    <row r="746503" spans="3:8" ht="15.6" x14ac:dyDescent="0.25">
      <c r="C746503" s="2"/>
      <c r="D746503" s="2"/>
      <c r="E746503" s="2"/>
      <c r="F746503" s="2"/>
      <c r="G746503" s="2"/>
      <c r="H746503" s="2"/>
    </row>
    <row r="746752" spans="3:8" ht="15.6" x14ac:dyDescent="0.25">
      <c r="C746752" s="2"/>
      <c r="D746752" s="2"/>
      <c r="E746752" s="2"/>
      <c r="F746752" s="2"/>
      <c r="G746752" s="2"/>
      <c r="H746752" s="2"/>
    </row>
    <row r="747001" spans="3:8" ht="15.6" x14ac:dyDescent="0.25">
      <c r="C747001" s="2"/>
      <c r="D747001" s="2"/>
      <c r="E747001" s="2"/>
      <c r="F747001" s="2"/>
      <c r="G747001" s="2"/>
      <c r="H747001" s="2"/>
    </row>
    <row r="747250" spans="3:8" ht="15.6" x14ac:dyDescent="0.25">
      <c r="C747250" s="2"/>
      <c r="D747250" s="2"/>
      <c r="E747250" s="2"/>
      <c r="F747250" s="2"/>
      <c r="G747250" s="2"/>
      <c r="H747250" s="2"/>
    </row>
    <row r="747499" spans="3:8" ht="15.6" x14ac:dyDescent="0.25">
      <c r="C747499" s="2"/>
      <c r="D747499" s="2"/>
      <c r="E747499" s="2"/>
      <c r="F747499" s="2"/>
      <c r="G747499" s="2"/>
      <c r="H747499" s="2"/>
    </row>
    <row r="747748" spans="3:8" ht="15.6" x14ac:dyDescent="0.25">
      <c r="C747748" s="2"/>
      <c r="D747748" s="2"/>
      <c r="E747748" s="2"/>
      <c r="F747748" s="2"/>
      <c r="G747748" s="2"/>
      <c r="H747748" s="2"/>
    </row>
    <row r="747997" spans="3:8" ht="15.6" x14ac:dyDescent="0.25">
      <c r="C747997" s="2"/>
      <c r="D747997" s="2"/>
      <c r="E747997" s="2"/>
      <c r="F747997" s="2"/>
      <c r="G747997" s="2"/>
      <c r="H747997" s="2"/>
    </row>
    <row r="748246" spans="3:8" ht="15.6" x14ac:dyDescent="0.25">
      <c r="C748246" s="2"/>
      <c r="D748246" s="2"/>
      <c r="E748246" s="2"/>
      <c r="F748246" s="2"/>
      <c r="G748246" s="2"/>
      <c r="H748246" s="2"/>
    </row>
    <row r="748495" spans="3:8" ht="15.6" x14ac:dyDescent="0.25">
      <c r="C748495" s="2"/>
      <c r="D748495" s="2"/>
      <c r="E748495" s="2"/>
      <c r="F748495" s="2"/>
      <c r="G748495" s="2"/>
      <c r="H748495" s="2"/>
    </row>
    <row r="748744" spans="3:8" ht="15.6" x14ac:dyDescent="0.25">
      <c r="C748744" s="2"/>
      <c r="D748744" s="2"/>
      <c r="E748744" s="2"/>
      <c r="F748744" s="2"/>
      <c r="G748744" s="2"/>
      <c r="H748744" s="2"/>
    </row>
    <row r="748993" spans="3:8" ht="15.6" x14ac:dyDescent="0.25">
      <c r="C748993" s="2"/>
      <c r="D748993" s="2"/>
      <c r="E748993" s="2"/>
      <c r="F748993" s="2"/>
      <c r="G748993" s="2"/>
      <c r="H748993" s="2"/>
    </row>
    <row r="749242" spans="3:8" ht="15.6" x14ac:dyDescent="0.25">
      <c r="C749242" s="2"/>
      <c r="D749242" s="2"/>
      <c r="E749242" s="2"/>
      <c r="F749242" s="2"/>
      <c r="G749242" s="2"/>
      <c r="H749242" s="2"/>
    </row>
    <row r="749491" spans="3:8" ht="15.6" x14ac:dyDescent="0.25">
      <c r="C749491" s="2"/>
      <c r="D749491" s="2"/>
      <c r="E749491" s="2"/>
      <c r="F749491" s="2"/>
      <c r="G749491" s="2"/>
      <c r="H749491" s="2"/>
    </row>
    <row r="749740" spans="3:8" ht="15.6" x14ac:dyDescent="0.25">
      <c r="C749740" s="2"/>
      <c r="D749740" s="2"/>
      <c r="E749740" s="2"/>
      <c r="F749740" s="2"/>
      <c r="G749740" s="2"/>
      <c r="H749740" s="2"/>
    </row>
    <row r="749989" spans="3:8" ht="15.6" x14ac:dyDescent="0.25">
      <c r="C749989" s="2"/>
      <c r="D749989" s="2"/>
      <c r="E749989" s="2"/>
      <c r="F749989" s="2"/>
      <c r="G749989" s="2"/>
      <c r="H749989" s="2"/>
    </row>
    <row r="750238" spans="3:8" ht="15.6" x14ac:dyDescent="0.25">
      <c r="C750238" s="2"/>
      <c r="D750238" s="2"/>
      <c r="E750238" s="2"/>
      <c r="F750238" s="2"/>
      <c r="G750238" s="2"/>
      <c r="H750238" s="2"/>
    </row>
    <row r="750487" spans="3:8" ht="15.6" x14ac:dyDescent="0.25">
      <c r="C750487" s="2"/>
      <c r="D750487" s="2"/>
      <c r="E750487" s="2"/>
      <c r="F750487" s="2"/>
      <c r="G750487" s="2"/>
      <c r="H750487" s="2"/>
    </row>
    <row r="750736" spans="3:8" ht="15.6" x14ac:dyDescent="0.25">
      <c r="C750736" s="2"/>
      <c r="D750736" s="2"/>
      <c r="E750736" s="2"/>
      <c r="F750736" s="2"/>
      <c r="G750736" s="2"/>
      <c r="H750736" s="2"/>
    </row>
    <row r="750985" spans="3:8" ht="15.6" x14ac:dyDescent="0.25">
      <c r="C750985" s="2"/>
      <c r="D750985" s="2"/>
      <c r="E750985" s="2"/>
      <c r="F750985" s="2"/>
      <c r="G750985" s="2"/>
      <c r="H750985" s="2"/>
    </row>
    <row r="751234" spans="3:8" ht="15.6" x14ac:dyDescent="0.25">
      <c r="C751234" s="2"/>
      <c r="D751234" s="2"/>
      <c r="E751234" s="2"/>
      <c r="F751234" s="2"/>
      <c r="G751234" s="2"/>
      <c r="H751234" s="2"/>
    </row>
    <row r="751483" spans="3:8" ht="15.6" x14ac:dyDescent="0.25">
      <c r="C751483" s="2"/>
      <c r="D751483" s="2"/>
      <c r="E751483" s="2"/>
      <c r="F751483" s="2"/>
      <c r="G751483" s="2"/>
      <c r="H751483" s="2"/>
    </row>
    <row r="751732" spans="3:8" ht="15.6" x14ac:dyDescent="0.25">
      <c r="C751732" s="2"/>
      <c r="D751732" s="2"/>
      <c r="E751732" s="2"/>
      <c r="F751732" s="2"/>
      <c r="G751732" s="2"/>
      <c r="H751732" s="2"/>
    </row>
    <row r="751981" spans="3:8" ht="15.6" x14ac:dyDescent="0.25">
      <c r="C751981" s="2"/>
      <c r="D751981" s="2"/>
      <c r="E751981" s="2"/>
      <c r="F751981" s="2"/>
      <c r="G751981" s="2"/>
      <c r="H751981" s="2"/>
    </row>
    <row r="752230" spans="3:8" ht="15.6" x14ac:dyDescent="0.25">
      <c r="C752230" s="2"/>
      <c r="D752230" s="2"/>
      <c r="E752230" s="2"/>
      <c r="F752230" s="2"/>
      <c r="G752230" s="2"/>
      <c r="H752230" s="2"/>
    </row>
    <row r="752479" spans="3:8" ht="15.6" x14ac:dyDescent="0.25">
      <c r="C752479" s="2"/>
      <c r="D752479" s="2"/>
      <c r="E752479" s="2"/>
      <c r="F752479" s="2"/>
      <c r="G752479" s="2"/>
      <c r="H752479" s="2"/>
    </row>
    <row r="752728" spans="3:8" ht="15.6" x14ac:dyDescent="0.25">
      <c r="C752728" s="2"/>
      <c r="D752728" s="2"/>
      <c r="E752728" s="2"/>
      <c r="F752728" s="2"/>
      <c r="G752728" s="2"/>
      <c r="H752728" s="2"/>
    </row>
    <row r="752977" spans="3:8" ht="15.6" x14ac:dyDescent="0.25">
      <c r="C752977" s="2"/>
      <c r="D752977" s="2"/>
      <c r="E752977" s="2"/>
      <c r="F752977" s="2"/>
      <c r="G752977" s="2"/>
      <c r="H752977" s="2"/>
    </row>
    <row r="753226" spans="3:8" ht="15.6" x14ac:dyDescent="0.25">
      <c r="C753226" s="2"/>
      <c r="D753226" s="2"/>
      <c r="E753226" s="2"/>
      <c r="F753226" s="2"/>
      <c r="G753226" s="2"/>
      <c r="H753226" s="2"/>
    </row>
    <row r="753475" spans="3:8" ht="15.6" x14ac:dyDescent="0.25">
      <c r="C753475" s="2"/>
      <c r="D753475" s="2"/>
      <c r="E753475" s="2"/>
      <c r="F753475" s="2"/>
      <c r="G753475" s="2"/>
      <c r="H753475" s="2"/>
    </row>
    <row r="753724" spans="3:8" ht="15.6" x14ac:dyDescent="0.25">
      <c r="C753724" s="2"/>
      <c r="D753724" s="2"/>
      <c r="E753724" s="2"/>
      <c r="F753724" s="2"/>
      <c r="G753724" s="2"/>
      <c r="H753724" s="2"/>
    </row>
    <row r="753973" spans="3:8" ht="15.6" x14ac:dyDescent="0.25">
      <c r="C753973" s="2"/>
      <c r="D753973" s="2"/>
      <c r="E753973" s="2"/>
      <c r="F753973" s="2"/>
      <c r="G753973" s="2"/>
      <c r="H753973" s="2"/>
    </row>
    <row r="754222" spans="3:8" ht="15.6" x14ac:dyDescent="0.25">
      <c r="C754222" s="2"/>
      <c r="D754222" s="2"/>
      <c r="E754222" s="2"/>
      <c r="F754222" s="2"/>
      <c r="G754222" s="2"/>
      <c r="H754222" s="2"/>
    </row>
    <row r="754471" spans="3:8" ht="15.6" x14ac:dyDescent="0.25">
      <c r="C754471" s="2"/>
      <c r="D754471" s="2"/>
      <c r="E754471" s="2"/>
      <c r="F754471" s="2"/>
      <c r="G754471" s="2"/>
      <c r="H754471" s="2"/>
    </row>
    <row r="754720" spans="3:8" ht="15.6" x14ac:dyDescent="0.25">
      <c r="C754720" s="2"/>
      <c r="D754720" s="2"/>
      <c r="E754720" s="2"/>
      <c r="F754720" s="2"/>
      <c r="G754720" s="2"/>
      <c r="H754720" s="2"/>
    </row>
    <row r="754969" spans="3:8" ht="15.6" x14ac:dyDescent="0.25">
      <c r="C754969" s="2"/>
      <c r="D754969" s="2"/>
      <c r="E754969" s="2"/>
      <c r="F754969" s="2"/>
      <c r="G754969" s="2"/>
      <c r="H754969" s="2"/>
    </row>
    <row r="755218" spans="3:8" ht="15.6" x14ac:dyDescent="0.25">
      <c r="C755218" s="2"/>
      <c r="D755218" s="2"/>
      <c r="E755218" s="2"/>
      <c r="F755218" s="2"/>
      <c r="G755218" s="2"/>
      <c r="H755218" s="2"/>
    </row>
    <row r="755467" spans="3:8" ht="15.6" x14ac:dyDescent="0.25">
      <c r="C755467" s="2"/>
      <c r="D755467" s="2"/>
      <c r="E755467" s="2"/>
      <c r="F755467" s="2"/>
      <c r="G755467" s="2"/>
      <c r="H755467" s="2"/>
    </row>
    <row r="755716" spans="3:8" ht="15.6" x14ac:dyDescent="0.25">
      <c r="C755716" s="2"/>
      <c r="D755716" s="2"/>
      <c r="E755716" s="2"/>
      <c r="F755716" s="2"/>
      <c r="G755716" s="2"/>
      <c r="H755716" s="2"/>
    </row>
    <row r="755965" spans="3:8" ht="15.6" x14ac:dyDescent="0.25">
      <c r="C755965" s="2"/>
      <c r="D755965" s="2"/>
      <c r="E755965" s="2"/>
      <c r="F755965" s="2"/>
      <c r="G755965" s="2"/>
      <c r="H755965" s="2"/>
    </row>
    <row r="756214" spans="3:8" ht="15.6" x14ac:dyDescent="0.25">
      <c r="C756214" s="2"/>
      <c r="D756214" s="2"/>
      <c r="E756214" s="2"/>
      <c r="F756214" s="2"/>
      <c r="G756214" s="2"/>
      <c r="H756214" s="2"/>
    </row>
    <row r="756463" spans="3:8" ht="15.6" x14ac:dyDescent="0.25">
      <c r="C756463" s="2"/>
      <c r="D756463" s="2"/>
      <c r="E756463" s="2"/>
      <c r="F756463" s="2"/>
      <c r="G756463" s="2"/>
      <c r="H756463" s="2"/>
    </row>
    <row r="756712" spans="3:8" ht="15.6" x14ac:dyDescent="0.25">
      <c r="C756712" s="2"/>
      <c r="D756712" s="2"/>
      <c r="E756712" s="2"/>
      <c r="F756712" s="2"/>
      <c r="G756712" s="2"/>
      <c r="H756712" s="2"/>
    </row>
    <row r="756961" spans="3:8" ht="15.6" x14ac:dyDescent="0.25">
      <c r="C756961" s="2"/>
      <c r="D756961" s="2"/>
      <c r="E756961" s="2"/>
      <c r="F756961" s="2"/>
      <c r="G756961" s="2"/>
      <c r="H756961" s="2"/>
    </row>
    <row r="757210" spans="3:8" ht="15.6" x14ac:dyDescent="0.25">
      <c r="C757210" s="2"/>
      <c r="D757210" s="2"/>
      <c r="E757210" s="2"/>
      <c r="F757210" s="2"/>
      <c r="G757210" s="2"/>
      <c r="H757210" s="2"/>
    </row>
    <row r="757459" spans="3:8" ht="15.6" x14ac:dyDescent="0.25">
      <c r="C757459" s="2"/>
      <c r="D757459" s="2"/>
      <c r="E757459" s="2"/>
      <c r="F757459" s="2"/>
      <c r="G757459" s="2"/>
      <c r="H757459" s="2"/>
    </row>
    <row r="757708" spans="3:8" ht="15.6" x14ac:dyDescent="0.25">
      <c r="C757708" s="2"/>
      <c r="D757708" s="2"/>
      <c r="E757708" s="2"/>
      <c r="F757708" s="2"/>
      <c r="G757708" s="2"/>
      <c r="H757708" s="2"/>
    </row>
    <row r="757957" spans="3:8" ht="15.6" x14ac:dyDescent="0.25">
      <c r="C757957" s="2"/>
      <c r="D757957" s="2"/>
      <c r="E757957" s="2"/>
      <c r="F757957" s="2"/>
      <c r="G757957" s="2"/>
      <c r="H757957" s="2"/>
    </row>
    <row r="758206" spans="3:8" ht="15.6" x14ac:dyDescent="0.25">
      <c r="C758206" s="2"/>
      <c r="D758206" s="2"/>
      <c r="E758206" s="2"/>
      <c r="F758206" s="2"/>
      <c r="G758206" s="2"/>
      <c r="H758206" s="2"/>
    </row>
    <row r="758455" spans="3:8" ht="15.6" x14ac:dyDescent="0.25">
      <c r="C758455" s="2"/>
      <c r="D758455" s="2"/>
      <c r="E758455" s="2"/>
      <c r="F758455" s="2"/>
      <c r="G758455" s="2"/>
      <c r="H758455" s="2"/>
    </row>
    <row r="758704" spans="3:8" ht="15.6" x14ac:dyDescent="0.25">
      <c r="C758704" s="2"/>
      <c r="D758704" s="2"/>
      <c r="E758704" s="2"/>
      <c r="F758704" s="2"/>
      <c r="G758704" s="2"/>
      <c r="H758704" s="2"/>
    </row>
    <row r="758953" spans="3:8" ht="15.6" x14ac:dyDescent="0.25">
      <c r="C758953" s="2"/>
      <c r="D758953" s="2"/>
      <c r="E758953" s="2"/>
      <c r="F758953" s="2"/>
      <c r="G758953" s="2"/>
      <c r="H758953" s="2"/>
    </row>
    <row r="759202" spans="3:8" ht="15.6" x14ac:dyDescent="0.25">
      <c r="C759202" s="2"/>
      <c r="D759202" s="2"/>
      <c r="E759202" s="2"/>
      <c r="F759202" s="2"/>
      <c r="G759202" s="2"/>
      <c r="H759202" s="2"/>
    </row>
    <row r="759451" spans="3:8" ht="15.6" x14ac:dyDescent="0.25">
      <c r="C759451" s="2"/>
      <c r="D759451" s="2"/>
      <c r="E759451" s="2"/>
      <c r="F759451" s="2"/>
      <c r="G759451" s="2"/>
      <c r="H759451" s="2"/>
    </row>
    <row r="759700" spans="3:8" ht="15.6" x14ac:dyDescent="0.25">
      <c r="C759700" s="2"/>
      <c r="D759700" s="2"/>
      <c r="E759700" s="2"/>
      <c r="F759700" s="2"/>
      <c r="G759700" s="2"/>
      <c r="H759700" s="2"/>
    </row>
    <row r="759949" spans="3:8" ht="15.6" x14ac:dyDescent="0.25">
      <c r="C759949" s="2"/>
      <c r="D759949" s="2"/>
      <c r="E759949" s="2"/>
      <c r="F759949" s="2"/>
      <c r="G759949" s="2"/>
      <c r="H759949" s="2"/>
    </row>
    <row r="760198" spans="3:8" ht="15.6" x14ac:dyDescent="0.25">
      <c r="C760198" s="2"/>
      <c r="D760198" s="2"/>
      <c r="E760198" s="2"/>
      <c r="F760198" s="2"/>
      <c r="G760198" s="2"/>
      <c r="H760198" s="2"/>
    </row>
    <row r="760447" spans="3:8" ht="15.6" x14ac:dyDescent="0.25">
      <c r="C760447" s="2"/>
      <c r="D760447" s="2"/>
      <c r="E760447" s="2"/>
      <c r="F760447" s="2"/>
      <c r="G760447" s="2"/>
      <c r="H760447" s="2"/>
    </row>
    <row r="760696" spans="3:8" ht="15.6" x14ac:dyDescent="0.25">
      <c r="C760696" s="2"/>
      <c r="D760696" s="2"/>
      <c r="E760696" s="2"/>
      <c r="F760696" s="2"/>
      <c r="G760696" s="2"/>
      <c r="H760696" s="2"/>
    </row>
    <row r="760945" spans="3:8" ht="15.6" x14ac:dyDescent="0.25">
      <c r="C760945" s="2"/>
      <c r="D760945" s="2"/>
      <c r="E760945" s="2"/>
      <c r="F760945" s="2"/>
      <c r="G760945" s="2"/>
      <c r="H760945" s="2"/>
    </row>
    <row r="761194" spans="3:8" ht="15.6" x14ac:dyDescent="0.25">
      <c r="C761194" s="2"/>
      <c r="D761194" s="2"/>
      <c r="E761194" s="2"/>
      <c r="F761194" s="2"/>
      <c r="G761194" s="2"/>
      <c r="H761194" s="2"/>
    </row>
    <row r="761443" spans="3:8" ht="15.6" x14ac:dyDescent="0.25">
      <c r="C761443" s="2"/>
      <c r="D761443" s="2"/>
      <c r="E761443" s="2"/>
      <c r="F761443" s="2"/>
      <c r="G761443" s="2"/>
      <c r="H761443" s="2"/>
    </row>
    <row r="761692" spans="3:8" ht="15.6" x14ac:dyDescent="0.25">
      <c r="C761692" s="2"/>
      <c r="D761692" s="2"/>
      <c r="E761692" s="2"/>
      <c r="F761692" s="2"/>
      <c r="G761692" s="2"/>
      <c r="H761692" s="2"/>
    </row>
    <row r="761941" spans="3:8" ht="15.6" x14ac:dyDescent="0.25">
      <c r="C761941" s="2"/>
      <c r="D761941" s="2"/>
      <c r="E761941" s="2"/>
      <c r="F761941" s="2"/>
      <c r="G761941" s="2"/>
      <c r="H761941" s="2"/>
    </row>
    <row r="762190" spans="3:8" ht="15.6" x14ac:dyDescent="0.25">
      <c r="C762190" s="2"/>
      <c r="D762190" s="2"/>
      <c r="E762190" s="2"/>
      <c r="F762190" s="2"/>
      <c r="G762190" s="2"/>
      <c r="H762190" s="2"/>
    </row>
    <row r="762439" spans="3:8" ht="15.6" x14ac:dyDescent="0.25">
      <c r="C762439" s="2"/>
      <c r="D762439" s="2"/>
      <c r="E762439" s="2"/>
      <c r="F762439" s="2"/>
      <c r="G762439" s="2"/>
      <c r="H762439" s="2"/>
    </row>
    <row r="762688" spans="3:8" ht="15.6" x14ac:dyDescent="0.25">
      <c r="C762688" s="2"/>
      <c r="D762688" s="2"/>
      <c r="E762688" s="2"/>
      <c r="F762688" s="2"/>
      <c r="G762688" s="2"/>
      <c r="H762688" s="2"/>
    </row>
    <row r="762937" spans="3:8" ht="15.6" x14ac:dyDescent="0.25">
      <c r="C762937" s="2"/>
      <c r="D762937" s="2"/>
      <c r="E762937" s="2"/>
      <c r="F762937" s="2"/>
      <c r="G762937" s="2"/>
      <c r="H762937" s="2"/>
    </row>
    <row r="763186" spans="3:8" ht="15.6" x14ac:dyDescent="0.25">
      <c r="C763186" s="2"/>
      <c r="D763186" s="2"/>
      <c r="E763186" s="2"/>
      <c r="F763186" s="2"/>
      <c r="G763186" s="2"/>
      <c r="H763186" s="2"/>
    </row>
    <row r="763435" spans="3:8" ht="15.6" x14ac:dyDescent="0.25">
      <c r="C763435" s="2"/>
      <c r="D763435" s="2"/>
      <c r="E763435" s="2"/>
      <c r="F763435" s="2"/>
      <c r="G763435" s="2"/>
      <c r="H763435" s="2"/>
    </row>
    <row r="763684" spans="3:8" ht="15.6" x14ac:dyDescent="0.25">
      <c r="C763684" s="2"/>
      <c r="D763684" s="2"/>
      <c r="E763684" s="2"/>
      <c r="F763684" s="2"/>
      <c r="G763684" s="2"/>
      <c r="H763684" s="2"/>
    </row>
    <row r="763933" spans="3:8" ht="15.6" x14ac:dyDescent="0.25">
      <c r="C763933" s="2"/>
      <c r="D763933" s="2"/>
      <c r="E763933" s="2"/>
      <c r="F763933" s="2"/>
      <c r="G763933" s="2"/>
      <c r="H763933" s="2"/>
    </row>
    <row r="764182" spans="3:8" ht="15.6" x14ac:dyDescent="0.25">
      <c r="C764182" s="2"/>
      <c r="D764182" s="2"/>
      <c r="E764182" s="2"/>
      <c r="F764182" s="2"/>
      <c r="G764182" s="2"/>
      <c r="H764182" s="2"/>
    </row>
    <row r="764431" spans="3:8" ht="15.6" x14ac:dyDescent="0.25">
      <c r="C764431" s="2"/>
      <c r="D764431" s="2"/>
      <c r="E764431" s="2"/>
      <c r="F764431" s="2"/>
      <c r="G764431" s="2"/>
      <c r="H764431" s="2"/>
    </row>
    <row r="764680" spans="3:8" ht="15.6" x14ac:dyDescent="0.25">
      <c r="C764680" s="2"/>
      <c r="D764680" s="2"/>
      <c r="E764680" s="2"/>
      <c r="F764680" s="2"/>
      <c r="G764680" s="2"/>
      <c r="H764680" s="2"/>
    </row>
    <row r="764929" spans="3:8" ht="15.6" x14ac:dyDescent="0.25">
      <c r="C764929" s="2"/>
      <c r="D764929" s="2"/>
      <c r="E764929" s="2"/>
      <c r="F764929" s="2"/>
      <c r="G764929" s="2"/>
      <c r="H764929" s="2"/>
    </row>
    <row r="765178" spans="3:8" ht="15.6" x14ac:dyDescent="0.25">
      <c r="C765178" s="2"/>
      <c r="D765178" s="2"/>
      <c r="E765178" s="2"/>
      <c r="F765178" s="2"/>
      <c r="G765178" s="2"/>
      <c r="H765178" s="2"/>
    </row>
    <row r="765427" spans="3:8" ht="15.6" x14ac:dyDescent="0.25">
      <c r="C765427" s="2"/>
      <c r="D765427" s="2"/>
      <c r="E765427" s="2"/>
      <c r="F765427" s="2"/>
      <c r="G765427" s="2"/>
      <c r="H765427" s="2"/>
    </row>
    <row r="765676" spans="3:8" ht="15.6" x14ac:dyDescent="0.25">
      <c r="C765676" s="2"/>
      <c r="D765676" s="2"/>
      <c r="E765676" s="2"/>
      <c r="F765676" s="2"/>
      <c r="G765676" s="2"/>
      <c r="H765676" s="2"/>
    </row>
    <row r="765925" spans="3:8" ht="15.6" x14ac:dyDescent="0.25">
      <c r="C765925" s="2"/>
      <c r="D765925" s="2"/>
      <c r="E765925" s="2"/>
      <c r="F765925" s="2"/>
      <c r="G765925" s="2"/>
      <c r="H765925" s="2"/>
    </row>
    <row r="766174" spans="3:8" ht="15.6" x14ac:dyDescent="0.25">
      <c r="C766174" s="2"/>
      <c r="D766174" s="2"/>
      <c r="E766174" s="2"/>
      <c r="F766174" s="2"/>
      <c r="G766174" s="2"/>
      <c r="H766174" s="2"/>
    </row>
    <row r="766423" spans="3:8" ht="15.6" x14ac:dyDescent="0.25">
      <c r="C766423" s="2"/>
      <c r="D766423" s="2"/>
      <c r="E766423" s="2"/>
      <c r="F766423" s="2"/>
      <c r="G766423" s="2"/>
      <c r="H766423" s="2"/>
    </row>
    <row r="766672" spans="3:8" ht="15.6" x14ac:dyDescent="0.25">
      <c r="C766672" s="2"/>
      <c r="D766672" s="2"/>
      <c r="E766672" s="2"/>
      <c r="F766672" s="2"/>
      <c r="G766672" s="2"/>
      <c r="H766672" s="2"/>
    </row>
    <row r="766921" spans="3:8" ht="15.6" x14ac:dyDescent="0.25">
      <c r="C766921" s="2"/>
      <c r="D766921" s="2"/>
      <c r="E766921" s="2"/>
      <c r="F766921" s="2"/>
      <c r="G766921" s="2"/>
      <c r="H766921" s="2"/>
    </row>
    <row r="767170" spans="3:8" ht="15.6" x14ac:dyDescent="0.25">
      <c r="C767170" s="2"/>
      <c r="D767170" s="2"/>
      <c r="E767170" s="2"/>
      <c r="F767170" s="2"/>
      <c r="G767170" s="2"/>
      <c r="H767170" s="2"/>
    </row>
    <row r="767419" spans="3:8" ht="15.6" x14ac:dyDescent="0.25">
      <c r="C767419" s="2"/>
      <c r="D767419" s="2"/>
      <c r="E767419" s="2"/>
      <c r="F767419" s="2"/>
      <c r="G767419" s="2"/>
      <c r="H767419" s="2"/>
    </row>
    <row r="767668" spans="3:8" ht="15.6" x14ac:dyDescent="0.25">
      <c r="C767668" s="2"/>
      <c r="D767668" s="2"/>
      <c r="E767668" s="2"/>
      <c r="F767668" s="2"/>
      <c r="G767668" s="2"/>
      <c r="H767668" s="2"/>
    </row>
    <row r="767917" spans="3:8" ht="15.6" x14ac:dyDescent="0.25">
      <c r="C767917" s="2"/>
      <c r="D767917" s="2"/>
      <c r="E767917" s="2"/>
      <c r="F767917" s="2"/>
      <c r="G767917" s="2"/>
      <c r="H767917" s="2"/>
    </row>
    <row r="768166" spans="3:8" ht="15.6" x14ac:dyDescent="0.25">
      <c r="C768166" s="2"/>
      <c r="D768166" s="2"/>
      <c r="E768166" s="2"/>
      <c r="F768166" s="2"/>
      <c r="G768166" s="2"/>
      <c r="H768166" s="2"/>
    </row>
    <row r="768415" spans="3:8" ht="15.6" x14ac:dyDescent="0.25">
      <c r="C768415" s="2"/>
      <c r="D768415" s="2"/>
      <c r="E768415" s="2"/>
      <c r="F768415" s="2"/>
      <c r="G768415" s="2"/>
      <c r="H768415" s="2"/>
    </row>
    <row r="768664" spans="3:8" ht="15.6" x14ac:dyDescent="0.25">
      <c r="C768664" s="2"/>
      <c r="D768664" s="2"/>
      <c r="E768664" s="2"/>
      <c r="F768664" s="2"/>
      <c r="G768664" s="2"/>
      <c r="H768664" s="2"/>
    </row>
    <row r="768913" spans="3:8" ht="15.6" x14ac:dyDescent="0.25">
      <c r="C768913" s="2"/>
      <c r="D768913" s="2"/>
      <c r="E768913" s="2"/>
      <c r="F768913" s="2"/>
      <c r="G768913" s="2"/>
      <c r="H768913" s="2"/>
    </row>
    <row r="769162" spans="3:8" ht="15.6" x14ac:dyDescent="0.25">
      <c r="C769162" s="2"/>
      <c r="D769162" s="2"/>
      <c r="E769162" s="2"/>
      <c r="F769162" s="2"/>
      <c r="G769162" s="2"/>
      <c r="H769162" s="2"/>
    </row>
    <row r="769411" spans="3:8" ht="15.6" x14ac:dyDescent="0.25">
      <c r="C769411" s="2"/>
      <c r="D769411" s="2"/>
      <c r="E769411" s="2"/>
      <c r="F769411" s="2"/>
      <c r="G769411" s="2"/>
      <c r="H769411" s="2"/>
    </row>
    <row r="769660" spans="3:8" ht="15.6" x14ac:dyDescent="0.25">
      <c r="C769660" s="2"/>
      <c r="D769660" s="2"/>
      <c r="E769660" s="2"/>
      <c r="F769660" s="2"/>
      <c r="G769660" s="2"/>
      <c r="H769660" s="2"/>
    </row>
    <row r="769909" spans="3:8" ht="15.6" x14ac:dyDescent="0.25">
      <c r="C769909" s="2"/>
      <c r="D769909" s="2"/>
      <c r="E769909" s="2"/>
      <c r="F769909" s="2"/>
      <c r="G769909" s="2"/>
      <c r="H769909" s="2"/>
    </row>
    <row r="770158" spans="3:8" ht="15.6" x14ac:dyDescent="0.25">
      <c r="C770158" s="2"/>
      <c r="D770158" s="2"/>
      <c r="E770158" s="2"/>
      <c r="F770158" s="2"/>
      <c r="G770158" s="2"/>
      <c r="H770158" s="2"/>
    </row>
    <row r="770407" spans="3:8" ht="15.6" x14ac:dyDescent="0.25">
      <c r="C770407" s="2"/>
      <c r="D770407" s="2"/>
      <c r="E770407" s="2"/>
      <c r="F770407" s="2"/>
      <c r="G770407" s="2"/>
      <c r="H770407" s="2"/>
    </row>
    <row r="770656" spans="3:8" ht="15.6" x14ac:dyDescent="0.25">
      <c r="C770656" s="2"/>
      <c r="D770656" s="2"/>
      <c r="E770656" s="2"/>
      <c r="F770656" s="2"/>
      <c r="G770656" s="2"/>
      <c r="H770656" s="2"/>
    </row>
    <row r="770905" spans="3:8" ht="15.6" x14ac:dyDescent="0.25">
      <c r="C770905" s="2"/>
      <c r="D770905" s="2"/>
      <c r="E770905" s="2"/>
      <c r="F770905" s="2"/>
      <c r="G770905" s="2"/>
      <c r="H770905" s="2"/>
    </row>
    <row r="771154" spans="3:8" ht="15.6" x14ac:dyDescent="0.25">
      <c r="C771154" s="2"/>
      <c r="D771154" s="2"/>
      <c r="E771154" s="2"/>
      <c r="F771154" s="2"/>
      <c r="G771154" s="2"/>
      <c r="H771154" s="2"/>
    </row>
    <row r="771403" spans="3:8" ht="15.6" x14ac:dyDescent="0.25">
      <c r="C771403" s="2"/>
      <c r="D771403" s="2"/>
      <c r="E771403" s="2"/>
      <c r="F771403" s="2"/>
      <c r="G771403" s="2"/>
      <c r="H771403" s="2"/>
    </row>
    <row r="771652" spans="3:8" ht="15.6" x14ac:dyDescent="0.25">
      <c r="C771652" s="2"/>
      <c r="D771652" s="2"/>
      <c r="E771652" s="2"/>
      <c r="F771652" s="2"/>
      <c r="G771652" s="2"/>
      <c r="H771652" s="2"/>
    </row>
    <row r="771901" spans="3:8" ht="15.6" x14ac:dyDescent="0.25">
      <c r="C771901" s="2"/>
      <c r="D771901" s="2"/>
      <c r="E771901" s="2"/>
      <c r="F771901" s="2"/>
      <c r="G771901" s="2"/>
      <c r="H771901" s="2"/>
    </row>
    <row r="772150" spans="3:8" ht="15.6" x14ac:dyDescent="0.25">
      <c r="C772150" s="2"/>
      <c r="D772150" s="2"/>
      <c r="E772150" s="2"/>
      <c r="F772150" s="2"/>
      <c r="G772150" s="2"/>
      <c r="H772150" s="2"/>
    </row>
    <row r="772399" spans="3:8" ht="15.6" x14ac:dyDescent="0.25">
      <c r="C772399" s="2"/>
      <c r="D772399" s="2"/>
      <c r="E772399" s="2"/>
      <c r="F772399" s="2"/>
      <c r="G772399" s="2"/>
      <c r="H772399" s="2"/>
    </row>
    <row r="772648" spans="3:8" ht="15.6" x14ac:dyDescent="0.25">
      <c r="C772648" s="2"/>
      <c r="D772648" s="2"/>
      <c r="E772648" s="2"/>
      <c r="F772648" s="2"/>
      <c r="G772648" s="2"/>
      <c r="H772648" s="2"/>
    </row>
    <row r="772897" spans="3:8" ht="15.6" x14ac:dyDescent="0.25">
      <c r="C772897" s="2"/>
      <c r="D772897" s="2"/>
      <c r="E772897" s="2"/>
      <c r="F772897" s="2"/>
      <c r="G772897" s="2"/>
      <c r="H772897" s="2"/>
    </row>
    <row r="773146" spans="3:8" ht="15.6" x14ac:dyDescent="0.25">
      <c r="C773146" s="2"/>
      <c r="D773146" s="2"/>
      <c r="E773146" s="2"/>
      <c r="F773146" s="2"/>
      <c r="G773146" s="2"/>
      <c r="H773146" s="2"/>
    </row>
    <row r="773395" spans="3:8" ht="15.6" x14ac:dyDescent="0.25">
      <c r="C773395" s="2"/>
      <c r="D773395" s="2"/>
      <c r="E773395" s="2"/>
      <c r="F773395" s="2"/>
      <c r="G773395" s="2"/>
      <c r="H773395" s="2"/>
    </row>
    <row r="773644" spans="3:8" ht="15.6" x14ac:dyDescent="0.25">
      <c r="C773644" s="2"/>
      <c r="D773644" s="2"/>
      <c r="E773644" s="2"/>
      <c r="F773644" s="2"/>
      <c r="G773644" s="2"/>
      <c r="H773644" s="2"/>
    </row>
    <row r="773893" spans="3:8" ht="15.6" x14ac:dyDescent="0.25">
      <c r="C773893" s="2"/>
      <c r="D773893" s="2"/>
      <c r="E773893" s="2"/>
      <c r="F773893" s="2"/>
      <c r="G773893" s="2"/>
      <c r="H773893" s="2"/>
    </row>
    <row r="774142" spans="3:8" ht="15.6" x14ac:dyDescent="0.25">
      <c r="C774142" s="2"/>
      <c r="D774142" s="2"/>
      <c r="E774142" s="2"/>
      <c r="F774142" s="2"/>
      <c r="G774142" s="2"/>
      <c r="H774142" s="2"/>
    </row>
    <row r="774391" spans="3:8" ht="15.6" x14ac:dyDescent="0.25">
      <c r="C774391" s="2"/>
      <c r="D774391" s="2"/>
      <c r="E774391" s="2"/>
      <c r="F774391" s="2"/>
      <c r="G774391" s="2"/>
      <c r="H774391" s="2"/>
    </row>
    <row r="774640" spans="3:8" ht="15.6" x14ac:dyDescent="0.25">
      <c r="C774640" s="2"/>
      <c r="D774640" s="2"/>
      <c r="E774640" s="2"/>
      <c r="F774640" s="2"/>
      <c r="G774640" s="2"/>
      <c r="H774640" s="2"/>
    </row>
    <row r="774889" spans="3:8" ht="15.6" x14ac:dyDescent="0.25">
      <c r="C774889" s="2"/>
      <c r="D774889" s="2"/>
      <c r="E774889" s="2"/>
      <c r="F774889" s="2"/>
      <c r="G774889" s="2"/>
      <c r="H774889" s="2"/>
    </row>
    <row r="775138" spans="3:8" ht="15.6" x14ac:dyDescent="0.25">
      <c r="C775138" s="2"/>
      <c r="D775138" s="2"/>
      <c r="E775138" s="2"/>
      <c r="F775138" s="2"/>
      <c r="G775138" s="2"/>
      <c r="H775138" s="2"/>
    </row>
    <row r="775387" spans="3:8" ht="15.6" x14ac:dyDescent="0.25">
      <c r="C775387" s="2"/>
      <c r="D775387" s="2"/>
      <c r="E775387" s="2"/>
      <c r="F775387" s="2"/>
      <c r="G775387" s="2"/>
      <c r="H775387" s="2"/>
    </row>
    <row r="775636" spans="3:8" ht="15.6" x14ac:dyDescent="0.25">
      <c r="C775636" s="2"/>
      <c r="D775636" s="2"/>
      <c r="E775636" s="2"/>
      <c r="F775636" s="2"/>
      <c r="G775636" s="2"/>
      <c r="H775636" s="2"/>
    </row>
    <row r="775885" spans="3:8" ht="15.6" x14ac:dyDescent="0.25">
      <c r="C775885" s="2"/>
      <c r="D775885" s="2"/>
      <c r="E775885" s="2"/>
      <c r="F775885" s="2"/>
      <c r="G775885" s="2"/>
      <c r="H775885" s="2"/>
    </row>
    <row r="776134" spans="3:8" ht="15.6" x14ac:dyDescent="0.25">
      <c r="C776134" s="2"/>
      <c r="D776134" s="2"/>
      <c r="E776134" s="2"/>
      <c r="F776134" s="2"/>
      <c r="G776134" s="2"/>
      <c r="H776134" s="2"/>
    </row>
    <row r="776383" spans="3:8" ht="15.6" x14ac:dyDescent="0.25">
      <c r="C776383" s="2"/>
      <c r="D776383" s="2"/>
      <c r="E776383" s="2"/>
      <c r="F776383" s="2"/>
      <c r="G776383" s="2"/>
      <c r="H776383" s="2"/>
    </row>
    <row r="776632" spans="3:8" ht="15.6" x14ac:dyDescent="0.25">
      <c r="C776632" s="2"/>
      <c r="D776632" s="2"/>
      <c r="E776632" s="2"/>
      <c r="F776632" s="2"/>
      <c r="G776632" s="2"/>
      <c r="H776632" s="2"/>
    </row>
    <row r="776881" spans="3:8" ht="15.6" x14ac:dyDescent="0.25">
      <c r="C776881" s="2"/>
      <c r="D776881" s="2"/>
      <c r="E776881" s="2"/>
      <c r="F776881" s="2"/>
      <c r="G776881" s="2"/>
      <c r="H776881" s="2"/>
    </row>
    <row r="777130" spans="3:8" ht="15.6" x14ac:dyDescent="0.25">
      <c r="C777130" s="2"/>
      <c r="D777130" s="2"/>
      <c r="E777130" s="2"/>
      <c r="F777130" s="2"/>
      <c r="G777130" s="2"/>
      <c r="H777130" s="2"/>
    </row>
    <row r="777379" spans="3:8" ht="15.6" x14ac:dyDescent="0.25">
      <c r="C777379" s="2"/>
      <c r="D777379" s="2"/>
      <c r="E777379" s="2"/>
      <c r="F777379" s="2"/>
      <c r="G777379" s="2"/>
      <c r="H777379" s="2"/>
    </row>
    <row r="777628" spans="3:8" ht="15.6" x14ac:dyDescent="0.25">
      <c r="C777628" s="2"/>
      <c r="D777628" s="2"/>
      <c r="E777628" s="2"/>
      <c r="F777628" s="2"/>
      <c r="G777628" s="2"/>
      <c r="H777628" s="2"/>
    </row>
    <row r="777877" spans="3:8" ht="15.6" x14ac:dyDescent="0.25">
      <c r="C777877" s="2"/>
      <c r="D777877" s="2"/>
      <c r="E777877" s="2"/>
      <c r="F777877" s="2"/>
      <c r="G777877" s="2"/>
      <c r="H777877" s="2"/>
    </row>
    <row r="778126" spans="3:8" ht="15.6" x14ac:dyDescent="0.25">
      <c r="C778126" s="2"/>
      <c r="D778126" s="2"/>
      <c r="E778126" s="2"/>
      <c r="F778126" s="2"/>
      <c r="G778126" s="2"/>
      <c r="H778126" s="2"/>
    </row>
    <row r="778375" spans="3:8" ht="15.6" x14ac:dyDescent="0.25">
      <c r="C778375" s="2"/>
      <c r="D778375" s="2"/>
      <c r="E778375" s="2"/>
      <c r="F778375" s="2"/>
      <c r="G778375" s="2"/>
      <c r="H778375" s="2"/>
    </row>
    <row r="778624" spans="3:8" ht="15.6" x14ac:dyDescent="0.25">
      <c r="C778624" s="2"/>
      <c r="D778624" s="2"/>
      <c r="E778624" s="2"/>
      <c r="F778624" s="2"/>
      <c r="G778624" s="2"/>
      <c r="H778624" s="2"/>
    </row>
    <row r="778873" spans="3:8" ht="15.6" x14ac:dyDescent="0.25">
      <c r="C778873" s="2"/>
      <c r="D778873" s="2"/>
      <c r="E778873" s="2"/>
      <c r="F778873" s="2"/>
      <c r="G778873" s="2"/>
      <c r="H778873" s="2"/>
    </row>
    <row r="779122" spans="3:8" ht="15.6" x14ac:dyDescent="0.25">
      <c r="C779122" s="2"/>
      <c r="D779122" s="2"/>
      <c r="E779122" s="2"/>
      <c r="F779122" s="2"/>
      <c r="G779122" s="2"/>
      <c r="H779122" s="2"/>
    </row>
    <row r="779371" spans="3:8" ht="15.6" x14ac:dyDescent="0.25">
      <c r="C779371" s="2"/>
      <c r="D779371" s="2"/>
      <c r="E779371" s="2"/>
      <c r="F779371" s="2"/>
      <c r="G779371" s="2"/>
      <c r="H779371" s="2"/>
    </row>
    <row r="779620" spans="3:8" ht="15.6" x14ac:dyDescent="0.25">
      <c r="C779620" s="2"/>
      <c r="D779620" s="2"/>
      <c r="E779620" s="2"/>
      <c r="F779620" s="2"/>
      <c r="G779620" s="2"/>
      <c r="H779620" s="2"/>
    </row>
    <row r="779869" spans="3:8" ht="15.6" x14ac:dyDescent="0.25">
      <c r="C779869" s="2"/>
      <c r="D779869" s="2"/>
      <c r="E779869" s="2"/>
      <c r="F779869" s="2"/>
      <c r="G779869" s="2"/>
      <c r="H779869" s="2"/>
    </row>
    <row r="780118" spans="3:8" ht="15.6" x14ac:dyDescent="0.25">
      <c r="C780118" s="2"/>
      <c r="D780118" s="2"/>
      <c r="E780118" s="2"/>
      <c r="F780118" s="2"/>
      <c r="G780118" s="2"/>
      <c r="H780118" s="2"/>
    </row>
    <row r="780367" spans="3:8" ht="15.6" x14ac:dyDescent="0.25">
      <c r="C780367" s="2"/>
      <c r="D780367" s="2"/>
      <c r="E780367" s="2"/>
      <c r="F780367" s="2"/>
      <c r="G780367" s="2"/>
      <c r="H780367" s="2"/>
    </row>
    <row r="780616" spans="3:8" ht="15.6" x14ac:dyDescent="0.25">
      <c r="C780616" s="2"/>
      <c r="D780616" s="2"/>
      <c r="E780616" s="2"/>
      <c r="F780616" s="2"/>
      <c r="G780616" s="2"/>
      <c r="H780616" s="2"/>
    </row>
    <row r="780865" spans="3:8" ht="15.6" x14ac:dyDescent="0.25">
      <c r="C780865" s="2"/>
      <c r="D780865" s="2"/>
      <c r="E780865" s="2"/>
      <c r="F780865" s="2"/>
      <c r="G780865" s="2"/>
      <c r="H780865" s="2"/>
    </row>
    <row r="781114" spans="3:8" ht="15.6" x14ac:dyDescent="0.25">
      <c r="C781114" s="2"/>
      <c r="D781114" s="2"/>
      <c r="E781114" s="2"/>
      <c r="F781114" s="2"/>
      <c r="G781114" s="2"/>
      <c r="H781114" s="2"/>
    </row>
    <row r="781363" spans="3:8" ht="15.6" x14ac:dyDescent="0.25">
      <c r="C781363" s="2"/>
      <c r="D781363" s="2"/>
      <c r="E781363" s="2"/>
      <c r="F781363" s="2"/>
      <c r="G781363" s="2"/>
      <c r="H781363" s="2"/>
    </row>
    <row r="781612" spans="3:8" ht="15.6" x14ac:dyDescent="0.25">
      <c r="C781612" s="2"/>
      <c r="D781612" s="2"/>
      <c r="E781612" s="2"/>
      <c r="F781612" s="2"/>
      <c r="G781612" s="2"/>
      <c r="H781612" s="2"/>
    </row>
    <row r="781861" spans="3:8" ht="15.6" x14ac:dyDescent="0.25">
      <c r="C781861" s="2"/>
      <c r="D781861" s="2"/>
      <c r="E781861" s="2"/>
      <c r="F781861" s="2"/>
      <c r="G781861" s="2"/>
      <c r="H781861" s="2"/>
    </row>
    <row r="782110" spans="3:8" ht="15.6" x14ac:dyDescent="0.25">
      <c r="C782110" s="2"/>
      <c r="D782110" s="2"/>
      <c r="E782110" s="2"/>
      <c r="F782110" s="2"/>
      <c r="G782110" s="2"/>
      <c r="H782110" s="2"/>
    </row>
    <row r="782359" spans="3:8" ht="15.6" x14ac:dyDescent="0.25">
      <c r="C782359" s="2"/>
      <c r="D782359" s="2"/>
      <c r="E782359" s="2"/>
      <c r="F782359" s="2"/>
      <c r="G782359" s="2"/>
      <c r="H782359" s="2"/>
    </row>
    <row r="782608" spans="3:8" ht="15.6" x14ac:dyDescent="0.25">
      <c r="C782608" s="2"/>
      <c r="D782608" s="2"/>
      <c r="E782608" s="2"/>
      <c r="F782608" s="2"/>
      <c r="G782608" s="2"/>
      <c r="H782608" s="2"/>
    </row>
    <row r="782857" spans="3:8" ht="15.6" x14ac:dyDescent="0.25">
      <c r="C782857" s="2"/>
      <c r="D782857" s="2"/>
      <c r="E782857" s="2"/>
      <c r="F782857" s="2"/>
      <c r="G782857" s="2"/>
      <c r="H782857" s="2"/>
    </row>
    <row r="783106" spans="3:8" ht="15.6" x14ac:dyDescent="0.25">
      <c r="C783106" s="2"/>
      <c r="D783106" s="2"/>
      <c r="E783106" s="2"/>
      <c r="F783106" s="2"/>
      <c r="G783106" s="2"/>
      <c r="H783106" s="2"/>
    </row>
    <row r="783355" spans="3:8" ht="15.6" x14ac:dyDescent="0.25">
      <c r="C783355" s="2"/>
      <c r="D783355" s="2"/>
      <c r="E783355" s="2"/>
      <c r="F783355" s="2"/>
      <c r="G783355" s="2"/>
      <c r="H783355" s="2"/>
    </row>
    <row r="783604" spans="3:8" ht="15.6" x14ac:dyDescent="0.25">
      <c r="C783604" s="2"/>
      <c r="D783604" s="2"/>
      <c r="E783604" s="2"/>
      <c r="F783604" s="2"/>
      <c r="G783604" s="2"/>
      <c r="H783604" s="2"/>
    </row>
    <row r="783853" spans="3:8" ht="15.6" x14ac:dyDescent="0.25">
      <c r="C783853" s="2"/>
      <c r="D783853" s="2"/>
      <c r="E783853" s="2"/>
      <c r="F783853" s="2"/>
      <c r="G783853" s="2"/>
      <c r="H783853" s="2"/>
    </row>
    <row r="784102" spans="3:8" ht="15.6" x14ac:dyDescent="0.25">
      <c r="C784102" s="2"/>
      <c r="D784102" s="2"/>
      <c r="E784102" s="2"/>
      <c r="F784102" s="2"/>
      <c r="G784102" s="2"/>
      <c r="H784102" s="2"/>
    </row>
    <row r="784351" spans="3:8" ht="15.6" x14ac:dyDescent="0.25">
      <c r="C784351" s="2"/>
      <c r="D784351" s="2"/>
      <c r="E784351" s="2"/>
      <c r="F784351" s="2"/>
      <c r="G784351" s="2"/>
      <c r="H784351" s="2"/>
    </row>
    <row r="784600" spans="3:8" ht="15.6" x14ac:dyDescent="0.25">
      <c r="C784600" s="2"/>
      <c r="D784600" s="2"/>
      <c r="E784600" s="2"/>
      <c r="F784600" s="2"/>
      <c r="G784600" s="2"/>
      <c r="H784600" s="2"/>
    </row>
    <row r="784849" spans="3:8" ht="15.6" x14ac:dyDescent="0.25">
      <c r="C784849" s="2"/>
      <c r="D784849" s="2"/>
      <c r="E784849" s="2"/>
      <c r="F784849" s="2"/>
      <c r="G784849" s="2"/>
      <c r="H784849" s="2"/>
    </row>
    <row r="785098" spans="3:8" ht="15.6" x14ac:dyDescent="0.25">
      <c r="C785098" s="2"/>
      <c r="D785098" s="2"/>
      <c r="E785098" s="2"/>
      <c r="F785098" s="2"/>
      <c r="G785098" s="2"/>
      <c r="H785098" s="2"/>
    </row>
    <row r="785347" spans="3:8" ht="15.6" x14ac:dyDescent="0.25">
      <c r="C785347" s="2"/>
      <c r="D785347" s="2"/>
      <c r="E785347" s="2"/>
      <c r="F785347" s="2"/>
      <c r="G785347" s="2"/>
      <c r="H785347" s="2"/>
    </row>
    <row r="785596" spans="3:8" ht="15.6" x14ac:dyDescent="0.25">
      <c r="C785596" s="2"/>
      <c r="D785596" s="2"/>
      <c r="E785596" s="2"/>
      <c r="F785596" s="2"/>
      <c r="G785596" s="2"/>
      <c r="H785596" s="2"/>
    </row>
    <row r="785845" spans="3:8" ht="15.6" x14ac:dyDescent="0.25">
      <c r="C785845" s="2"/>
      <c r="D785845" s="2"/>
      <c r="E785845" s="2"/>
      <c r="F785845" s="2"/>
      <c r="G785845" s="2"/>
      <c r="H785845" s="2"/>
    </row>
    <row r="786094" spans="3:8" ht="15.6" x14ac:dyDescent="0.25">
      <c r="C786094" s="2"/>
      <c r="D786094" s="2"/>
      <c r="E786094" s="2"/>
      <c r="F786094" s="2"/>
      <c r="G786094" s="2"/>
      <c r="H786094" s="2"/>
    </row>
    <row r="786343" spans="3:8" ht="15.6" x14ac:dyDescent="0.25">
      <c r="C786343" s="2"/>
      <c r="D786343" s="2"/>
      <c r="E786343" s="2"/>
      <c r="F786343" s="2"/>
      <c r="G786343" s="2"/>
      <c r="H786343" s="2"/>
    </row>
    <row r="786592" spans="3:8" ht="15.6" x14ac:dyDescent="0.25">
      <c r="C786592" s="2"/>
      <c r="D786592" s="2"/>
      <c r="E786592" s="2"/>
      <c r="F786592" s="2"/>
      <c r="G786592" s="2"/>
      <c r="H786592" s="2"/>
    </row>
    <row r="786841" spans="3:8" ht="15.6" x14ac:dyDescent="0.25">
      <c r="C786841" s="2"/>
      <c r="D786841" s="2"/>
      <c r="E786841" s="2"/>
      <c r="F786841" s="2"/>
      <c r="G786841" s="2"/>
      <c r="H786841" s="2"/>
    </row>
    <row r="787090" spans="3:8" ht="15.6" x14ac:dyDescent="0.25">
      <c r="C787090" s="2"/>
      <c r="D787090" s="2"/>
      <c r="E787090" s="2"/>
      <c r="F787090" s="2"/>
      <c r="G787090" s="2"/>
      <c r="H787090" s="2"/>
    </row>
    <row r="787339" spans="3:8" ht="15.6" x14ac:dyDescent="0.25">
      <c r="C787339" s="2"/>
      <c r="D787339" s="2"/>
      <c r="E787339" s="2"/>
      <c r="F787339" s="2"/>
      <c r="G787339" s="2"/>
      <c r="H787339" s="2"/>
    </row>
    <row r="787588" spans="3:8" ht="15.6" x14ac:dyDescent="0.25">
      <c r="C787588" s="2"/>
      <c r="D787588" s="2"/>
      <c r="E787588" s="2"/>
      <c r="F787588" s="2"/>
      <c r="G787588" s="2"/>
      <c r="H787588" s="2"/>
    </row>
    <row r="787837" spans="3:8" ht="15.6" x14ac:dyDescent="0.25">
      <c r="C787837" s="2"/>
      <c r="D787837" s="2"/>
      <c r="E787837" s="2"/>
      <c r="F787837" s="2"/>
      <c r="G787837" s="2"/>
      <c r="H787837" s="2"/>
    </row>
    <row r="788086" spans="3:8" ht="15.6" x14ac:dyDescent="0.25">
      <c r="C788086" s="2"/>
      <c r="D788086" s="2"/>
      <c r="E788086" s="2"/>
      <c r="F788086" s="2"/>
      <c r="G788086" s="2"/>
      <c r="H788086" s="2"/>
    </row>
    <row r="788335" spans="3:8" ht="15.6" x14ac:dyDescent="0.25">
      <c r="C788335" s="2"/>
      <c r="D788335" s="2"/>
      <c r="E788335" s="2"/>
      <c r="F788335" s="2"/>
      <c r="G788335" s="2"/>
      <c r="H788335" s="2"/>
    </row>
    <row r="788584" spans="3:8" ht="15.6" x14ac:dyDescent="0.25">
      <c r="C788584" s="2"/>
      <c r="D788584" s="2"/>
      <c r="E788584" s="2"/>
      <c r="F788584" s="2"/>
      <c r="G788584" s="2"/>
      <c r="H788584" s="2"/>
    </row>
    <row r="788833" spans="3:8" ht="15.6" x14ac:dyDescent="0.25">
      <c r="C788833" s="2"/>
      <c r="D788833" s="2"/>
      <c r="E788833" s="2"/>
      <c r="F788833" s="2"/>
      <c r="G788833" s="2"/>
      <c r="H788833" s="2"/>
    </row>
    <row r="789082" spans="3:8" ht="15.6" x14ac:dyDescent="0.25">
      <c r="C789082" s="2"/>
      <c r="D789082" s="2"/>
      <c r="E789082" s="2"/>
      <c r="F789082" s="2"/>
      <c r="G789082" s="2"/>
      <c r="H789082" s="2"/>
    </row>
    <row r="789331" spans="3:8" ht="15.6" x14ac:dyDescent="0.25">
      <c r="C789331" s="2"/>
      <c r="D789331" s="2"/>
      <c r="E789331" s="2"/>
      <c r="F789331" s="2"/>
      <c r="G789331" s="2"/>
      <c r="H789331" s="2"/>
    </row>
    <row r="789580" spans="3:8" ht="15.6" x14ac:dyDescent="0.25">
      <c r="C789580" s="2"/>
      <c r="D789580" s="2"/>
      <c r="E789580" s="2"/>
      <c r="F789580" s="2"/>
      <c r="G789580" s="2"/>
      <c r="H789580" s="2"/>
    </row>
    <row r="789829" spans="3:8" ht="15.6" x14ac:dyDescent="0.25">
      <c r="C789829" s="2"/>
      <c r="D789829" s="2"/>
      <c r="E789829" s="2"/>
      <c r="F789829" s="2"/>
      <c r="G789829" s="2"/>
      <c r="H789829" s="2"/>
    </row>
    <row r="790078" spans="3:8" ht="15.6" x14ac:dyDescent="0.25">
      <c r="C790078" s="2"/>
      <c r="D790078" s="2"/>
      <c r="E790078" s="2"/>
      <c r="F790078" s="2"/>
      <c r="G790078" s="2"/>
      <c r="H790078" s="2"/>
    </row>
    <row r="790327" spans="3:8" ht="15.6" x14ac:dyDescent="0.25">
      <c r="C790327" s="2"/>
      <c r="D790327" s="2"/>
      <c r="E790327" s="2"/>
      <c r="F790327" s="2"/>
      <c r="G790327" s="2"/>
      <c r="H790327" s="2"/>
    </row>
    <row r="790576" spans="3:8" ht="15.6" x14ac:dyDescent="0.25">
      <c r="C790576" s="2"/>
      <c r="D790576" s="2"/>
      <c r="E790576" s="2"/>
      <c r="F790576" s="2"/>
      <c r="G790576" s="2"/>
      <c r="H790576" s="2"/>
    </row>
    <row r="790825" spans="3:8" ht="15.6" x14ac:dyDescent="0.25">
      <c r="C790825" s="2"/>
      <c r="D790825" s="2"/>
      <c r="E790825" s="2"/>
      <c r="F790825" s="2"/>
      <c r="G790825" s="2"/>
      <c r="H790825" s="2"/>
    </row>
    <row r="791074" spans="3:8" ht="15.6" x14ac:dyDescent="0.25">
      <c r="C791074" s="2"/>
      <c r="D791074" s="2"/>
      <c r="E791074" s="2"/>
      <c r="F791074" s="2"/>
      <c r="G791074" s="2"/>
      <c r="H791074" s="2"/>
    </row>
    <row r="791323" spans="3:8" ht="15.6" x14ac:dyDescent="0.25">
      <c r="C791323" s="2"/>
      <c r="D791323" s="2"/>
      <c r="E791323" s="2"/>
      <c r="F791323" s="2"/>
      <c r="G791323" s="2"/>
      <c r="H791323" s="2"/>
    </row>
    <row r="791572" spans="3:8" ht="15.6" x14ac:dyDescent="0.25">
      <c r="C791572" s="2"/>
      <c r="D791572" s="2"/>
      <c r="E791572" s="2"/>
      <c r="F791572" s="2"/>
      <c r="G791572" s="2"/>
      <c r="H791572" s="2"/>
    </row>
    <row r="791821" spans="3:8" ht="15.6" x14ac:dyDescent="0.25">
      <c r="C791821" s="2"/>
      <c r="D791821" s="2"/>
      <c r="E791821" s="2"/>
      <c r="F791821" s="2"/>
      <c r="G791821" s="2"/>
      <c r="H791821" s="2"/>
    </row>
    <row r="792070" spans="3:8" ht="15.6" x14ac:dyDescent="0.25">
      <c r="C792070" s="2"/>
      <c r="D792070" s="2"/>
      <c r="E792070" s="2"/>
      <c r="F792070" s="2"/>
      <c r="G792070" s="2"/>
      <c r="H792070" s="2"/>
    </row>
    <row r="792319" spans="3:8" ht="15.6" x14ac:dyDescent="0.25">
      <c r="C792319" s="2"/>
      <c r="D792319" s="2"/>
      <c r="E792319" s="2"/>
      <c r="F792319" s="2"/>
      <c r="G792319" s="2"/>
      <c r="H792319" s="2"/>
    </row>
    <row r="792568" spans="3:8" ht="15.6" x14ac:dyDescent="0.25">
      <c r="C792568" s="2"/>
      <c r="D792568" s="2"/>
      <c r="E792568" s="2"/>
      <c r="F792568" s="2"/>
      <c r="G792568" s="2"/>
      <c r="H792568" s="2"/>
    </row>
    <row r="792817" spans="3:8" ht="15.6" x14ac:dyDescent="0.25">
      <c r="C792817" s="2"/>
      <c r="D792817" s="2"/>
      <c r="E792817" s="2"/>
      <c r="F792817" s="2"/>
      <c r="G792817" s="2"/>
      <c r="H792817" s="2"/>
    </row>
    <row r="793066" spans="3:8" ht="15.6" x14ac:dyDescent="0.25">
      <c r="C793066" s="2"/>
      <c r="D793066" s="2"/>
      <c r="E793066" s="2"/>
      <c r="F793066" s="2"/>
      <c r="G793066" s="2"/>
      <c r="H793066" s="2"/>
    </row>
    <row r="793315" spans="3:8" ht="15.6" x14ac:dyDescent="0.25">
      <c r="C793315" s="2"/>
      <c r="D793315" s="2"/>
      <c r="E793315" s="2"/>
      <c r="F793315" s="2"/>
      <c r="G793315" s="2"/>
      <c r="H793315" s="2"/>
    </row>
    <row r="793564" spans="3:8" ht="15.6" x14ac:dyDescent="0.25">
      <c r="C793564" s="2"/>
      <c r="D793564" s="2"/>
      <c r="E793564" s="2"/>
      <c r="F793564" s="2"/>
      <c r="G793564" s="2"/>
      <c r="H793564" s="2"/>
    </row>
    <row r="793813" spans="3:8" ht="15.6" x14ac:dyDescent="0.25">
      <c r="C793813" s="2"/>
      <c r="D793813" s="2"/>
      <c r="E793813" s="2"/>
      <c r="F793813" s="2"/>
      <c r="G793813" s="2"/>
      <c r="H793813" s="2"/>
    </row>
    <row r="794062" spans="3:8" ht="15.6" x14ac:dyDescent="0.25">
      <c r="C794062" s="2"/>
      <c r="D794062" s="2"/>
      <c r="E794062" s="2"/>
      <c r="F794062" s="2"/>
      <c r="G794062" s="2"/>
      <c r="H794062" s="2"/>
    </row>
    <row r="794311" spans="3:8" ht="15.6" x14ac:dyDescent="0.25">
      <c r="C794311" s="2"/>
      <c r="D794311" s="2"/>
      <c r="E794311" s="2"/>
      <c r="F794311" s="2"/>
      <c r="G794311" s="2"/>
      <c r="H794311" s="2"/>
    </row>
    <row r="794560" spans="3:8" ht="15.6" x14ac:dyDescent="0.25">
      <c r="C794560" s="2"/>
      <c r="D794560" s="2"/>
      <c r="E794560" s="2"/>
      <c r="F794560" s="2"/>
      <c r="G794560" s="2"/>
      <c r="H794560" s="2"/>
    </row>
    <row r="794809" spans="3:8" ht="15.6" x14ac:dyDescent="0.25">
      <c r="C794809" s="2"/>
      <c r="D794809" s="2"/>
      <c r="E794809" s="2"/>
      <c r="F794809" s="2"/>
      <c r="G794809" s="2"/>
      <c r="H794809" s="2"/>
    </row>
    <row r="795058" spans="3:8" ht="15.6" x14ac:dyDescent="0.25">
      <c r="C795058" s="2"/>
      <c r="D795058" s="2"/>
      <c r="E795058" s="2"/>
      <c r="F795058" s="2"/>
      <c r="G795058" s="2"/>
      <c r="H795058" s="2"/>
    </row>
    <row r="795307" spans="3:8" ht="15.6" x14ac:dyDescent="0.25">
      <c r="C795307" s="2"/>
      <c r="D795307" s="2"/>
      <c r="E795307" s="2"/>
      <c r="F795307" s="2"/>
      <c r="G795307" s="2"/>
      <c r="H795307" s="2"/>
    </row>
    <row r="795556" spans="3:8" ht="15.6" x14ac:dyDescent="0.25">
      <c r="C795556" s="2"/>
      <c r="D795556" s="2"/>
      <c r="E795556" s="2"/>
      <c r="F795556" s="2"/>
      <c r="G795556" s="2"/>
      <c r="H795556" s="2"/>
    </row>
    <row r="795805" spans="3:8" ht="15.6" x14ac:dyDescent="0.25">
      <c r="C795805" s="2"/>
      <c r="D795805" s="2"/>
      <c r="E795805" s="2"/>
      <c r="F795805" s="2"/>
      <c r="G795805" s="2"/>
      <c r="H795805" s="2"/>
    </row>
    <row r="796054" spans="3:8" ht="15.6" x14ac:dyDescent="0.25">
      <c r="C796054" s="2"/>
      <c r="D796054" s="2"/>
      <c r="E796054" s="2"/>
      <c r="F796054" s="2"/>
      <c r="G796054" s="2"/>
      <c r="H796054" s="2"/>
    </row>
    <row r="796303" spans="3:8" ht="15.6" x14ac:dyDescent="0.25">
      <c r="C796303" s="2"/>
      <c r="D796303" s="2"/>
      <c r="E796303" s="2"/>
      <c r="F796303" s="2"/>
      <c r="G796303" s="2"/>
      <c r="H796303" s="2"/>
    </row>
    <row r="796552" spans="3:8" ht="15.6" x14ac:dyDescent="0.25">
      <c r="C796552" s="2"/>
      <c r="D796552" s="2"/>
      <c r="E796552" s="2"/>
      <c r="F796552" s="2"/>
      <c r="G796552" s="2"/>
      <c r="H796552" s="2"/>
    </row>
    <row r="796801" spans="3:8" ht="15.6" x14ac:dyDescent="0.25">
      <c r="C796801" s="2"/>
      <c r="D796801" s="2"/>
      <c r="E796801" s="2"/>
      <c r="F796801" s="2"/>
      <c r="G796801" s="2"/>
      <c r="H796801" s="2"/>
    </row>
    <row r="797050" spans="3:8" ht="15.6" x14ac:dyDescent="0.25">
      <c r="C797050" s="2"/>
      <c r="D797050" s="2"/>
      <c r="E797050" s="2"/>
      <c r="F797050" s="2"/>
      <c r="G797050" s="2"/>
      <c r="H797050" s="2"/>
    </row>
    <row r="797299" spans="3:8" ht="15.6" x14ac:dyDescent="0.25">
      <c r="C797299" s="2"/>
      <c r="D797299" s="2"/>
      <c r="E797299" s="2"/>
      <c r="F797299" s="2"/>
      <c r="G797299" s="2"/>
      <c r="H797299" s="2"/>
    </row>
    <row r="797548" spans="3:8" ht="15.6" x14ac:dyDescent="0.25">
      <c r="C797548" s="2"/>
      <c r="D797548" s="2"/>
      <c r="E797548" s="2"/>
      <c r="F797548" s="2"/>
      <c r="G797548" s="2"/>
      <c r="H797548" s="2"/>
    </row>
    <row r="797797" spans="3:8" ht="15.6" x14ac:dyDescent="0.25">
      <c r="C797797" s="2"/>
      <c r="D797797" s="2"/>
      <c r="E797797" s="2"/>
      <c r="F797797" s="2"/>
      <c r="G797797" s="2"/>
      <c r="H797797" s="2"/>
    </row>
    <row r="798046" spans="3:8" ht="15.6" x14ac:dyDescent="0.25">
      <c r="C798046" s="2"/>
      <c r="D798046" s="2"/>
      <c r="E798046" s="2"/>
      <c r="F798046" s="2"/>
      <c r="G798046" s="2"/>
      <c r="H798046" s="2"/>
    </row>
    <row r="798295" spans="3:8" ht="15.6" x14ac:dyDescent="0.25">
      <c r="C798295" s="2"/>
      <c r="D798295" s="2"/>
      <c r="E798295" s="2"/>
      <c r="F798295" s="2"/>
      <c r="G798295" s="2"/>
      <c r="H798295" s="2"/>
    </row>
    <row r="798544" spans="3:8" ht="15.6" x14ac:dyDescent="0.25">
      <c r="C798544" s="2"/>
      <c r="D798544" s="2"/>
      <c r="E798544" s="2"/>
      <c r="F798544" s="2"/>
      <c r="G798544" s="2"/>
      <c r="H798544" s="2"/>
    </row>
    <row r="798793" spans="3:8" ht="15.6" x14ac:dyDescent="0.25">
      <c r="C798793" s="2"/>
      <c r="D798793" s="2"/>
      <c r="E798793" s="2"/>
      <c r="F798793" s="2"/>
      <c r="G798793" s="2"/>
      <c r="H798793" s="2"/>
    </row>
    <row r="799042" spans="3:8" ht="15.6" x14ac:dyDescent="0.25">
      <c r="C799042" s="2"/>
      <c r="D799042" s="2"/>
      <c r="E799042" s="2"/>
      <c r="F799042" s="2"/>
      <c r="G799042" s="2"/>
      <c r="H799042" s="2"/>
    </row>
    <row r="799291" spans="3:8" ht="15.6" x14ac:dyDescent="0.25">
      <c r="C799291" s="2"/>
      <c r="D799291" s="2"/>
      <c r="E799291" s="2"/>
      <c r="F799291" s="2"/>
      <c r="G799291" s="2"/>
      <c r="H799291" s="2"/>
    </row>
    <row r="799540" spans="3:8" ht="15.6" x14ac:dyDescent="0.25">
      <c r="C799540" s="2"/>
      <c r="D799540" s="2"/>
      <c r="E799540" s="2"/>
      <c r="F799540" s="2"/>
      <c r="G799540" s="2"/>
      <c r="H799540" s="2"/>
    </row>
    <row r="799789" spans="3:8" ht="15.6" x14ac:dyDescent="0.25">
      <c r="C799789" s="2"/>
      <c r="D799789" s="2"/>
      <c r="E799789" s="2"/>
      <c r="F799789" s="2"/>
      <c r="G799789" s="2"/>
      <c r="H799789" s="2"/>
    </row>
    <row r="800038" spans="3:8" ht="15.6" x14ac:dyDescent="0.25">
      <c r="C800038" s="2"/>
      <c r="D800038" s="2"/>
      <c r="E800038" s="2"/>
      <c r="F800038" s="2"/>
      <c r="G800038" s="2"/>
      <c r="H800038" s="2"/>
    </row>
    <row r="800287" spans="3:8" ht="15.6" x14ac:dyDescent="0.25">
      <c r="C800287" s="2"/>
      <c r="D800287" s="2"/>
      <c r="E800287" s="2"/>
      <c r="F800287" s="2"/>
      <c r="G800287" s="2"/>
      <c r="H800287" s="2"/>
    </row>
    <row r="800536" spans="3:8" ht="15.6" x14ac:dyDescent="0.25">
      <c r="C800536" s="2"/>
      <c r="D800536" s="2"/>
      <c r="E800536" s="2"/>
      <c r="F800536" s="2"/>
      <c r="G800536" s="2"/>
      <c r="H800536" s="2"/>
    </row>
    <row r="800785" spans="3:8" ht="15.6" x14ac:dyDescent="0.25">
      <c r="C800785" s="2"/>
      <c r="D800785" s="2"/>
      <c r="E800785" s="2"/>
      <c r="F800785" s="2"/>
      <c r="G800785" s="2"/>
      <c r="H800785" s="2"/>
    </row>
    <row r="801034" spans="3:8" ht="15.6" x14ac:dyDescent="0.25">
      <c r="C801034" s="2"/>
      <c r="D801034" s="2"/>
      <c r="E801034" s="2"/>
      <c r="F801034" s="2"/>
      <c r="G801034" s="2"/>
      <c r="H801034" s="2"/>
    </row>
    <row r="801283" spans="3:8" ht="15.6" x14ac:dyDescent="0.25">
      <c r="C801283" s="2"/>
      <c r="D801283" s="2"/>
      <c r="E801283" s="2"/>
      <c r="F801283" s="2"/>
      <c r="G801283" s="2"/>
      <c r="H801283" s="2"/>
    </row>
    <row r="801532" spans="3:8" ht="15.6" x14ac:dyDescent="0.25">
      <c r="C801532" s="2"/>
      <c r="D801532" s="2"/>
      <c r="E801532" s="2"/>
      <c r="F801532" s="2"/>
      <c r="G801532" s="2"/>
      <c r="H801532" s="2"/>
    </row>
    <row r="801781" spans="3:8" ht="15.6" x14ac:dyDescent="0.25">
      <c r="C801781" s="2"/>
      <c r="D801781" s="2"/>
      <c r="E801781" s="2"/>
      <c r="F801781" s="2"/>
      <c r="G801781" s="2"/>
      <c r="H801781" s="2"/>
    </row>
    <row r="802030" spans="3:8" ht="15.6" x14ac:dyDescent="0.25">
      <c r="C802030" s="2"/>
      <c r="D802030" s="2"/>
      <c r="E802030" s="2"/>
      <c r="F802030" s="2"/>
      <c r="G802030" s="2"/>
      <c r="H802030" s="2"/>
    </row>
    <row r="802279" spans="3:8" ht="15.6" x14ac:dyDescent="0.25">
      <c r="C802279" s="2"/>
      <c r="D802279" s="2"/>
      <c r="E802279" s="2"/>
      <c r="F802279" s="2"/>
      <c r="G802279" s="2"/>
      <c r="H802279" s="2"/>
    </row>
    <row r="802528" spans="3:8" ht="15.6" x14ac:dyDescent="0.25">
      <c r="C802528" s="2"/>
      <c r="D802528" s="2"/>
      <c r="E802528" s="2"/>
      <c r="F802528" s="2"/>
      <c r="G802528" s="2"/>
      <c r="H802528" s="2"/>
    </row>
    <row r="802777" spans="3:8" ht="15.6" x14ac:dyDescent="0.25">
      <c r="C802777" s="2"/>
      <c r="D802777" s="2"/>
      <c r="E802777" s="2"/>
      <c r="F802777" s="2"/>
      <c r="G802777" s="2"/>
      <c r="H802777" s="2"/>
    </row>
    <row r="803026" spans="3:8" ht="15.6" x14ac:dyDescent="0.25">
      <c r="C803026" s="2"/>
      <c r="D803026" s="2"/>
      <c r="E803026" s="2"/>
      <c r="F803026" s="2"/>
      <c r="G803026" s="2"/>
      <c r="H803026" s="2"/>
    </row>
    <row r="803275" spans="3:8" ht="15.6" x14ac:dyDescent="0.25">
      <c r="C803275" s="2"/>
      <c r="D803275" s="2"/>
      <c r="E803275" s="2"/>
      <c r="F803275" s="2"/>
      <c r="G803275" s="2"/>
      <c r="H803275" s="2"/>
    </row>
    <row r="803524" spans="3:8" ht="15.6" x14ac:dyDescent="0.25">
      <c r="C803524" s="2"/>
      <c r="D803524" s="2"/>
      <c r="E803524" s="2"/>
      <c r="F803524" s="2"/>
      <c r="G803524" s="2"/>
      <c r="H803524" s="2"/>
    </row>
    <row r="803773" spans="3:8" ht="15.6" x14ac:dyDescent="0.25">
      <c r="C803773" s="2"/>
      <c r="D803773" s="2"/>
      <c r="E803773" s="2"/>
      <c r="F803773" s="2"/>
      <c r="G803773" s="2"/>
      <c r="H803773" s="2"/>
    </row>
    <row r="804022" spans="3:8" ht="15.6" x14ac:dyDescent="0.25">
      <c r="C804022" s="2"/>
      <c r="D804022" s="2"/>
      <c r="E804022" s="2"/>
      <c r="F804022" s="2"/>
      <c r="G804022" s="2"/>
      <c r="H804022" s="2"/>
    </row>
    <row r="804271" spans="3:8" ht="15.6" x14ac:dyDescent="0.25">
      <c r="C804271" s="2"/>
      <c r="D804271" s="2"/>
      <c r="E804271" s="2"/>
      <c r="F804271" s="2"/>
      <c r="G804271" s="2"/>
      <c r="H804271" s="2"/>
    </row>
    <row r="804520" spans="3:8" ht="15.6" x14ac:dyDescent="0.25">
      <c r="C804520" s="2"/>
      <c r="D804520" s="2"/>
      <c r="E804520" s="2"/>
      <c r="F804520" s="2"/>
      <c r="G804520" s="2"/>
      <c r="H804520" s="2"/>
    </row>
    <row r="804769" spans="3:8" ht="15.6" x14ac:dyDescent="0.25">
      <c r="C804769" s="2"/>
      <c r="D804769" s="2"/>
      <c r="E804769" s="2"/>
      <c r="F804769" s="2"/>
      <c r="G804769" s="2"/>
      <c r="H804769" s="2"/>
    </row>
    <row r="805018" spans="3:8" ht="15.6" x14ac:dyDescent="0.25">
      <c r="C805018" s="2"/>
      <c r="D805018" s="2"/>
      <c r="E805018" s="2"/>
      <c r="F805018" s="2"/>
      <c r="G805018" s="2"/>
      <c r="H805018" s="2"/>
    </row>
    <row r="805267" spans="3:8" ht="15.6" x14ac:dyDescent="0.25">
      <c r="C805267" s="2"/>
      <c r="D805267" s="2"/>
      <c r="E805267" s="2"/>
      <c r="F805267" s="2"/>
      <c r="G805267" s="2"/>
      <c r="H805267" s="2"/>
    </row>
    <row r="805516" spans="3:8" ht="15.6" x14ac:dyDescent="0.25">
      <c r="C805516" s="2"/>
      <c r="D805516" s="2"/>
      <c r="E805516" s="2"/>
      <c r="F805516" s="2"/>
      <c r="G805516" s="2"/>
      <c r="H805516" s="2"/>
    </row>
    <row r="805765" spans="3:8" ht="15.6" x14ac:dyDescent="0.25">
      <c r="C805765" s="2"/>
      <c r="D805765" s="2"/>
      <c r="E805765" s="2"/>
      <c r="F805765" s="2"/>
      <c r="G805765" s="2"/>
      <c r="H805765" s="2"/>
    </row>
    <row r="806014" spans="3:8" ht="15.6" x14ac:dyDescent="0.25">
      <c r="C806014" s="2"/>
      <c r="D806014" s="2"/>
      <c r="E806014" s="2"/>
      <c r="F806014" s="2"/>
      <c r="G806014" s="2"/>
      <c r="H806014" s="2"/>
    </row>
    <row r="806263" spans="3:8" ht="15.6" x14ac:dyDescent="0.25">
      <c r="C806263" s="2"/>
      <c r="D806263" s="2"/>
      <c r="E806263" s="2"/>
      <c r="F806263" s="2"/>
      <c r="G806263" s="2"/>
      <c r="H806263" s="2"/>
    </row>
    <row r="806512" spans="3:8" ht="15.6" x14ac:dyDescent="0.25">
      <c r="C806512" s="2"/>
      <c r="D806512" s="2"/>
      <c r="E806512" s="2"/>
      <c r="F806512" s="2"/>
      <c r="G806512" s="2"/>
      <c r="H806512" s="2"/>
    </row>
    <row r="806761" spans="3:8" ht="15.6" x14ac:dyDescent="0.25">
      <c r="C806761" s="2"/>
      <c r="D806761" s="2"/>
      <c r="E806761" s="2"/>
      <c r="F806761" s="2"/>
      <c r="G806761" s="2"/>
      <c r="H806761" s="2"/>
    </row>
    <row r="807010" spans="3:8" ht="15.6" x14ac:dyDescent="0.25">
      <c r="C807010" s="2"/>
      <c r="D807010" s="2"/>
      <c r="E807010" s="2"/>
      <c r="F807010" s="2"/>
      <c r="G807010" s="2"/>
      <c r="H807010" s="2"/>
    </row>
    <row r="807259" spans="3:8" ht="15.6" x14ac:dyDescent="0.25">
      <c r="C807259" s="2"/>
      <c r="D807259" s="2"/>
      <c r="E807259" s="2"/>
      <c r="F807259" s="2"/>
      <c r="G807259" s="2"/>
      <c r="H807259" s="2"/>
    </row>
    <row r="807508" spans="3:8" ht="15.6" x14ac:dyDescent="0.25">
      <c r="C807508" s="2"/>
      <c r="D807508" s="2"/>
      <c r="E807508" s="2"/>
      <c r="F807508" s="2"/>
      <c r="G807508" s="2"/>
      <c r="H807508" s="2"/>
    </row>
    <row r="807757" spans="3:8" ht="15.6" x14ac:dyDescent="0.25">
      <c r="C807757" s="2"/>
      <c r="D807757" s="2"/>
      <c r="E807757" s="2"/>
      <c r="F807757" s="2"/>
      <c r="G807757" s="2"/>
      <c r="H807757" s="2"/>
    </row>
    <row r="808006" spans="3:8" ht="15.6" x14ac:dyDescent="0.25">
      <c r="C808006" s="2"/>
      <c r="D808006" s="2"/>
      <c r="E808006" s="2"/>
      <c r="F808006" s="2"/>
      <c r="G808006" s="2"/>
      <c r="H808006" s="2"/>
    </row>
    <row r="808255" spans="3:8" ht="15.6" x14ac:dyDescent="0.25">
      <c r="C808255" s="2"/>
      <c r="D808255" s="2"/>
      <c r="E808255" s="2"/>
      <c r="F808255" s="2"/>
      <c r="G808255" s="2"/>
      <c r="H808255" s="2"/>
    </row>
    <row r="808504" spans="3:8" ht="15.6" x14ac:dyDescent="0.25">
      <c r="C808504" s="2"/>
      <c r="D808504" s="2"/>
      <c r="E808504" s="2"/>
      <c r="F808504" s="2"/>
      <c r="G808504" s="2"/>
      <c r="H808504" s="2"/>
    </row>
    <row r="808753" spans="3:8" ht="15.6" x14ac:dyDescent="0.25">
      <c r="C808753" s="2"/>
      <c r="D808753" s="2"/>
      <c r="E808753" s="2"/>
      <c r="F808753" s="2"/>
      <c r="G808753" s="2"/>
      <c r="H808753" s="2"/>
    </row>
    <row r="809002" spans="3:8" ht="15.6" x14ac:dyDescent="0.25">
      <c r="C809002" s="2"/>
      <c r="D809002" s="2"/>
      <c r="E809002" s="2"/>
      <c r="F809002" s="2"/>
      <c r="G809002" s="2"/>
      <c r="H809002" s="2"/>
    </row>
    <row r="809251" spans="3:8" ht="15.6" x14ac:dyDescent="0.25">
      <c r="C809251" s="2"/>
      <c r="D809251" s="2"/>
      <c r="E809251" s="2"/>
      <c r="F809251" s="2"/>
      <c r="G809251" s="2"/>
      <c r="H809251" s="2"/>
    </row>
    <row r="809500" spans="3:8" ht="15.6" x14ac:dyDescent="0.25">
      <c r="C809500" s="2"/>
      <c r="D809500" s="2"/>
      <c r="E809500" s="2"/>
      <c r="F809500" s="2"/>
      <c r="G809500" s="2"/>
      <c r="H809500" s="2"/>
    </row>
    <row r="809749" spans="3:8" ht="15.6" x14ac:dyDescent="0.25">
      <c r="C809749" s="2"/>
      <c r="D809749" s="2"/>
      <c r="E809749" s="2"/>
      <c r="F809749" s="2"/>
      <c r="G809749" s="2"/>
      <c r="H809749" s="2"/>
    </row>
    <row r="809998" spans="3:8" ht="15.6" x14ac:dyDescent="0.25">
      <c r="C809998" s="2"/>
      <c r="D809998" s="2"/>
      <c r="E809998" s="2"/>
      <c r="F809998" s="2"/>
      <c r="G809998" s="2"/>
      <c r="H809998" s="2"/>
    </row>
    <row r="810247" spans="3:8" ht="15.6" x14ac:dyDescent="0.25">
      <c r="C810247" s="2"/>
      <c r="D810247" s="2"/>
      <c r="E810247" s="2"/>
      <c r="F810247" s="2"/>
      <c r="G810247" s="2"/>
      <c r="H810247" s="2"/>
    </row>
    <row r="810496" spans="3:8" ht="15.6" x14ac:dyDescent="0.25">
      <c r="C810496" s="2"/>
      <c r="D810496" s="2"/>
      <c r="E810496" s="2"/>
      <c r="F810496" s="2"/>
      <c r="G810496" s="2"/>
      <c r="H810496" s="2"/>
    </row>
    <row r="810745" spans="3:8" ht="15.6" x14ac:dyDescent="0.25">
      <c r="C810745" s="2"/>
      <c r="D810745" s="2"/>
      <c r="E810745" s="2"/>
      <c r="F810745" s="2"/>
      <c r="G810745" s="2"/>
      <c r="H810745" s="2"/>
    </row>
    <row r="810994" spans="3:8" ht="15.6" x14ac:dyDescent="0.25">
      <c r="C810994" s="2"/>
      <c r="D810994" s="2"/>
      <c r="E810994" s="2"/>
      <c r="F810994" s="2"/>
      <c r="G810994" s="2"/>
      <c r="H810994" s="2"/>
    </row>
    <row r="811243" spans="3:8" ht="15.6" x14ac:dyDescent="0.25">
      <c r="C811243" s="2"/>
      <c r="D811243" s="2"/>
      <c r="E811243" s="2"/>
      <c r="F811243" s="2"/>
      <c r="G811243" s="2"/>
      <c r="H811243" s="2"/>
    </row>
    <row r="811492" spans="3:8" ht="15.6" x14ac:dyDescent="0.25">
      <c r="C811492" s="2"/>
      <c r="D811492" s="2"/>
      <c r="E811492" s="2"/>
      <c r="F811492" s="2"/>
      <c r="G811492" s="2"/>
      <c r="H811492" s="2"/>
    </row>
    <row r="811741" spans="3:8" ht="15.6" x14ac:dyDescent="0.25">
      <c r="C811741" s="2"/>
      <c r="D811741" s="2"/>
      <c r="E811741" s="2"/>
      <c r="F811741" s="2"/>
      <c r="G811741" s="2"/>
      <c r="H811741" s="2"/>
    </row>
    <row r="811990" spans="3:8" ht="15.6" x14ac:dyDescent="0.25">
      <c r="C811990" s="2"/>
      <c r="D811990" s="2"/>
      <c r="E811990" s="2"/>
      <c r="F811990" s="2"/>
      <c r="G811990" s="2"/>
      <c r="H811990" s="2"/>
    </row>
    <row r="812239" spans="3:8" ht="15.6" x14ac:dyDescent="0.25">
      <c r="C812239" s="2"/>
      <c r="D812239" s="2"/>
      <c r="E812239" s="2"/>
      <c r="F812239" s="2"/>
      <c r="G812239" s="2"/>
      <c r="H812239" s="2"/>
    </row>
    <row r="812488" spans="3:8" ht="15.6" x14ac:dyDescent="0.25">
      <c r="C812488" s="2"/>
      <c r="D812488" s="2"/>
      <c r="E812488" s="2"/>
      <c r="F812488" s="2"/>
      <c r="G812488" s="2"/>
      <c r="H812488" s="2"/>
    </row>
    <row r="812737" spans="3:8" ht="15.6" x14ac:dyDescent="0.25">
      <c r="C812737" s="2"/>
      <c r="D812737" s="2"/>
      <c r="E812737" s="2"/>
      <c r="F812737" s="2"/>
      <c r="G812737" s="2"/>
      <c r="H812737" s="2"/>
    </row>
    <row r="812986" spans="3:8" ht="15.6" x14ac:dyDescent="0.25">
      <c r="C812986" s="2"/>
      <c r="D812986" s="2"/>
      <c r="E812986" s="2"/>
      <c r="F812986" s="2"/>
      <c r="G812986" s="2"/>
      <c r="H812986" s="2"/>
    </row>
    <row r="813235" spans="3:8" ht="15.6" x14ac:dyDescent="0.25">
      <c r="C813235" s="2"/>
      <c r="D813235" s="2"/>
      <c r="E813235" s="2"/>
      <c r="F813235" s="2"/>
      <c r="G813235" s="2"/>
      <c r="H813235" s="2"/>
    </row>
    <row r="813484" spans="3:8" ht="15.6" x14ac:dyDescent="0.25">
      <c r="C813484" s="2"/>
      <c r="D813484" s="2"/>
      <c r="E813484" s="2"/>
      <c r="F813484" s="2"/>
      <c r="G813484" s="2"/>
      <c r="H813484" s="2"/>
    </row>
    <row r="813733" spans="3:8" ht="15.6" x14ac:dyDescent="0.25">
      <c r="C813733" s="2"/>
      <c r="D813733" s="2"/>
      <c r="E813733" s="2"/>
      <c r="F813733" s="2"/>
      <c r="G813733" s="2"/>
      <c r="H813733" s="2"/>
    </row>
    <row r="813982" spans="3:8" ht="15.6" x14ac:dyDescent="0.25">
      <c r="C813982" s="2"/>
      <c r="D813982" s="2"/>
      <c r="E813982" s="2"/>
      <c r="F813982" s="2"/>
      <c r="G813982" s="2"/>
      <c r="H813982" s="2"/>
    </row>
    <row r="814231" spans="3:8" ht="15.6" x14ac:dyDescent="0.25">
      <c r="C814231" s="2"/>
      <c r="D814231" s="2"/>
      <c r="E814231" s="2"/>
      <c r="F814231" s="2"/>
      <c r="G814231" s="2"/>
      <c r="H814231" s="2"/>
    </row>
    <row r="814480" spans="3:8" ht="15.6" x14ac:dyDescent="0.25">
      <c r="C814480" s="2"/>
      <c r="D814480" s="2"/>
      <c r="E814480" s="2"/>
      <c r="F814480" s="2"/>
      <c r="G814480" s="2"/>
      <c r="H814480" s="2"/>
    </row>
    <row r="814729" spans="3:8" ht="15.6" x14ac:dyDescent="0.25">
      <c r="C814729" s="2"/>
      <c r="D814729" s="2"/>
      <c r="E814729" s="2"/>
      <c r="F814729" s="2"/>
      <c r="G814729" s="2"/>
      <c r="H814729" s="2"/>
    </row>
    <row r="814978" spans="3:8" ht="15.6" x14ac:dyDescent="0.25">
      <c r="C814978" s="2"/>
      <c r="D814978" s="2"/>
      <c r="E814978" s="2"/>
      <c r="F814978" s="2"/>
      <c r="G814978" s="2"/>
      <c r="H814978" s="2"/>
    </row>
    <row r="815227" spans="3:8" ht="15.6" x14ac:dyDescent="0.25">
      <c r="C815227" s="2"/>
      <c r="D815227" s="2"/>
      <c r="E815227" s="2"/>
      <c r="F815227" s="2"/>
      <c r="G815227" s="2"/>
      <c r="H815227" s="2"/>
    </row>
    <row r="815476" spans="3:8" ht="15.6" x14ac:dyDescent="0.25">
      <c r="C815476" s="2"/>
      <c r="D815476" s="2"/>
      <c r="E815476" s="2"/>
      <c r="F815476" s="2"/>
      <c r="G815476" s="2"/>
      <c r="H815476" s="2"/>
    </row>
    <row r="815725" spans="3:8" ht="15.6" x14ac:dyDescent="0.25">
      <c r="C815725" s="2"/>
      <c r="D815725" s="2"/>
      <c r="E815725" s="2"/>
      <c r="F815725" s="2"/>
      <c r="G815725" s="2"/>
      <c r="H815725" s="2"/>
    </row>
    <row r="815974" spans="3:8" ht="15.6" x14ac:dyDescent="0.25">
      <c r="C815974" s="2"/>
      <c r="D815974" s="2"/>
      <c r="E815974" s="2"/>
      <c r="F815974" s="2"/>
      <c r="G815974" s="2"/>
      <c r="H815974" s="2"/>
    </row>
    <row r="816223" spans="3:8" ht="15.6" x14ac:dyDescent="0.25">
      <c r="C816223" s="2"/>
      <c r="D816223" s="2"/>
      <c r="E816223" s="2"/>
      <c r="F816223" s="2"/>
      <c r="G816223" s="2"/>
      <c r="H816223" s="2"/>
    </row>
    <row r="816472" spans="3:8" ht="15.6" x14ac:dyDescent="0.25">
      <c r="C816472" s="2"/>
      <c r="D816472" s="2"/>
      <c r="E816472" s="2"/>
      <c r="F816472" s="2"/>
      <c r="G816472" s="2"/>
      <c r="H816472" s="2"/>
    </row>
    <row r="816721" spans="3:8" ht="15.6" x14ac:dyDescent="0.25">
      <c r="C816721" s="2"/>
      <c r="D816721" s="2"/>
      <c r="E816721" s="2"/>
      <c r="F816721" s="2"/>
      <c r="G816721" s="2"/>
      <c r="H816721" s="2"/>
    </row>
    <row r="816970" spans="3:8" ht="15.6" x14ac:dyDescent="0.25">
      <c r="C816970" s="2"/>
      <c r="D816970" s="2"/>
      <c r="E816970" s="2"/>
      <c r="F816970" s="2"/>
      <c r="G816970" s="2"/>
      <c r="H816970" s="2"/>
    </row>
    <row r="817219" spans="3:8" ht="15.6" x14ac:dyDescent="0.25">
      <c r="C817219" s="2"/>
      <c r="D817219" s="2"/>
      <c r="E817219" s="2"/>
      <c r="F817219" s="2"/>
      <c r="G817219" s="2"/>
      <c r="H817219" s="2"/>
    </row>
    <row r="817468" spans="3:8" ht="15.6" x14ac:dyDescent="0.25">
      <c r="C817468" s="2"/>
      <c r="D817468" s="2"/>
      <c r="E817468" s="2"/>
      <c r="F817468" s="2"/>
      <c r="G817468" s="2"/>
      <c r="H817468" s="2"/>
    </row>
    <row r="817717" spans="3:8" ht="15.6" x14ac:dyDescent="0.25">
      <c r="C817717" s="2"/>
      <c r="D817717" s="2"/>
      <c r="E817717" s="2"/>
      <c r="F817717" s="2"/>
      <c r="G817717" s="2"/>
      <c r="H817717" s="2"/>
    </row>
    <row r="817966" spans="3:8" ht="15.6" x14ac:dyDescent="0.25">
      <c r="C817966" s="2"/>
      <c r="D817966" s="2"/>
      <c r="E817966" s="2"/>
      <c r="F817966" s="2"/>
      <c r="G817966" s="2"/>
      <c r="H817966" s="2"/>
    </row>
    <row r="818215" spans="3:8" ht="15.6" x14ac:dyDescent="0.25">
      <c r="C818215" s="2"/>
      <c r="D818215" s="2"/>
      <c r="E818215" s="2"/>
      <c r="F818215" s="2"/>
      <c r="G818215" s="2"/>
      <c r="H818215" s="2"/>
    </row>
    <row r="818464" spans="3:8" ht="15.6" x14ac:dyDescent="0.25">
      <c r="C818464" s="2"/>
      <c r="D818464" s="2"/>
      <c r="E818464" s="2"/>
      <c r="F818464" s="2"/>
      <c r="G818464" s="2"/>
      <c r="H818464" s="2"/>
    </row>
    <row r="818713" spans="3:8" ht="15.6" x14ac:dyDescent="0.25">
      <c r="C818713" s="2"/>
      <c r="D818713" s="2"/>
      <c r="E818713" s="2"/>
      <c r="F818713" s="2"/>
      <c r="G818713" s="2"/>
      <c r="H818713" s="2"/>
    </row>
    <row r="818962" spans="3:8" ht="15.6" x14ac:dyDescent="0.25">
      <c r="C818962" s="2"/>
      <c r="D818962" s="2"/>
      <c r="E818962" s="2"/>
      <c r="F818962" s="2"/>
      <c r="G818962" s="2"/>
      <c r="H818962" s="2"/>
    </row>
    <row r="819211" spans="3:8" ht="15.6" x14ac:dyDescent="0.25">
      <c r="C819211" s="2"/>
      <c r="D819211" s="2"/>
      <c r="E819211" s="2"/>
      <c r="F819211" s="2"/>
      <c r="G819211" s="2"/>
      <c r="H819211" s="2"/>
    </row>
    <row r="819460" spans="3:8" ht="15.6" x14ac:dyDescent="0.25">
      <c r="C819460" s="2"/>
      <c r="D819460" s="2"/>
      <c r="E819460" s="2"/>
      <c r="F819460" s="2"/>
      <c r="G819460" s="2"/>
      <c r="H819460" s="2"/>
    </row>
    <row r="819709" spans="3:8" ht="15.6" x14ac:dyDescent="0.25">
      <c r="C819709" s="2"/>
      <c r="D819709" s="2"/>
      <c r="E819709" s="2"/>
      <c r="F819709" s="2"/>
      <c r="G819709" s="2"/>
      <c r="H819709" s="2"/>
    </row>
    <row r="819958" spans="3:8" ht="15.6" x14ac:dyDescent="0.25">
      <c r="C819958" s="2"/>
      <c r="D819958" s="2"/>
      <c r="E819958" s="2"/>
      <c r="F819958" s="2"/>
      <c r="G819958" s="2"/>
      <c r="H819958" s="2"/>
    </row>
    <row r="820207" spans="3:8" ht="15.6" x14ac:dyDescent="0.25">
      <c r="C820207" s="2"/>
      <c r="D820207" s="2"/>
      <c r="E820207" s="2"/>
      <c r="F820207" s="2"/>
      <c r="G820207" s="2"/>
      <c r="H820207" s="2"/>
    </row>
    <row r="820456" spans="3:8" ht="15.6" x14ac:dyDescent="0.25">
      <c r="C820456" s="2"/>
      <c r="D820456" s="2"/>
      <c r="E820456" s="2"/>
      <c r="F820456" s="2"/>
      <c r="G820456" s="2"/>
      <c r="H820456" s="2"/>
    </row>
    <row r="820705" spans="3:8" ht="15.6" x14ac:dyDescent="0.25">
      <c r="C820705" s="2"/>
      <c r="D820705" s="2"/>
      <c r="E820705" s="2"/>
      <c r="F820705" s="2"/>
      <c r="G820705" s="2"/>
      <c r="H820705" s="2"/>
    </row>
    <row r="820954" spans="3:8" ht="15.6" x14ac:dyDescent="0.25">
      <c r="C820954" s="2"/>
      <c r="D820954" s="2"/>
      <c r="E820954" s="2"/>
      <c r="F820954" s="2"/>
      <c r="G820954" s="2"/>
      <c r="H820954" s="2"/>
    </row>
    <row r="821203" spans="3:8" ht="15.6" x14ac:dyDescent="0.25">
      <c r="C821203" s="2"/>
      <c r="D821203" s="2"/>
      <c r="E821203" s="2"/>
      <c r="F821203" s="2"/>
      <c r="G821203" s="2"/>
      <c r="H821203" s="2"/>
    </row>
    <row r="821452" spans="3:8" ht="15.6" x14ac:dyDescent="0.25">
      <c r="C821452" s="2"/>
      <c r="D821452" s="2"/>
      <c r="E821452" s="2"/>
      <c r="F821452" s="2"/>
      <c r="G821452" s="2"/>
      <c r="H821452" s="2"/>
    </row>
    <row r="821701" spans="3:8" ht="15.6" x14ac:dyDescent="0.25">
      <c r="C821701" s="2"/>
      <c r="D821701" s="2"/>
      <c r="E821701" s="2"/>
      <c r="F821701" s="2"/>
      <c r="G821701" s="2"/>
      <c r="H821701" s="2"/>
    </row>
    <row r="821950" spans="3:8" ht="15.6" x14ac:dyDescent="0.25">
      <c r="C821950" s="2"/>
      <c r="D821950" s="2"/>
      <c r="E821950" s="2"/>
      <c r="F821950" s="2"/>
      <c r="G821950" s="2"/>
      <c r="H821950" s="2"/>
    </row>
    <row r="822199" spans="3:8" ht="15.6" x14ac:dyDescent="0.25">
      <c r="C822199" s="2"/>
      <c r="D822199" s="2"/>
      <c r="E822199" s="2"/>
      <c r="F822199" s="2"/>
      <c r="G822199" s="2"/>
      <c r="H822199" s="2"/>
    </row>
    <row r="822448" spans="3:8" ht="15.6" x14ac:dyDescent="0.25">
      <c r="C822448" s="2"/>
      <c r="D822448" s="2"/>
      <c r="E822448" s="2"/>
      <c r="F822448" s="2"/>
      <c r="G822448" s="2"/>
      <c r="H822448" s="2"/>
    </row>
    <row r="822697" spans="3:8" ht="15.6" x14ac:dyDescent="0.25">
      <c r="C822697" s="2"/>
      <c r="D822697" s="2"/>
      <c r="E822697" s="2"/>
      <c r="F822697" s="2"/>
      <c r="G822697" s="2"/>
      <c r="H822697" s="2"/>
    </row>
    <row r="822946" spans="3:8" ht="15.6" x14ac:dyDescent="0.25">
      <c r="C822946" s="2"/>
      <c r="D822946" s="2"/>
      <c r="E822946" s="2"/>
      <c r="F822946" s="2"/>
      <c r="G822946" s="2"/>
      <c r="H822946" s="2"/>
    </row>
    <row r="823195" spans="3:8" ht="15.6" x14ac:dyDescent="0.25">
      <c r="C823195" s="2"/>
      <c r="D823195" s="2"/>
      <c r="E823195" s="2"/>
      <c r="F823195" s="2"/>
      <c r="G823195" s="2"/>
      <c r="H823195" s="2"/>
    </row>
    <row r="823444" spans="3:8" ht="15.6" x14ac:dyDescent="0.25">
      <c r="C823444" s="2"/>
      <c r="D823444" s="2"/>
      <c r="E823444" s="2"/>
      <c r="F823444" s="2"/>
      <c r="G823444" s="2"/>
      <c r="H823444" s="2"/>
    </row>
    <row r="823693" spans="3:8" ht="15.6" x14ac:dyDescent="0.25">
      <c r="C823693" s="2"/>
      <c r="D823693" s="2"/>
      <c r="E823693" s="2"/>
      <c r="F823693" s="2"/>
      <c r="G823693" s="2"/>
      <c r="H823693" s="2"/>
    </row>
    <row r="823942" spans="3:8" ht="15.6" x14ac:dyDescent="0.25">
      <c r="C823942" s="2"/>
      <c r="D823942" s="2"/>
      <c r="E823942" s="2"/>
      <c r="F823942" s="2"/>
      <c r="G823942" s="2"/>
      <c r="H823942" s="2"/>
    </row>
    <row r="824191" spans="3:8" ht="15.6" x14ac:dyDescent="0.25">
      <c r="C824191" s="2"/>
      <c r="D824191" s="2"/>
      <c r="E824191" s="2"/>
      <c r="F824191" s="2"/>
      <c r="G824191" s="2"/>
      <c r="H824191" s="2"/>
    </row>
    <row r="824440" spans="3:8" ht="15.6" x14ac:dyDescent="0.25">
      <c r="C824440" s="2"/>
      <c r="D824440" s="2"/>
      <c r="E824440" s="2"/>
      <c r="F824440" s="2"/>
      <c r="G824440" s="2"/>
      <c r="H824440" s="2"/>
    </row>
    <row r="824689" spans="3:8" ht="15.6" x14ac:dyDescent="0.25">
      <c r="C824689" s="2"/>
      <c r="D824689" s="2"/>
      <c r="E824689" s="2"/>
      <c r="F824689" s="2"/>
      <c r="G824689" s="2"/>
      <c r="H824689" s="2"/>
    </row>
    <row r="824938" spans="3:8" ht="15.6" x14ac:dyDescent="0.25">
      <c r="C824938" s="2"/>
      <c r="D824938" s="2"/>
      <c r="E824938" s="2"/>
      <c r="F824938" s="2"/>
      <c r="G824938" s="2"/>
      <c r="H824938" s="2"/>
    </row>
    <row r="825187" spans="3:8" ht="15.6" x14ac:dyDescent="0.25">
      <c r="C825187" s="2"/>
      <c r="D825187" s="2"/>
      <c r="E825187" s="2"/>
      <c r="F825187" s="2"/>
      <c r="G825187" s="2"/>
      <c r="H825187" s="2"/>
    </row>
    <row r="825436" spans="3:8" ht="15.6" x14ac:dyDescent="0.25">
      <c r="C825436" s="2"/>
      <c r="D825436" s="2"/>
      <c r="E825436" s="2"/>
      <c r="F825436" s="2"/>
      <c r="G825436" s="2"/>
      <c r="H825436" s="2"/>
    </row>
    <row r="825685" spans="3:8" ht="15.6" x14ac:dyDescent="0.25">
      <c r="C825685" s="2"/>
      <c r="D825685" s="2"/>
      <c r="E825685" s="2"/>
      <c r="F825685" s="2"/>
      <c r="G825685" s="2"/>
      <c r="H825685" s="2"/>
    </row>
    <row r="825934" spans="3:8" ht="15.6" x14ac:dyDescent="0.25">
      <c r="C825934" s="2"/>
      <c r="D825934" s="2"/>
      <c r="E825934" s="2"/>
      <c r="F825934" s="2"/>
      <c r="G825934" s="2"/>
      <c r="H825934" s="2"/>
    </row>
    <row r="826183" spans="3:8" ht="15.6" x14ac:dyDescent="0.25">
      <c r="C826183" s="2"/>
      <c r="D826183" s="2"/>
      <c r="E826183" s="2"/>
      <c r="F826183" s="2"/>
      <c r="G826183" s="2"/>
      <c r="H826183" s="2"/>
    </row>
    <row r="826432" spans="3:8" ht="15.6" x14ac:dyDescent="0.25">
      <c r="C826432" s="2"/>
      <c r="D826432" s="2"/>
      <c r="E826432" s="2"/>
      <c r="F826432" s="2"/>
      <c r="G826432" s="2"/>
      <c r="H826432" s="2"/>
    </row>
    <row r="826681" spans="3:8" ht="15.6" x14ac:dyDescent="0.25">
      <c r="C826681" s="2"/>
      <c r="D826681" s="2"/>
      <c r="E826681" s="2"/>
      <c r="F826681" s="2"/>
      <c r="G826681" s="2"/>
      <c r="H826681" s="2"/>
    </row>
    <row r="826930" spans="3:8" ht="15.6" x14ac:dyDescent="0.25">
      <c r="C826930" s="2"/>
      <c r="D826930" s="2"/>
      <c r="E826930" s="2"/>
      <c r="F826930" s="2"/>
      <c r="G826930" s="2"/>
      <c r="H826930" s="2"/>
    </row>
    <row r="827179" spans="3:8" ht="15.6" x14ac:dyDescent="0.25">
      <c r="C827179" s="2"/>
      <c r="D827179" s="2"/>
      <c r="E827179" s="2"/>
      <c r="F827179" s="2"/>
      <c r="G827179" s="2"/>
      <c r="H827179" s="2"/>
    </row>
    <row r="827428" spans="3:8" ht="15.6" x14ac:dyDescent="0.25">
      <c r="C827428" s="2"/>
      <c r="D827428" s="2"/>
      <c r="E827428" s="2"/>
      <c r="F827428" s="2"/>
      <c r="G827428" s="2"/>
      <c r="H827428" s="2"/>
    </row>
    <row r="827677" spans="3:8" ht="15.6" x14ac:dyDescent="0.25">
      <c r="C827677" s="2"/>
      <c r="D827677" s="2"/>
      <c r="E827677" s="2"/>
      <c r="F827677" s="2"/>
      <c r="G827677" s="2"/>
      <c r="H827677" s="2"/>
    </row>
    <row r="827926" spans="3:8" ht="15.6" x14ac:dyDescent="0.25">
      <c r="C827926" s="2"/>
      <c r="D827926" s="2"/>
      <c r="E827926" s="2"/>
      <c r="F827926" s="2"/>
      <c r="G827926" s="2"/>
      <c r="H827926" s="2"/>
    </row>
    <row r="828175" spans="3:8" ht="15.6" x14ac:dyDescent="0.25">
      <c r="C828175" s="2"/>
      <c r="D828175" s="2"/>
      <c r="E828175" s="2"/>
      <c r="F828175" s="2"/>
      <c r="G828175" s="2"/>
      <c r="H828175" s="2"/>
    </row>
    <row r="828424" spans="3:8" ht="15.6" x14ac:dyDescent="0.25">
      <c r="C828424" s="2"/>
      <c r="D828424" s="2"/>
      <c r="E828424" s="2"/>
      <c r="F828424" s="2"/>
      <c r="G828424" s="2"/>
      <c r="H828424" s="2"/>
    </row>
    <row r="828673" spans="3:8" ht="15.6" x14ac:dyDescent="0.25">
      <c r="C828673" s="2"/>
      <c r="D828673" s="2"/>
      <c r="E828673" s="2"/>
      <c r="F828673" s="2"/>
      <c r="G828673" s="2"/>
      <c r="H828673" s="2"/>
    </row>
    <row r="828922" spans="3:8" ht="15.6" x14ac:dyDescent="0.25">
      <c r="C828922" s="2"/>
      <c r="D828922" s="2"/>
      <c r="E828922" s="2"/>
      <c r="F828922" s="2"/>
      <c r="G828922" s="2"/>
      <c r="H828922" s="2"/>
    </row>
    <row r="829171" spans="3:8" ht="15.6" x14ac:dyDescent="0.25">
      <c r="C829171" s="2"/>
      <c r="D829171" s="2"/>
      <c r="E829171" s="2"/>
      <c r="F829171" s="2"/>
      <c r="G829171" s="2"/>
      <c r="H829171" s="2"/>
    </row>
    <row r="829420" spans="3:8" ht="15.6" x14ac:dyDescent="0.25">
      <c r="C829420" s="2"/>
      <c r="D829420" s="2"/>
      <c r="E829420" s="2"/>
      <c r="F829420" s="2"/>
      <c r="G829420" s="2"/>
      <c r="H829420" s="2"/>
    </row>
    <row r="829669" spans="3:8" ht="15.6" x14ac:dyDescent="0.25">
      <c r="C829669" s="2"/>
      <c r="D829669" s="2"/>
      <c r="E829669" s="2"/>
      <c r="F829669" s="2"/>
      <c r="G829669" s="2"/>
      <c r="H829669" s="2"/>
    </row>
    <row r="829918" spans="3:8" ht="15.6" x14ac:dyDescent="0.25">
      <c r="C829918" s="2"/>
      <c r="D829918" s="2"/>
      <c r="E829918" s="2"/>
      <c r="F829918" s="2"/>
      <c r="G829918" s="2"/>
      <c r="H829918" s="2"/>
    </row>
    <row r="830167" spans="3:8" ht="15.6" x14ac:dyDescent="0.25">
      <c r="C830167" s="2"/>
      <c r="D830167" s="2"/>
      <c r="E830167" s="2"/>
      <c r="F830167" s="2"/>
      <c r="G830167" s="2"/>
      <c r="H830167" s="2"/>
    </row>
    <row r="830416" spans="3:8" ht="15.6" x14ac:dyDescent="0.25">
      <c r="C830416" s="2"/>
      <c r="D830416" s="2"/>
      <c r="E830416" s="2"/>
      <c r="F830416" s="2"/>
      <c r="G830416" s="2"/>
      <c r="H830416" s="2"/>
    </row>
    <row r="830665" spans="3:8" ht="15.6" x14ac:dyDescent="0.25">
      <c r="C830665" s="2"/>
      <c r="D830665" s="2"/>
      <c r="E830665" s="2"/>
      <c r="F830665" s="2"/>
      <c r="G830665" s="2"/>
      <c r="H830665" s="2"/>
    </row>
    <row r="830914" spans="3:8" ht="15.6" x14ac:dyDescent="0.25">
      <c r="C830914" s="2"/>
      <c r="D830914" s="2"/>
      <c r="E830914" s="2"/>
      <c r="F830914" s="2"/>
      <c r="G830914" s="2"/>
      <c r="H830914" s="2"/>
    </row>
    <row r="831163" spans="3:8" ht="15.6" x14ac:dyDescent="0.25">
      <c r="C831163" s="2"/>
      <c r="D831163" s="2"/>
      <c r="E831163" s="2"/>
      <c r="F831163" s="2"/>
      <c r="G831163" s="2"/>
      <c r="H831163" s="2"/>
    </row>
    <row r="831412" spans="3:8" ht="15.6" x14ac:dyDescent="0.25">
      <c r="C831412" s="2"/>
      <c r="D831412" s="2"/>
      <c r="E831412" s="2"/>
      <c r="F831412" s="2"/>
      <c r="G831412" s="2"/>
      <c r="H831412" s="2"/>
    </row>
    <row r="831661" spans="3:8" ht="15.6" x14ac:dyDescent="0.25">
      <c r="C831661" s="2"/>
      <c r="D831661" s="2"/>
      <c r="E831661" s="2"/>
      <c r="F831661" s="2"/>
      <c r="G831661" s="2"/>
      <c r="H831661" s="2"/>
    </row>
    <row r="831910" spans="3:8" ht="15.6" x14ac:dyDescent="0.25">
      <c r="C831910" s="2"/>
      <c r="D831910" s="2"/>
      <c r="E831910" s="2"/>
      <c r="F831910" s="2"/>
      <c r="G831910" s="2"/>
      <c r="H831910" s="2"/>
    </row>
    <row r="832159" spans="3:8" ht="15.6" x14ac:dyDescent="0.25">
      <c r="C832159" s="2"/>
      <c r="D832159" s="2"/>
      <c r="E832159" s="2"/>
      <c r="F832159" s="2"/>
      <c r="G832159" s="2"/>
      <c r="H832159" s="2"/>
    </row>
    <row r="832408" spans="3:8" ht="15.6" x14ac:dyDescent="0.25">
      <c r="C832408" s="2"/>
      <c r="D832408" s="2"/>
      <c r="E832408" s="2"/>
      <c r="F832408" s="2"/>
      <c r="G832408" s="2"/>
      <c r="H832408" s="2"/>
    </row>
    <row r="832657" spans="3:8" ht="15.6" x14ac:dyDescent="0.25">
      <c r="C832657" s="2"/>
      <c r="D832657" s="2"/>
      <c r="E832657" s="2"/>
      <c r="F832657" s="2"/>
      <c r="G832657" s="2"/>
      <c r="H832657" s="2"/>
    </row>
    <row r="832906" spans="3:8" ht="15.6" x14ac:dyDescent="0.25">
      <c r="C832906" s="2"/>
      <c r="D832906" s="2"/>
      <c r="E832906" s="2"/>
      <c r="F832906" s="2"/>
      <c r="G832906" s="2"/>
      <c r="H832906" s="2"/>
    </row>
    <row r="833155" spans="3:8" ht="15.6" x14ac:dyDescent="0.25">
      <c r="C833155" s="2"/>
      <c r="D833155" s="2"/>
      <c r="E833155" s="2"/>
      <c r="F833155" s="2"/>
      <c r="G833155" s="2"/>
      <c r="H833155" s="2"/>
    </row>
    <row r="833404" spans="3:8" ht="15.6" x14ac:dyDescent="0.25">
      <c r="C833404" s="2"/>
      <c r="D833404" s="2"/>
      <c r="E833404" s="2"/>
      <c r="F833404" s="2"/>
      <c r="G833404" s="2"/>
      <c r="H833404" s="2"/>
    </row>
    <row r="833653" spans="3:8" ht="15.6" x14ac:dyDescent="0.25">
      <c r="C833653" s="2"/>
      <c r="D833653" s="2"/>
      <c r="E833653" s="2"/>
      <c r="F833653" s="2"/>
      <c r="G833653" s="2"/>
      <c r="H833653" s="2"/>
    </row>
    <row r="833902" spans="3:8" ht="15.6" x14ac:dyDescent="0.25">
      <c r="C833902" s="2"/>
      <c r="D833902" s="2"/>
      <c r="E833902" s="2"/>
      <c r="F833902" s="2"/>
      <c r="G833902" s="2"/>
      <c r="H833902" s="2"/>
    </row>
    <row r="834151" spans="3:8" ht="15.6" x14ac:dyDescent="0.25">
      <c r="C834151" s="2"/>
      <c r="D834151" s="2"/>
      <c r="E834151" s="2"/>
      <c r="F834151" s="2"/>
      <c r="G834151" s="2"/>
      <c r="H834151" s="2"/>
    </row>
    <row r="834400" spans="3:8" ht="15.6" x14ac:dyDescent="0.25">
      <c r="C834400" s="2"/>
      <c r="D834400" s="2"/>
      <c r="E834400" s="2"/>
      <c r="F834400" s="2"/>
      <c r="G834400" s="2"/>
      <c r="H834400" s="2"/>
    </row>
    <row r="834649" spans="3:8" ht="15.6" x14ac:dyDescent="0.25">
      <c r="C834649" s="2"/>
      <c r="D834649" s="2"/>
      <c r="E834649" s="2"/>
      <c r="F834649" s="2"/>
      <c r="G834649" s="2"/>
      <c r="H834649" s="2"/>
    </row>
    <row r="834898" spans="3:8" ht="15.6" x14ac:dyDescent="0.25">
      <c r="C834898" s="2"/>
      <c r="D834898" s="2"/>
      <c r="E834898" s="2"/>
      <c r="F834898" s="2"/>
      <c r="G834898" s="2"/>
      <c r="H834898" s="2"/>
    </row>
    <row r="835147" spans="3:8" ht="15.6" x14ac:dyDescent="0.25">
      <c r="C835147" s="2"/>
      <c r="D835147" s="2"/>
      <c r="E835147" s="2"/>
      <c r="F835147" s="2"/>
      <c r="G835147" s="2"/>
      <c r="H835147" s="2"/>
    </row>
    <row r="835396" spans="3:8" ht="15.6" x14ac:dyDescent="0.25">
      <c r="C835396" s="2"/>
      <c r="D835396" s="2"/>
      <c r="E835396" s="2"/>
      <c r="F835396" s="2"/>
      <c r="G835396" s="2"/>
      <c r="H835396" s="2"/>
    </row>
    <row r="835645" spans="3:8" ht="15.6" x14ac:dyDescent="0.25">
      <c r="C835645" s="2"/>
      <c r="D835645" s="2"/>
      <c r="E835645" s="2"/>
      <c r="F835645" s="2"/>
      <c r="G835645" s="2"/>
      <c r="H835645" s="2"/>
    </row>
    <row r="835894" spans="3:8" ht="15.6" x14ac:dyDescent="0.25">
      <c r="C835894" s="2"/>
      <c r="D835894" s="2"/>
      <c r="E835894" s="2"/>
      <c r="F835894" s="2"/>
      <c r="G835894" s="2"/>
      <c r="H835894" s="2"/>
    </row>
    <row r="836143" spans="3:8" ht="15.6" x14ac:dyDescent="0.25">
      <c r="C836143" s="2"/>
      <c r="D836143" s="2"/>
      <c r="E836143" s="2"/>
      <c r="F836143" s="2"/>
      <c r="G836143" s="2"/>
      <c r="H836143" s="2"/>
    </row>
    <row r="836392" spans="3:8" ht="15.6" x14ac:dyDescent="0.25">
      <c r="C836392" s="2"/>
      <c r="D836392" s="2"/>
      <c r="E836392" s="2"/>
      <c r="F836392" s="2"/>
      <c r="G836392" s="2"/>
      <c r="H836392" s="2"/>
    </row>
    <row r="836641" spans="3:8" ht="15.6" x14ac:dyDescent="0.25">
      <c r="C836641" s="2"/>
      <c r="D836641" s="2"/>
      <c r="E836641" s="2"/>
      <c r="F836641" s="2"/>
      <c r="G836641" s="2"/>
      <c r="H836641" s="2"/>
    </row>
    <row r="836890" spans="3:8" ht="15.6" x14ac:dyDescent="0.25">
      <c r="C836890" s="2"/>
      <c r="D836890" s="2"/>
      <c r="E836890" s="2"/>
      <c r="F836890" s="2"/>
      <c r="G836890" s="2"/>
      <c r="H836890" s="2"/>
    </row>
    <row r="837139" spans="3:8" ht="15.6" x14ac:dyDescent="0.25">
      <c r="C837139" s="2"/>
      <c r="D837139" s="2"/>
      <c r="E837139" s="2"/>
      <c r="F837139" s="2"/>
      <c r="G837139" s="2"/>
      <c r="H837139" s="2"/>
    </row>
    <row r="837388" spans="3:8" ht="15.6" x14ac:dyDescent="0.25">
      <c r="C837388" s="2"/>
      <c r="D837388" s="2"/>
      <c r="E837388" s="2"/>
      <c r="F837388" s="2"/>
      <c r="G837388" s="2"/>
      <c r="H837388" s="2"/>
    </row>
    <row r="837637" spans="3:8" ht="15.6" x14ac:dyDescent="0.25">
      <c r="C837637" s="2"/>
      <c r="D837637" s="2"/>
      <c r="E837637" s="2"/>
      <c r="F837637" s="2"/>
      <c r="G837637" s="2"/>
      <c r="H837637" s="2"/>
    </row>
    <row r="837886" spans="3:8" ht="15.6" x14ac:dyDescent="0.25">
      <c r="C837886" s="2"/>
      <c r="D837886" s="2"/>
      <c r="E837886" s="2"/>
      <c r="F837886" s="2"/>
      <c r="G837886" s="2"/>
      <c r="H837886" s="2"/>
    </row>
    <row r="838135" spans="3:8" ht="15.6" x14ac:dyDescent="0.25">
      <c r="C838135" s="2"/>
      <c r="D838135" s="2"/>
      <c r="E838135" s="2"/>
      <c r="F838135" s="2"/>
      <c r="G838135" s="2"/>
      <c r="H838135" s="2"/>
    </row>
    <row r="838384" spans="3:8" ht="15.6" x14ac:dyDescent="0.25">
      <c r="C838384" s="2"/>
      <c r="D838384" s="2"/>
      <c r="E838384" s="2"/>
      <c r="F838384" s="2"/>
      <c r="G838384" s="2"/>
      <c r="H838384" s="2"/>
    </row>
    <row r="838633" spans="3:8" ht="15.6" x14ac:dyDescent="0.25">
      <c r="C838633" s="2"/>
      <c r="D838633" s="2"/>
      <c r="E838633" s="2"/>
      <c r="F838633" s="2"/>
      <c r="G838633" s="2"/>
      <c r="H838633" s="2"/>
    </row>
    <row r="838882" spans="3:8" ht="15.6" x14ac:dyDescent="0.25">
      <c r="C838882" s="2"/>
      <c r="D838882" s="2"/>
      <c r="E838882" s="2"/>
      <c r="F838882" s="2"/>
      <c r="G838882" s="2"/>
      <c r="H838882" s="2"/>
    </row>
    <row r="839131" spans="3:8" ht="15.6" x14ac:dyDescent="0.25">
      <c r="C839131" s="2"/>
      <c r="D839131" s="2"/>
      <c r="E839131" s="2"/>
      <c r="F839131" s="2"/>
      <c r="G839131" s="2"/>
      <c r="H839131" s="2"/>
    </row>
    <row r="839380" spans="3:8" ht="15.6" x14ac:dyDescent="0.25">
      <c r="C839380" s="2"/>
      <c r="D839380" s="2"/>
      <c r="E839380" s="2"/>
      <c r="F839380" s="2"/>
      <c r="G839380" s="2"/>
      <c r="H839380" s="2"/>
    </row>
    <row r="839629" spans="3:8" ht="15.6" x14ac:dyDescent="0.25">
      <c r="C839629" s="2"/>
      <c r="D839629" s="2"/>
      <c r="E839629" s="2"/>
      <c r="F839629" s="2"/>
      <c r="G839629" s="2"/>
      <c r="H839629" s="2"/>
    </row>
    <row r="839878" spans="3:8" ht="15.6" x14ac:dyDescent="0.25">
      <c r="C839878" s="2"/>
      <c r="D839878" s="2"/>
      <c r="E839878" s="2"/>
      <c r="F839878" s="2"/>
      <c r="G839878" s="2"/>
      <c r="H839878" s="2"/>
    </row>
    <row r="840127" spans="3:8" ht="15.6" x14ac:dyDescent="0.25">
      <c r="C840127" s="2"/>
      <c r="D840127" s="2"/>
      <c r="E840127" s="2"/>
      <c r="F840127" s="2"/>
      <c r="G840127" s="2"/>
      <c r="H840127" s="2"/>
    </row>
    <row r="840376" spans="3:8" ht="15.6" x14ac:dyDescent="0.25">
      <c r="C840376" s="2"/>
      <c r="D840376" s="2"/>
      <c r="E840376" s="2"/>
      <c r="F840376" s="2"/>
      <c r="G840376" s="2"/>
      <c r="H840376" s="2"/>
    </row>
    <row r="840625" spans="3:8" ht="15.6" x14ac:dyDescent="0.25">
      <c r="C840625" s="2"/>
      <c r="D840625" s="2"/>
      <c r="E840625" s="2"/>
      <c r="F840625" s="2"/>
      <c r="G840625" s="2"/>
      <c r="H840625" s="2"/>
    </row>
    <row r="840874" spans="3:8" ht="15.6" x14ac:dyDescent="0.25">
      <c r="C840874" s="2"/>
      <c r="D840874" s="2"/>
      <c r="E840874" s="2"/>
      <c r="F840874" s="2"/>
      <c r="G840874" s="2"/>
      <c r="H840874" s="2"/>
    </row>
    <row r="841123" spans="3:8" ht="15.6" x14ac:dyDescent="0.25">
      <c r="C841123" s="2"/>
      <c r="D841123" s="2"/>
      <c r="E841123" s="2"/>
      <c r="F841123" s="2"/>
      <c r="G841123" s="2"/>
      <c r="H841123" s="2"/>
    </row>
    <row r="841372" spans="3:8" ht="15.6" x14ac:dyDescent="0.25">
      <c r="C841372" s="2"/>
      <c r="D841372" s="2"/>
      <c r="E841372" s="2"/>
      <c r="F841372" s="2"/>
      <c r="G841372" s="2"/>
      <c r="H841372" s="2"/>
    </row>
    <row r="841621" spans="3:8" ht="15.6" x14ac:dyDescent="0.25">
      <c r="C841621" s="2"/>
      <c r="D841621" s="2"/>
      <c r="E841621" s="2"/>
      <c r="F841621" s="2"/>
      <c r="G841621" s="2"/>
      <c r="H841621" s="2"/>
    </row>
    <row r="841870" spans="3:8" ht="15.6" x14ac:dyDescent="0.25">
      <c r="C841870" s="2"/>
      <c r="D841870" s="2"/>
      <c r="E841870" s="2"/>
      <c r="F841870" s="2"/>
      <c r="G841870" s="2"/>
      <c r="H841870" s="2"/>
    </row>
    <row r="842119" spans="3:8" ht="15.6" x14ac:dyDescent="0.25">
      <c r="C842119" s="2"/>
      <c r="D842119" s="2"/>
      <c r="E842119" s="2"/>
      <c r="F842119" s="2"/>
      <c r="G842119" s="2"/>
      <c r="H842119" s="2"/>
    </row>
    <row r="842368" spans="3:8" ht="15.6" x14ac:dyDescent="0.25">
      <c r="C842368" s="2"/>
      <c r="D842368" s="2"/>
      <c r="E842368" s="2"/>
      <c r="F842368" s="2"/>
      <c r="G842368" s="2"/>
      <c r="H842368" s="2"/>
    </row>
    <row r="842617" spans="3:8" ht="15.6" x14ac:dyDescent="0.25">
      <c r="C842617" s="2"/>
      <c r="D842617" s="2"/>
      <c r="E842617" s="2"/>
      <c r="F842617" s="2"/>
      <c r="G842617" s="2"/>
      <c r="H842617" s="2"/>
    </row>
    <row r="842866" spans="3:8" ht="15.6" x14ac:dyDescent="0.25">
      <c r="C842866" s="2"/>
      <c r="D842866" s="2"/>
      <c r="E842866" s="2"/>
      <c r="F842866" s="2"/>
      <c r="G842866" s="2"/>
      <c r="H842866" s="2"/>
    </row>
    <row r="843115" spans="3:8" ht="15.6" x14ac:dyDescent="0.25">
      <c r="C843115" s="2"/>
      <c r="D843115" s="2"/>
      <c r="E843115" s="2"/>
      <c r="F843115" s="2"/>
      <c r="G843115" s="2"/>
      <c r="H843115" s="2"/>
    </row>
    <row r="843364" spans="3:8" ht="15.6" x14ac:dyDescent="0.25">
      <c r="C843364" s="2"/>
      <c r="D843364" s="2"/>
      <c r="E843364" s="2"/>
      <c r="F843364" s="2"/>
      <c r="G843364" s="2"/>
      <c r="H843364" s="2"/>
    </row>
    <row r="843613" spans="3:8" ht="15.6" x14ac:dyDescent="0.25">
      <c r="C843613" s="2"/>
      <c r="D843613" s="2"/>
      <c r="E843613" s="2"/>
      <c r="F843613" s="2"/>
      <c r="G843613" s="2"/>
      <c r="H843613" s="2"/>
    </row>
    <row r="843862" spans="3:8" ht="15.6" x14ac:dyDescent="0.25">
      <c r="C843862" s="2"/>
      <c r="D843862" s="2"/>
      <c r="E843862" s="2"/>
      <c r="F843862" s="2"/>
      <c r="G843862" s="2"/>
      <c r="H843862" s="2"/>
    </row>
    <row r="844111" spans="3:8" ht="15.6" x14ac:dyDescent="0.25">
      <c r="C844111" s="2"/>
      <c r="D844111" s="2"/>
      <c r="E844111" s="2"/>
      <c r="F844111" s="2"/>
      <c r="G844111" s="2"/>
      <c r="H844111" s="2"/>
    </row>
    <row r="844360" spans="3:8" ht="15.6" x14ac:dyDescent="0.25">
      <c r="C844360" s="2"/>
      <c r="D844360" s="2"/>
      <c r="E844360" s="2"/>
      <c r="F844360" s="2"/>
      <c r="G844360" s="2"/>
      <c r="H844360" s="2"/>
    </row>
    <row r="844609" spans="3:8" ht="15.6" x14ac:dyDescent="0.25">
      <c r="C844609" s="2"/>
      <c r="D844609" s="2"/>
      <c r="E844609" s="2"/>
      <c r="F844609" s="2"/>
      <c r="G844609" s="2"/>
      <c r="H844609" s="2"/>
    </row>
    <row r="844858" spans="3:8" ht="15.6" x14ac:dyDescent="0.25">
      <c r="C844858" s="2"/>
      <c r="D844858" s="2"/>
      <c r="E844858" s="2"/>
      <c r="F844858" s="2"/>
      <c r="G844858" s="2"/>
      <c r="H844858" s="2"/>
    </row>
    <row r="845107" spans="3:8" ht="15.6" x14ac:dyDescent="0.25">
      <c r="C845107" s="2"/>
      <c r="D845107" s="2"/>
      <c r="E845107" s="2"/>
      <c r="F845107" s="2"/>
      <c r="G845107" s="2"/>
      <c r="H845107" s="2"/>
    </row>
    <row r="845356" spans="3:8" ht="15.6" x14ac:dyDescent="0.25">
      <c r="C845356" s="2"/>
      <c r="D845356" s="2"/>
      <c r="E845356" s="2"/>
      <c r="F845356" s="2"/>
      <c r="G845356" s="2"/>
      <c r="H845356" s="2"/>
    </row>
    <row r="845605" spans="3:8" ht="15.6" x14ac:dyDescent="0.25">
      <c r="C845605" s="2"/>
      <c r="D845605" s="2"/>
      <c r="E845605" s="2"/>
      <c r="F845605" s="2"/>
      <c r="G845605" s="2"/>
      <c r="H845605" s="2"/>
    </row>
    <row r="845854" spans="3:8" ht="15.6" x14ac:dyDescent="0.25">
      <c r="C845854" s="2"/>
      <c r="D845854" s="2"/>
      <c r="E845854" s="2"/>
      <c r="F845854" s="2"/>
      <c r="G845854" s="2"/>
      <c r="H845854" s="2"/>
    </row>
    <row r="846103" spans="3:8" ht="15.6" x14ac:dyDescent="0.25">
      <c r="C846103" s="2"/>
      <c r="D846103" s="2"/>
      <c r="E846103" s="2"/>
      <c r="F846103" s="2"/>
      <c r="G846103" s="2"/>
      <c r="H846103" s="2"/>
    </row>
    <row r="846352" spans="3:8" ht="15.6" x14ac:dyDescent="0.25">
      <c r="C846352" s="2"/>
      <c r="D846352" s="2"/>
      <c r="E846352" s="2"/>
      <c r="F846352" s="2"/>
      <c r="G846352" s="2"/>
      <c r="H846352" s="2"/>
    </row>
    <row r="846601" spans="3:8" ht="15.6" x14ac:dyDescent="0.25">
      <c r="C846601" s="2"/>
      <c r="D846601" s="2"/>
      <c r="E846601" s="2"/>
      <c r="F846601" s="2"/>
      <c r="G846601" s="2"/>
      <c r="H846601" s="2"/>
    </row>
    <row r="846850" spans="3:8" ht="15.6" x14ac:dyDescent="0.25">
      <c r="C846850" s="2"/>
      <c r="D846850" s="2"/>
      <c r="E846850" s="2"/>
      <c r="F846850" s="2"/>
      <c r="G846850" s="2"/>
      <c r="H846850" s="2"/>
    </row>
    <row r="847099" spans="3:8" ht="15.6" x14ac:dyDescent="0.25">
      <c r="C847099" s="2"/>
      <c r="D847099" s="2"/>
      <c r="E847099" s="2"/>
      <c r="F847099" s="2"/>
      <c r="G847099" s="2"/>
      <c r="H847099" s="2"/>
    </row>
    <row r="847348" spans="3:8" ht="15.6" x14ac:dyDescent="0.25">
      <c r="C847348" s="2"/>
      <c r="D847348" s="2"/>
      <c r="E847348" s="2"/>
      <c r="F847348" s="2"/>
      <c r="G847348" s="2"/>
      <c r="H847348" s="2"/>
    </row>
    <row r="847597" spans="3:8" ht="15.6" x14ac:dyDescent="0.25">
      <c r="C847597" s="2"/>
      <c r="D847597" s="2"/>
      <c r="E847597" s="2"/>
      <c r="F847597" s="2"/>
      <c r="G847597" s="2"/>
      <c r="H847597" s="2"/>
    </row>
    <row r="847846" spans="3:8" ht="15.6" x14ac:dyDescent="0.25">
      <c r="C847846" s="2"/>
      <c r="D847846" s="2"/>
      <c r="E847846" s="2"/>
      <c r="F847846" s="2"/>
      <c r="G847846" s="2"/>
      <c r="H847846" s="2"/>
    </row>
    <row r="848095" spans="3:8" ht="15.6" x14ac:dyDescent="0.25">
      <c r="C848095" s="2"/>
      <c r="D848095" s="2"/>
      <c r="E848095" s="2"/>
      <c r="F848095" s="2"/>
      <c r="G848095" s="2"/>
      <c r="H848095" s="2"/>
    </row>
    <row r="848344" spans="3:8" ht="15.6" x14ac:dyDescent="0.25">
      <c r="C848344" s="2"/>
      <c r="D848344" s="2"/>
      <c r="E848344" s="2"/>
      <c r="F848344" s="2"/>
      <c r="G848344" s="2"/>
      <c r="H848344" s="2"/>
    </row>
    <row r="848593" spans="3:8" ht="15.6" x14ac:dyDescent="0.25">
      <c r="C848593" s="2"/>
      <c r="D848593" s="2"/>
      <c r="E848593" s="2"/>
      <c r="F848593" s="2"/>
      <c r="G848593" s="2"/>
      <c r="H848593" s="2"/>
    </row>
    <row r="848842" spans="3:8" ht="15.6" x14ac:dyDescent="0.25">
      <c r="C848842" s="2"/>
      <c r="D848842" s="2"/>
      <c r="E848842" s="2"/>
      <c r="F848842" s="2"/>
      <c r="G848842" s="2"/>
      <c r="H848842" s="2"/>
    </row>
    <row r="849091" spans="3:8" ht="15.6" x14ac:dyDescent="0.25">
      <c r="C849091" s="2"/>
      <c r="D849091" s="2"/>
      <c r="E849091" s="2"/>
      <c r="F849091" s="2"/>
      <c r="G849091" s="2"/>
      <c r="H849091" s="2"/>
    </row>
    <row r="849340" spans="3:8" ht="15.6" x14ac:dyDescent="0.25">
      <c r="C849340" s="2"/>
      <c r="D849340" s="2"/>
      <c r="E849340" s="2"/>
      <c r="F849340" s="2"/>
      <c r="G849340" s="2"/>
      <c r="H849340" s="2"/>
    </row>
    <row r="849589" spans="3:8" ht="15.6" x14ac:dyDescent="0.25">
      <c r="C849589" s="2"/>
      <c r="D849589" s="2"/>
      <c r="E849589" s="2"/>
      <c r="F849589" s="2"/>
      <c r="G849589" s="2"/>
      <c r="H849589" s="2"/>
    </row>
    <row r="849838" spans="3:8" ht="15.6" x14ac:dyDescent="0.25">
      <c r="C849838" s="2"/>
      <c r="D849838" s="2"/>
      <c r="E849838" s="2"/>
      <c r="F849838" s="2"/>
      <c r="G849838" s="2"/>
      <c r="H849838" s="2"/>
    </row>
    <row r="850087" spans="3:8" ht="15.6" x14ac:dyDescent="0.25">
      <c r="C850087" s="2"/>
      <c r="D850087" s="2"/>
      <c r="E850087" s="2"/>
      <c r="F850087" s="2"/>
      <c r="G850087" s="2"/>
      <c r="H850087" s="2"/>
    </row>
    <row r="850336" spans="3:8" ht="15.6" x14ac:dyDescent="0.25">
      <c r="C850336" s="2"/>
      <c r="D850336" s="2"/>
      <c r="E850336" s="2"/>
      <c r="F850336" s="2"/>
      <c r="G850336" s="2"/>
      <c r="H850336" s="2"/>
    </row>
    <row r="850585" spans="3:8" ht="15.6" x14ac:dyDescent="0.25">
      <c r="C850585" s="2"/>
      <c r="D850585" s="2"/>
      <c r="E850585" s="2"/>
      <c r="F850585" s="2"/>
      <c r="G850585" s="2"/>
      <c r="H850585" s="2"/>
    </row>
    <row r="850834" spans="3:8" ht="15.6" x14ac:dyDescent="0.25">
      <c r="C850834" s="2"/>
      <c r="D850834" s="2"/>
      <c r="E850834" s="2"/>
      <c r="F850834" s="2"/>
      <c r="G850834" s="2"/>
      <c r="H850834" s="2"/>
    </row>
    <row r="851083" spans="3:8" ht="15.6" x14ac:dyDescent="0.25">
      <c r="C851083" s="2"/>
      <c r="D851083" s="2"/>
      <c r="E851083" s="2"/>
      <c r="F851083" s="2"/>
      <c r="G851083" s="2"/>
      <c r="H851083" s="2"/>
    </row>
    <row r="851332" spans="3:8" ht="15.6" x14ac:dyDescent="0.25">
      <c r="C851332" s="2"/>
      <c r="D851332" s="2"/>
      <c r="E851332" s="2"/>
      <c r="F851332" s="2"/>
      <c r="G851332" s="2"/>
      <c r="H851332" s="2"/>
    </row>
    <row r="851581" spans="3:8" ht="15.6" x14ac:dyDescent="0.25">
      <c r="C851581" s="2"/>
      <c r="D851581" s="2"/>
      <c r="E851581" s="2"/>
      <c r="F851581" s="2"/>
      <c r="G851581" s="2"/>
      <c r="H851581" s="2"/>
    </row>
    <row r="851830" spans="3:8" ht="15.6" x14ac:dyDescent="0.25">
      <c r="C851830" s="2"/>
      <c r="D851830" s="2"/>
      <c r="E851830" s="2"/>
      <c r="F851830" s="2"/>
      <c r="G851830" s="2"/>
      <c r="H851830" s="2"/>
    </row>
    <row r="852079" spans="3:8" ht="15.6" x14ac:dyDescent="0.25">
      <c r="C852079" s="2"/>
      <c r="D852079" s="2"/>
      <c r="E852079" s="2"/>
      <c r="F852079" s="2"/>
      <c r="G852079" s="2"/>
      <c r="H852079" s="2"/>
    </row>
    <row r="852328" spans="3:8" ht="15.6" x14ac:dyDescent="0.25">
      <c r="C852328" s="2"/>
      <c r="D852328" s="2"/>
      <c r="E852328" s="2"/>
      <c r="F852328" s="2"/>
      <c r="G852328" s="2"/>
      <c r="H852328" s="2"/>
    </row>
    <row r="852577" spans="3:8" ht="15.6" x14ac:dyDescent="0.25">
      <c r="C852577" s="2"/>
      <c r="D852577" s="2"/>
      <c r="E852577" s="2"/>
      <c r="F852577" s="2"/>
      <c r="G852577" s="2"/>
      <c r="H852577" s="2"/>
    </row>
    <row r="852826" spans="3:8" ht="15.6" x14ac:dyDescent="0.25">
      <c r="C852826" s="2"/>
      <c r="D852826" s="2"/>
      <c r="E852826" s="2"/>
      <c r="F852826" s="2"/>
      <c r="G852826" s="2"/>
      <c r="H852826" s="2"/>
    </row>
    <row r="853075" spans="3:8" ht="15.6" x14ac:dyDescent="0.25">
      <c r="C853075" s="2"/>
      <c r="D853075" s="2"/>
      <c r="E853075" s="2"/>
      <c r="F853075" s="2"/>
      <c r="G853075" s="2"/>
      <c r="H853075" s="2"/>
    </row>
    <row r="853324" spans="3:8" ht="15.6" x14ac:dyDescent="0.25">
      <c r="C853324" s="2"/>
      <c r="D853324" s="2"/>
      <c r="E853324" s="2"/>
      <c r="F853324" s="2"/>
      <c r="G853324" s="2"/>
      <c r="H853324" s="2"/>
    </row>
    <row r="853573" spans="3:8" ht="15.6" x14ac:dyDescent="0.25">
      <c r="C853573" s="2"/>
      <c r="D853573" s="2"/>
      <c r="E853573" s="2"/>
      <c r="F853573" s="2"/>
      <c r="G853573" s="2"/>
      <c r="H853573" s="2"/>
    </row>
    <row r="853822" spans="3:8" ht="15.6" x14ac:dyDescent="0.25">
      <c r="C853822" s="2"/>
      <c r="D853822" s="2"/>
      <c r="E853822" s="2"/>
      <c r="F853822" s="2"/>
      <c r="G853822" s="2"/>
      <c r="H853822" s="2"/>
    </row>
    <row r="854071" spans="3:8" ht="15.6" x14ac:dyDescent="0.25">
      <c r="C854071" s="2"/>
      <c r="D854071" s="2"/>
      <c r="E854071" s="2"/>
      <c r="F854071" s="2"/>
      <c r="G854071" s="2"/>
      <c r="H854071" s="2"/>
    </row>
    <row r="854320" spans="3:8" ht="15.6" x14ac:dyDescent="0.25">
      <c r="C854320" s="2"/>
      <c r="D854320" s="2"/>
      <c r="E854320" s="2"/>
      <c r="F854320" s="2"/>
      <c r="G854320" s="2"/>
      <c r="H854320" s="2"/>
    </row>
    <row r="854569" spans="3:8" ht="15.6" x14ac:dyDescent="0.25">
      <c r="C854569" s="2"/>
      <c r="D854569" s="2"/>
      <c r="E854569" s="2"/>
      <c r="F854569" s="2"/>
      <c r="G854569" s="2"/>
      <c r="H854569" s="2"/>
    </row>
    <row r="854818" spans="3:8" ht="15.6" x14ac:dyDescent="0.25">
      <c r="C854818" s="2"/>
      <c r="D854818" s="2"/>
      <c r="E854818" s="2"/>
      <c r="F854818" s="2"/>
      <c r="G854818" s="2"/>
      <c r="H854818" s="2"/>
    </row>
    <row r="855067" spans="3:8" ht="15.6" x14ac:dyDescent="0.25">
      <c r="C855067" s="2"/>
      <c r="D855067" s="2"/>
      <c r="E855067" s="2"/>
      <c r="F855067" s="2"/>
      <c r="G855067" s="2"/>
      <c r="H855067" s="2"/>
    </row>
    <row r="855316" spans="3:8" ht="15.6" x14ac:dyDescent="0.25">
      <c r="C855316" s="2"/>
      <c r="D855316" s="2"/>
      <c r="E855316" s="2"/>
      <c r="F855316" s="2"/>
      <c r="G855316" s="2"/>
      <c r="H855316" s="2"/>
    </row>
    <row r="855565" spans="3:8" ht="15.6" x14ac:dyDescent="0.25">
      <c r="C855565" s="2"/>
      <c r="D855565" s="2"/>
      <c r="E855565" s="2"/>
      <c r="F855565" s="2"/>
      <c r="G855565" s="2"/>
      <c r="H855565" s="2"/>
    </row>
    <row r="855814" spans="3:8" ht="15.6" x14ac:dyDescent="0.25">
      <c r="C855814" s="2"/>
      <c r="D855814" s="2"/>
      <c r="E855814" s="2"/>
      <c r="F855814" s="2"/>
      <c r="G855814" s="2"/>
      <c r="H855814" s="2"/>
    </row>
    <row r="856063" spans="3:8" ht="15.6" x14ac:dyDescent="0.25">
      <c r="C856063" s="2"/>
      <c r="D856063" s="2"/>
      <c r="E856063" s="2"/>
      <c r="F856063" s="2"/>
      <c r="G856063" s="2"/>
      <c r="H856063" s="2"/>
    </row>
    <row r="856312" spans="3:8" ht="15.6" x14ac:dyDescent="0.25">
      <c r="C856312" s="2"/>
      <c r="D856312" s="2"/>
      <c r="E856312" s="2"/>
      <c r="F856312" s="2"/>
      <c r="G856312" s="2"/>
      <c r="H856312" s="2"/>
    </row>
    <row r="856561" spans="3:8" ht="15.6" x14ac:dyDescent="0.25">
      <c r="C856561" s="2"/>
      <c r="D856561" s="2"/>
      <c r="E856561" s="2"/>
      <c r="F856561" s="2"/>
      <c r="G856561" s="2"/>
      <c r="H856561" s="2"/>
    </row>
    <row r="856810" spans="3:8" ht="15.6" x14ac:dyDescent="0.25">
      <c r="C856810" s="2"/>
      <c r="D856810" s="2"/>
      <c r="E856810" s="2"/>
      <c r="F856810" s="2"/>
      <c r="G856810" s="2"/>
      <c r="H856810" s="2"/>
    </row>
    <row r="857059" spans="3:8" ht="15.6" x14ac:dyDescent="0.25">
      <c r="C857059" s="2"/>
      <c r="D857059" s="2"/>
      <c r="E857059" s="2"/>
      <c r="F857059" s="2"/>
      <c r="G857059" s="2"/>
      <c r="H857059" s="2"/>
    </row>
    <row r="857308" spans="3:8" ht="15.6" x14ac:dyDescent="0.25">
      <c r="C857308" s="2"/>
      <c r="D857308" s="2"/>
      <c r="E857308" s="2"/>
      <c r="F857308" s="2"/>
      <c r="G857308" s="2"/>
      <c r="H857308" s="2"/>
    </row>
    <row r="857557" spans="3:8" ht="15.6" x14ac:dyDescent="0.25">
      <c r="C857557" s="2"/>
      <c r="D857557" s="2"/>
      <c r="E857557" s="2"/>
      <c r="F857557" s="2"/>
      <c r="G857557" s="2"/>
      <c r="H857557" s="2"/>
    </row>
    <row r="857806" spans="3:8" ht="15.6" x14ac:dyDescent="0.25">
      <c r="C857806" s="2"/>
      <c r="D857806" s="2"/>
      <c r="E857806" s="2"/>
      <c r="F857806" s="2"/>
      <c r="G857806" s="2"/>
      <c r="H857806" s="2"/>
    </row>
    <row r="858055" spans="3:8" ht="15.6" x14ac:dyDescent="0.25">
      <c r="C858055" s="2"/>
      <c r="D858055" s="2"/>
      <c r="E858055" s="2"/>
      <c r="F858055" s="2"/>
      <c r="G858055" s="2"/>
      <c r="H858055" s="2"/>
    </row>
    <row r="858304" spans="3:8" ht="15.6" x14ac:dyDescent="0.25">
      <c r="C858304" s="2"/>
      <c r="D858304" s="2"/>
      <c r="E858304" s="2"/>
      <c r="F858304" s="2"/>
      <c r="G858304" s="2"/>
      <c r="H858304" s="2"/>
    </row>
    <row r="858553" spans="3:8" ht="15.6" x14ac:dyDescent="0.25">
      <c r="C858553" s="2"/>
      <c r="D858553" s="2"/>
      <c r="E858553" s="2"/>
      <c r="F858553" s="2"/>
      <c r="G858553" s="2"/>
      <c r="H858553" s="2"/>
    </row>
    <row r="858802" spans="3:8" ht="15.6" x14ac:dyDescent="0.25">
      <c r="C858802" s="2"/>
      <c r="D858802" s="2"/>
      <c r="E858802" s="2"/>
      <c r="F858802" s="2"/>
      <c r="G858802" s="2"/>
      <c r="H858802" s="2"/>
    </row>
    <row r="859051" spans="3:8" ht="15.6" x14ac:dyDescent="0.25">
      <c r="C859051" s="2"/>
      <c r="D859051" s="2"/>
      <c r="E859051" s="2"/>
      <c r="F859051" s="2"/>
      <c r="G859051" s="2"/>
      <c r="H859051" s="2"/>
    </row>
    <row r="859300" spans="3:8" ht="15.6" x14ac:dyDescent="0.25">
      <c r="C859300" s="2"/>
      <c r="D859300" s="2"/>
      <c r="E859300" s="2"/>
      <c r="F859300" s="2"/>
      <c r="G859300" s="2"/>
      <c r="H859300" s="2"/>
    </row>
    <row r="859549" spans="3:8" ht="15.6" x14ac:dyDescent="0.25">
      <c r="C859549" s="2"/>
      <c r="D859549" s="2"/>
      <c r="E859549" s="2"/>
      <c r="F859549" s="2"/>
      <c r="G859549" s="2"/>
      <c r="H859549" s="2"/>
    </row>
    <row r="859798" spans="3:8" ht="15.6" x14ac:dyDescent="0.25">
      <c r="C859798" s="2"/>
      <c r="D859798" s="2"/>
      <c r="E859798" s="2"/>
      <c r="F859798" s="2"/>
      <c r="G859798" s="2"/>
      <c r="H859798" s="2"/>
    </row>
    <row r="860047" spans="3:8" ht="15.6" x14ac:dyDescent="0.25">
      <c r="C860047" s="2"/>
      <c r="D860047" s="2"/>
      <c r="E860047" s="2"/>
      <c r="F860047" s="2"/>
      <c r="G860047" s="2"/>
      <c r="H860047" s="2"/>
    </row>
    <row r="860296" spans="3:8" ht="15.6" x14ac:dyDescent="0.25">
      <c r="C860296" s="2"/>
      <c r="D860296" s="2"/>
      <c r="E860296" s="2"/>
      <c r="F860296" s="2"/>
      <c r="G860296" s="2"/>
      <c r="H860296" s="2"/>
    </row>
    <row r="860545" spans="3:8" ht="15.6" x14ac:dyDescent="0.25">
      <c r="C860545" s="2"/>
      <c r="D860545" s="2"/>
      <c r="E860545" s="2"/>
      <c r="F860545" s="2"/>
      <c r="G860545" s="2"/>
      <c r="H860545" s="2"/>
    </row>
    <row r="860794" spans="3:8" ht="15.6" x14ac:dyDescent="0.25">
      <c r="C860794" s="2"/>
      <c r="D860794" s="2"/>
      <c r="E860794" s="2"/>
      <c r="F860794" s="2"/>
      <c r="G860794" s="2"/>
      <c r="H860794" s="2"/>
    </row>
    <row r="861043" spans="3:8" ht="15.6" x14ac:dyDescent="0.25">
      <c r="C861043" s="2"/>
      <c r="D861043" s="2"/>
      <c r="E861043" s="2"/>
      <c r="F861043" s="2"/>
      <c r="G861043" s="2"/>
      <c r="H861043" s="2"/>
    </row>
    <row r="861292" spans="3:8" ht="15.6" x14ac:dyDescent="0.25">
      <c r="C861292" s="2"/>
      <c r="D861292" s="2"/>
      <c r="E861292" s="2"/>
      <c r="F861292" s="2"/>
      <c r="G861292" s="2"/>
      <c r="H861292" s="2"/>
    </row>
    <row r="861541" spans="3:8" ht="15.6" x14ac:dyDescent="0.25">
      <c r="C861541" s="2"/>
      <c r="D861541" s="2"/>
      <c r="E861541" s="2"/>
      <c r="F861541" s="2"/>
      <c r="G861541" s="2"/>
      <c r="H861541" s="2"/>
    </row>
    <row r="861790" spans="3:8" ht="15.6" x14ac:dyDescent="0.25">
      <c r="C861790" s="2"/>
      <c r="D861790" s="2"/>
      <c r="E861790" s="2"/>
      <c r="F861790" s="2"/>
      <c r="G861790" s="2"/>
      <c r="H861790" s="2"/>
    </row>
    <row r="862039" spans="3:8" ht="15.6" x14ac:dyDescent="0.25">
      <c r="C862039" s="2"/>
      <c r="D862039" s="2"/>
      <c r="E862039" s="2"/>
      <c r="F862039" s="2"/>
      <c r="G862039" s="2"/>
      <c r="H862039" s="2"/>
    </row>
    <row r="862288" spans="3:8" ht="15.6" x14ac:dyDescent="0.25">
      <c r="C862288" s="2"/>
      <c r="D862288" s="2"/>
      <c r="E862288" s="2"/>
      <c r="F862288" s="2"/>
      <c r="G862288" s="2"/>
      <c r="H862288" s="2"/>
    </row>
    <row r="862537" spans="3:8" ht="15.6" x14ac:dyDescent="0.25">
      <c r="C862537" s="2"/>
      <c r="D862537" s="2"/>
      <c r="E862537" s="2"/>
      <c r="F862537" s="2"/>
      <c r="G862537" s="2"/>
      <c r="H862537" s="2"/>
    </row>
    <row r="862786" spans="3:8" ht="15.6" x14ac:dyDescent="0.25">
      <c r="C862786" s="2"/>
      <c r="D862786" s="2"/>
      <c r="E862786" s="2"/>
      <c r="F862786" s="2"/>
      <c r="G862786" s="2"/>
      <c r="H862786" s="2"/>
    </row>
    <row r="863035" spans="3:8" ht="15.6" x14ac:dyDescent="0.25">
      <c r="C863035" s="2"/>
      <c r="D863035" s="2"/>
      <c r="E863035" s="2"/>
      <c r="F863035" s="2"/>
      <c r="G863035" s="2"/>
      <c r="H863035" s="2"/>
    </row>
    <row r="863284" spans="3:8" ht="15.6" x14ac:dyDescent="0.25">
      <c r="C863284" s="2"/>
      <c r="D863284" s="2"/>
      <c r="E863284" s="2"/>
      <c r="F863284" s="2"/>
      <c r="G863284" s="2"/>
      <c r="H863284" s="2"/>
    </row>
    <row r="863533" spans="3:8" ht="15.6" x14ac:dyDescent="0.25">
      <c r="C863533" s="2"/>
      <c r="D863533" s="2"/>
      <c r="E863533" s="2"/>
      <c r="F863533" s="2"/>
      <c r="G863533" s="2"/>
      <c r="H863533" s="2"/>
    </row>
    <row r="863782" spans="3:8" ht="15.6" x14ac:dyDescent="0.25">
      <c r="C863782" s="2"/>
      <c r="D863782" s="2"/>
      <c r="E863782" s="2"/>
      <c r="F863782" s="2"/>
      <c r="G863782" s="2"/>
      <c r="H863782" s="2"/>
    </row>
    <row r="864031" spans="3:8" ht="15.6" x14ac:dyDescent="0.25">
      <c r="C864031" s="2"/>
      <c r="D864031" s="2"/>
      <c r="E864031" s="2"/>
      <c r="F864031" s="2"/>
      <c r="G864031" s="2"/>
      <c r="H864031" s="2"/>
    </row>
    <row r="864280" spans="3:8" ht="15.6" x14ac:dyDescent="0.25">
      <c r="C864280" s="2"/>
      <c r="D864280" s="2"/>
      <c r="E864280" s="2"/>
      <c r="F864280" s="2"/>
      <c r="G864280" s="2"/>
      <c r="H864280" s="2"/>
    </row>
    <row r="864529" spans="3:8" ht="15.6" x14ac:dyDescent="0.25">
      <c r="C864529" s="2"/>
      <c r="D864529" s="2"/>
      <c r="E864529" s="2"/>
      <c r="F864529" s="2"/>
      <c r="G864529" s="2"/>
      <c r="H864529" s="2"/>
    </row>
    <row r="864778" spans="3:8" ht="15.6" x14ac:dyDescent="0.25">
      <c r="C864778" s="2"/>
      <c r="D864778" s="2"/>
      <c r="E864778" s="2"/>
      <c r="F864778" s="2"/>
      <c r="G864778" s="2"/>
      <c r="H864778" s="2"/>
    </row>
    <row r="865027" spans="3:8" ht="15.6" x14ac:dyDescent="0.25">
      <c r="C865027" s="2"/>
      <c r="D865027" s="2"/>
      <c r="E865027" s="2"/>
      <c r="F865027" s="2"/>
      <c r="G865027" s="2"/>
      <c r="H865027" s="2"/>
    </row>
    <row r="865276" spans="3:8" ht="15.6" x14ac:dyDescent="0.25">
      <c r="C865276" s="2"/>
      <c r="D865276" s="2"/>
      <c r="E865276" s="2"/>
      <c r="F865276" s="2"/>
      <c r="G865276" s="2"/>
      <c r="H865276" s="2"/>
    </row>
    <row r="865525" spans="3:8" ht="15.6" x14ac:dyDescent="0.25">
      <c r="C865525" s="2"/>
      <c r="D865525" s="2"/>
      <c r="E865525" s="2"/>
      <c r="F865525" s="2"/>
      <c r="G865525" s="2"/>
      <c r="H865525" s="2"/>
    </row>
    <row r="865774" spans="3:8" ht="15.6" x14ac:dyDescent="0.25">
      <c r="C865774" s="2"/>
      <c r="D865774" s="2"/>
      <c r="E865774" s="2"/>
      <c r="F865774" s="2"/>
      <c r="G865774" s="2"/>
      <c r="H865774" s="2"/>
    </row>
    <row r="866023" spans="3:8" ht="15.6" x14ac:dyDescent="0.25">
      <c r="C866023" s="2"/>
      <c r="D866023" s="2"/>
      <c r="E866023" s="2"/>
      <c r="F866023" s="2"/>
      <c r="G866023" s="2"/>
      <c r="H866023" s="2"/>
    </row>
    <row r="866272" spans="3:8" ht="15.6" x14ac:dyDescent="0.25">
      <c r="C866272" s="2"/>
      <c r="D866272" s="2"/>
      <c r="E866272" s="2"/>
      <c r="F866272" s="2"/>
      <c r="G866272" s="2"/>
      <c r="H866272" s="2"/>
    </row>
    <row r="866521" spans="3:8" ht="15.6" x14ac:dyDescent="0.25">
      <c r="C866521" s="2"/>
      <c r="D866521" s="2"/>
      <c r="E866521" s="2"/>
      <c r="F866521" s="2"/>
      <c r="G866521" s="2"/>
      <c r="H866521" s="2"/>
    </row>
    <row r="866770" spans="3:8" ht="15.6" x14ac:dyDescent="0.25">
      <c r="C866770" s="2"/>
      <c r="D866770" s="2"/>
      <c r="E866770" s="2"/>
      <c r="F866770" s="2"/>
      <c r="G866770" s="2"/>
      <c r="H866770" s="2"/>
    </row>
    <row r="867019" spans="3:8" ht="15.6" x14ac:dyDescent="0.25">
      <c r="C867019" s="2"/>
      <c r="D867019" s="2"/>
      <c r="E867019" s="2"/>
      <c r="F867019" s="2"/>
      <c r="G867019" s="2"/>
      <c r="H867019" s="2"/>
    </row>
    <row r="867268" spans="3:8" ht="15.6" x14ac:dyDescent="0.25">
      <c r="C867268" s="2"/>
      <c r="D867268" s="2"/>
      <c r="E867268" s="2"/>
      <c r="F867268" s="2"/>
      <c r="G867268" s="2"/>
      <c r="H867268" s="2"/>
    </row>
    <row r="867517" spans="3:8" ht="15.6" x14ac:dyDescent="0.25">
      <c r="C867517" s="2"/>
      <c r="D867517" s="2"/>
      <c r="E867517" s="2"/>
      <c r="F867517" s="2"/>
      <c r="G867517" s="2"/>
      <c r="H867517" s="2"/>
    </row>
    <row r="867766" spans="3:8" ht="15.6" x14ac:dyDescent="0.25">
      <c r="C867766" s="2"/>
      <c r="D867766" s="2"/>
      <c r="E867766" s="2"/>
      <c r="F867766" s="2"/>
      <c r="G867766" s="2"/>
      <c r="H867766" s="2"/>
    </row>
    <row r="868015" spans="3:8" ht="15.6" x14ac:dyDescent="0.25">
      <c r="C868015" s="2"/>
      <c r="D868015" s="2"/>
      <c r="E868015" s="2"/>
      <c r="F868015" s="2"/>
      <c r="G868015" s="2"/>
      <c r="H868015" s="2"/>
    </row>
    <row r="868264" spans="3:8" ht="15.6" x14ac:dyDescent="0.25">
      <c r="C868264" s="2"/>
      <c r="D868264" s="2"/>
      <c r="E868264" s="2"/>
      <c r="F868264" s="2"/>
      <c r="G868264" s="2"/>
      <c r="H868264" s="2"/>
    </row>
    <row r="868513" spans="3:8" ht="15.6" x14ac:dyDescent="0.25">
      <c r="C868513" s="2"/>
      <c r="D868513" s="2"/>
      <c r="E868513" s="2"/>
      <c r="F868513" s="2"/>
      <c r="G868513" s="2"/>
      <c r="H868513" s="2"/>
    </row>
    <row r="868762" spans="3:8" ht="15.6" x14ac:dyDescent="0.25">
      <c r="C868762" s="2"/>
      <c r="D868762" s="2"/>
      <c r="E868762" s="2"/>
      <c r="F868762" s="2"/>
      <c r="G868762" s="2"/>
      <c r="H868762" s="2"/>
    </row>
    <row r="869011" spans="3:8" ht="15.6" x14ac:dyDescent="0.25">
      <c r="C869011" s="2"/>
      <c r="D869011" s="2"/>
      <c r="E869011" s="2"/>
      <c r="F869011" s="2"/>
      <c r="G869011" s="2"/>
      <c r="H869011" s="2"/>
    </row>
    <row r="869260" spans="3:8" ht="15.6" x14ac:dyDescent="0.25">
      <c r="C869260" s="2"/>
      <c r="D869260" s="2"/>
      <c r="E869260" s="2"/>
      <c r="F869260" s="2"/>
      <c r="G869260" s="2"/>
      <c r="H869260" s="2"/>
    </row>
    <row r="869509" spans="3:8" ht="15.6" x14ac:dyDescent="0.25">
      <c r="C869509" s="2"/>
      <c r="D869509" s="2"/>
      <c r="E869509" s="2"/>
      <c r="F869509" s="2"/>
      <c r="G869509" s="2"/>
      <c r="H869509" s="2"/>
    </row>
    <row r="869758" spans="3:8" ht="15.6" x14ac:dyDescent="0.25">
      <c r="C869758" s="2"/>
      <c r="D869758" s="2"/>
      <c r="E869758" s="2"/>
      <c r="F869758" s="2"/>
      <c r="G869758" s="2"/>
      <c r="H869758" s="2"/>
    </row>
    <row r="870007" spans="3:8" ht="15.6" x14ac:dyDescent="0.25">
      <c r="C870007" s="2"/>
      <c r="D870007" s="2"/>
      <c r="E870007" s="2"/>
      <c r="F870007" s="2"/>
      <c r="G870007" s="2"/>
      <c r="H870007" s="2"/>
    </row>
    <row r="870256" spans="3:8" ht="15.6" x14ac:dyDescent="0.25">
      <c r="C870256" s="2"/>
      <c r="D870256" s="2"/>
      <c r="E870256" s="2"/>
      <c r="F870256" s="2"/>
      <c r="G870256" s="2"/>
      <c r="H870256" s="2"/>
    </row>
    <row r="870505" spans="3:8" ht="15.6" x14ac:dyDescent="0.25">
      <c r="C870505" s="2"/>
      <c r="D870505" s="2"/>
      <c r="E870505" s="2"/>
      <c r="F870505" s="2"/>
      <c r="G870505" s="2"/>
      <c r="H870505" s="2"/>
    </row>
    <row r="870754" spans="3:8" ht="15.6" x14ac:dyDescent="0.25">
      <c r="C870754" s="2"/>
      <c r="D870754" s="2"/>
      <c r="E870754" s="2"/>
      <c r="F870754" s="2"/>
      <c r="G870754" s="2"/>
      <c r="H870754" s="2"/>
    </row>
    <row r="871003" spans="3:8" ht="15.6" x14ac:dyDescent="0.25">
      <c r="C871003" s="2"/>
      <c r="D871003" s="2"/>
      <c r="E871003" s="2"/>
      <c r="F871003" s="2"/>
      <c r="G871003" s="2"/>
      <c r="H871003" s="2"/>
    </row>
    <row r="871252" spans="3:8" ht="15.6" x14ac:dyDescent="0.25">
      <c r="C871252" s="2"/>
      <c r="D871252" s="2"/>
      <c r="E871252" s="2"/>
      <c r="F871252" s="2"/>
      <c r="G871252" s="2"/>
      <c r="H871252" s="2"/>
    </row>
    <row r="871501" spans="3:8" ht="15.6" x14ac:dyDescent="0.25">
      <c r="C871501" s="2"/>
      <c r="D871501" s="2"/>
      <c r="E871501" s="2"/>
      <c r="F871501" s="2"/>
      <c r="G871501" s="2"/>
      <c r="H871501" s="2"/>
    </row>
    <row r="871750" spans="3:8" ht="15.6" x14ac:dyDescent="0.25">
      <c r="C871750" s="2"/>
      <c r="D871750" s="2"/>
      <c r="E871750" s="2"/>
      <c r="F871750" s="2"/>
      <c r="G871750" s="2"/>
      <c r="H871750" s="2"/>
    </row>
    <row r="871999" spans="3:8" ht="15.6" x14ac:dyDescent="0.25">
      <c r="C871999" s="2"/>
      <c r="D871999" s="2"/>
      <c r="E871999" s="2"/>
      <c r="F871999" s="2"/>
      <c r="G871999" s="2"/>
      <c r="H871999" s="2"/>
    </row>
    <row r="872248" spans="3:8" ht="15.6" x14ac:dyDescent="0.25">
      <c r="C872248" s="2"/>
      <c r="D872248" s="2"/>
      <c r="E872248" s="2"/>
      <c r="F872248" s="2"/>
      <c r="G872248" s="2"/>
      <c r="H872248" s="2"/>
    </row>
    <row r="872497" spans="3:8" ht="15.6" x14ac:dyDescent="0.25">
      <c r="C872497" s="2"/>
      <c r="D872497" s="2"/>
      <c r="E872497" s="2"/>
      <c r="F872497" s="2"/>
      <c r="G872497" s="2"/>
      <c r="H872497" s="2"/>
    </row>
    <row r="872746" spans="3:8" ht="15.6" x14ac:dyDescent="0.25">
      <c r="C872746" s="2"/>
      <c r="D872746" s="2"/>
      <c r="E872746" s="2"/>
      <c r="F872746" s="2"/>
      <c r="G872746" s="2"/>
      <c r="H872746" s="2"/>
    </row>
    <row r="872995" spans="3:8" ht="15.6" x14ac:dyDescent="0.25">
      <c r="C872995" s="2"/>
      <c r="D872995" s="2"/>
      <c r="E872995" s="2"/>
      <c r="F872995" s="2"/>
      <c r="G872995" s="2"/>
      <c r="H872995" s="2"/>
    </row>
    <row r="873244" spans="3:8" ht="15.6" x14ac:dyDescent="0.25">
      <c r="C873244" s="2"/>
      <c r="D873244" s="2"/>
      <c r="E873244" s="2"/>
      <c r="F873244" s="2"/>
      <c r="G873244" s="2"/>
      <c r="H873244" s="2"/>
    </row>
    <row r="873493" spans="3:8" ht="15.6" x14ac:dyDescent="0.25">
      <c r="C873493" s="2"/>
      <c r="D873493" s="2"/>
      <c r="E873493" s="2"/>
      <c r="F873493" s="2"/>
      <c r="G873493" s="2"/>
      <c r="H873493" s="2"/>
    </row>
    <row r="873742" spans="3:8" ht="15.6" x14ac:dyDescent="0.25">
      <c r="C873742" s="2"/>
      <c r="D873742" s="2"/>
      <c r="E873742" s="2"/>
      <c r="F873742" s="2"/>
      <c r="G873742" s="2"/>
      <c r="H873742" s="2"/>
    </row>
    <row r="873991" spans="3:8" ht="15.6" x14ac:dyDescent="0.25">
      <c r="C873991" s="2"/>
      <c r="D873991" s="2"/>
      <c r="E873991" s="2"/>
      <c r="F873991" s="2"/>
      <c r="G873991" s="2"/>
      <c r="H873991" s="2"/>
    </row>
    <row r="874240" spans="3:8" ht="15.6" x14ac:dyDescent="0.25">
      <c r="C874240" s="2"/>
      <c r="D874240" s="2"/>
      <c r="E874240" s="2"/>
      <c r="F874240" s="2"/>
      <c r="G874240" s="2"/>
      <c r="H874240" s="2"/>
    </row>
    <row r="874489" spans="3:8" ht="15.6" x14ac:dyDescent="0.25">
      <c r="C874489" s="2"/>
      <c r="D874489" s="2"/>
      <c r="E874489" s="2"/>
      <c r="F874489" s="2"/>
      <c r="G874489" s="2"/>
      <c r="H874489" s="2"/>
    </row>
    <row r="874738" spans="3:8" ht="15.6" x14ac:dyDescent="0.25">
      <c r="C874738" s="2"/>
      <c r="D874738" s="2"/>
      <c r="E874738" s="2"/>
      <c r="F874738" s="2"/>
      <c r="G874738" s="2"/>
      <c r="H874738" s="2"/>
    </row>
    <row r="874987" spans="3:8" ht="15.6" x14ac:dyDescent="0.25">
      <c r="C874987" s="2"/>
      <c r="D874987" s="2"/>
      <c r="E874987" s="2"/>
      <c r="F874987" s="2"/>
      <c r="G874987" s="2"/>
      <c r="H874987" s="2"/>
    </row>
    <row r="875236" spans="3:8" ht="15.6" x14ac:dyDescent="0.25">
      <c r="C875236" s="2"/>
      <c r="D875236" s="2"/>
      <c r="E875236" s="2"/>
      <c r="F875236" s="2"/>
      <c r="G875236" s="2"/>
      <c r="H875236" s="2"/>
    </row>
    <row r="875485" spans="3:8" ht="15.6" x14ac:dyDescent="0.25">
      <c r="C875485" s="2"/>
      <c r="D875485" s="2"/>
      <c r="E875485" s="2"/>
      <c r="F875485" s="2"/>
      <c r="G875485" s="2"/>
      <c r="H875485" s="2"/>
    </row>
    <row r="875734" spans="3:8" ht="15.6" x14ac:dyDescent="0.25">
      <c r="C875734" s="2"/>
      <c r="D875734" s="2"/>
      <c r="E875734" s="2"/>
      <c r="F875734" s="2"/>
      <c r="G875734" s="2"/>
      <c r="H875734" s="2"/>
    </row>
    <row r="875983" spans="3:8" ht="15.6" x14ac:dyDescent="0.25">
      <c r="C875983" s="2"/>
      <c r="D875983" s="2"/>
      <c r="E875983" s="2"/>
      <c r="F875983" s="2"/>
      <c r="G875983" s="2"/>
      <c r="H875983" s="2"/>
    </row>
    <row r="876232" spans="3:8" ht="15.6" x14ac:dyDescent="0.25">
      <c r="C876232" s="2"/>
      <c r="D876232" s="2"/>
      <c r="E876232" s="2"/>
      <c r="F876232" s="2"/>
      <c r="G876232" s="2"/>
      <c r="H876232" s="2"/>
    </row>
    <row r="876481" spans="3:8" ht="15.6" x14ac:dyDescent="0.25">
      <c r="C876481" s="2"/>
      <c r="D876481" s="2"/>
      <c r="E876481" s="2"/>
      <c r="F876481" s="2"/>
      <c r="G876481" s="2"/>
      <c r="H876481" s="2"/>
    </row>
    <row r="876730" spans="3:8" ht="15.6" x14ac:dyDescent="0.25">
      <c r="C876730" s="2"/>
      <c r="D876730" s="2"/>
      <c r="E876730" s="2"/>
      <c r="F876730" s="2"/>
      <c r="G876730" s="2"/>
      <c r="H876730" s="2"/>
    </row>
    <row r="876979" spans="3:8" ht="15.6" x14ac:dyDescent="0.25">
      <c r="C876979" s="2"/>
      <c r="D876979" s="2"/>
      <c r="E876979" s="2"/>
      <c r="F876979" s="2"/>
      <c r="G876979" s="2"/>
      <c r="H876979" s="2"/>
    </row>
    <row r="877228" spans="3:8" ht="15.6" x14ac:dyDescent="0.25">
      <c r="C877228" s="2"/>
      <c r="D877228" s="2"/>
      <c r="E877228" s="2"/>
      <c r="F877228" s="2"/>
      <c r="G877228" s="2"/>
      <c r="H877228" s="2"/>
    </row>
    <row r="877477" spans="3:8" ht="15.6" x14ac:dyDescent="0.25">
      <c r="C877477" s="2"/>
      <c r="D877477" s="2"/>
      <c r="E877477" s="2"/>
      <c r="F877477" s="2"/>
      <c r="G877477" s="2"/>
      <c r="H877477" s="2"/>
    </row>
    <row r="877726" spans="3:8" ht="15.6" x14ac:dyDescent="0.25">
      <c r="C877726" s="2"/>
      <c r="D877726" s="2"/>
      <c r="E877726" s="2"/>
      <c r="F877726" s="2"/>
      <c r="G877726" s="2"/>
      <c r="H877726" s="2"/>
    </row>
    <row r="877975" spans="3:8" ht="15.6" x14ac:dyDescent="0.25">
      <c r="C877975" s="2"/>
      <c r="D877975" s="2"/>
      <c r="E877975" s="2"/>
      <c r="F877975" s="2"/>
      <c r="G877975" s="2"/>
      <c r="H877975" s="2"/>
    </row>
    <row r="878224" spans="3:8" ht="15.6" x14ac:dyDescent="0.25">
      <c r="C878224" s="2"/>
      <c r="D878224" s="2"/>
      <c r="E878224" s="2"/>
      <c r="F878224" s="2"/>
      <c r="G878224" s="2"/>
      <c r="H878224" s="2"/>
    </row>
    <row r="878473" spans="3:8" ht="15.6" x14ac:dyDescent="0.25">
      <c r="C878473" s="2"/>
      <c r="D878473" s="2"/>
      <c r="E878473" s="2"/>
      <c r="F878473" s="2"/>
      <c r="G878473" s="2"/>
      <c r="H878473" s="2"/>
    </row>
    <row r="878722" spans="3:8" ht="15.6" x14ac:dyDescent="0.25">
      <c r="C878722" s="2"/>
      <c r="D878722" s="2"/>
      <c r="E878722" s="2"/>
      <c r="F878722" s="2"/>
      <c r="G878722" s="2"/>
      <c r="H878722" s="2"/>
    </row>
    <row r="878971" spans="3:8" ht="15.6" x14ac:dyDescent="0.25">
      <c r="C878971" s="2"/>
      <c r="D878971" s="2"/>
      <c r="E878971" s="2"/>
      <c r="F878971" s="2"/>
      <c r="G878971" s="2"/>
      <c r="H878971" s="2"/>
    </row>
    <row r="879220" spans="3:8" ht="15.6" x14ac:dyDescent="0.25">
      <c r="C879220" s="2"/>
      <c r="D879220" s="2"/>
      <c r="E879220" s="2"/>
      <c r="F879220" s="2"/>
      <c r="G879220" s="2"/>
      <c r="H879220" s="2"/>
    </row>
    <row r="879469" spans="3:8" ht="15.6" x14ac:dyDescent="0.25">
      <c r="C879469" s="2"/>
      <c r="D879469" s="2"/>
      <c r="E879469" s="2"/>
      <c r="F879469" s="2"/>
      <c r="G879469" s="2"/>
      <c r="H879469" s="2"/>
    </row>
    <row r="879718" spans="3:8" ht="15.6" x14ac:dyDescent="0.25">
      <c r="C879718" s="2"/>
      <c r="D879718" s="2"/>
      <c r="E879718" s="2"/>
      <c r="F879718" s="2"/>
      <c r="G879718" s="2"/>
      <c r="H879718" s="2"/>
    </row>
    <row r="879967" spans="3:8" ht="15.6" x14ac:dyDescent="0.25">
      <c r="C879967" s="2"/>
      <c r="D879967" s="2"/>
      <c r="E879967" s="2"/>
      <c r="F879967" s="2"/>
      <c r="G879967" s="2"/>
      <c r="H879967" s="2"/>
    </row>
    <row r="880216" spans="3:8" ht="15.6" x14ac:dyDescent="0.25">
      <c r="C880216" s="2"/>
      <c r="D880216" s="2"/>
      <c r="E880216" s="2"/>
      <c r="F880216" s="2"/>
      <c r="G880216" s="2"/>
      <c r="H880216" s="2"/>
    </row>
    <row r="880465" spans="3:8" ht="15.6" x14ac:dyDescent="0.25">
      <c r="C880465" s="2"/>
      <c r="D880465" s="2"/>
      <c r="E880465" s="2"/>
      <c r="F880465" s="2"/>
      <c r="G880465" s="2"/>
      <c r="H880465" s="2"/>
    </row>
    <row r="880714" spans="3:8" ht="15.6" x14ac:dyDescent="0.25">
      <c r="C880714" s="2"/>
      <c r="D880714" s="2"/>
      <c r="E880714" s="2"/>
      <c r="F880714" s="2"/>
      <c r="G880714" s="2"/>
      <c r="H880714" s="2"/>
    </row>
    <row r="880963" spans="3:8" ht="15.6" x14ac:dyDescent="0.25">
      <c r="C880963" s="2"/>
      <c r="D880963" s="2"/>
      <c r="E880963" s="2"/>
      <c r="F880963" s="2"/>
      <c r="G880963" s="2"/>
      <c r="H880963" s="2"/>
    </row>
    <row r="881212" spans="3:8" ht="15.6" x14ac:dyDescent="0.25">
      <c r="C881212" s="2"/>
      <c r="D881212" s="2"/>
      <c r="E881212" s="2"/>
      <c r="F881212" s="2"/>
      <c r="G881212" s="2"/>
      <c r="H881212" s="2"/>
    </row>
    <row r="881461" spans="3:8" ht="15.6" x14ac:dyDescent="0.25">
      <c r="C881461" s="2"/>
      <c r="D881461" s="2"/>
      <c r="E881461" s="2"/>
      <c r="F881461" s="2"/>
      <c r="G881461" s="2"/>
      <c r="H881461" s="2"/>
    </row>
    <row r="881710" spans="3:8" ht="15.6" x14ac:dyDescent="0.25">
      <c r="C881710" s="2"/>
      <c r="D881710" s="2"/>
      <c r="E881710" s="2"/>
      <c r="F881710" s="2"/>
      <c r="G881710" s="2"/>
      <c r="H881710" s="2"/>
    </row>
    <row r="881959" spans="3:8" ht="15.6" x14ac:dyDescent="0.25">
      <c r="C881959" s="2"/>
      <c r="D881959" s="2"/>
      <c r="E881959" s="2"/>
      <c r="F881959" s="2"/>
      <c r="G881959" s="2"/>
      <c r="H881959" s="2"/>
    </row>
    <row r="882208" spans="3:8" ht="15.6" x14ac:dyDescent="0.25">
      <c r="C882208" s="2"/>
      <c r="D882208" s="2"/>
      <c r="E882208" s="2"/>
      <c r="F882208" s="2"/>
      <c r="G882208" s="2"/>
      <c r="H882208" s="2"/>
    </row>
    <row r="882457" spans="3:8" ht="15.6" x14ac:dyDescent="0.25">
      <c r="C882457" s="2"/>
      <c r="D882457" s="2"/>
      <c r="E882457" s="2"/>
      <c r="F882457" s="2"/>
      <c r="G882457" s="2"/>
      <c r="H882457" s="2"/>
    </row>
    <row r="882706" spans="3:8" ht="15.6" x14ac:dyDescent="0.25">
      <c r="C882706" s="2"/>
      <c r="D882706" s="2"/>
      <c r="E882706" s="2"/>
      <c r="F882706" s="2"/>
      <c r="G882706" s="2"/>
      <c r="H882706" s="2"/>
    </row>
    <row r="882955" spans="3:8" ht="15.6" x14ac:dyDescent="0.25">
      <c r="C882955" s="2"/>
      <c r="D882955" s="2"/>
      <c r="E882955" s="2"/>
      <c r="F882955" s="2"/>
      <c r="G882955" s="2"/>
      <c r="H882955" s="2"/>
    </row>
    <row r="883204" spans="3:8" ht="15.6" x14ac:dyDescent="0.25">
      <c r="C883204" s="2"/>
      <c r="D883204" s="2"/>
      <c r="E883204" s="2"/>
      <c r="F883204" s="2"/>
      <c r="G883204" s="2"/>
      <c r="H883204" s="2"/>
    </row>
    <row r="883453" spans="3:8" ht="15.6" x14ac:dyDescent="0.25">
      <c r="C883453" s="2"/>
      <c r="D883453" s="2"/>
      <c r="E883453" s="2"/>
      <c r="F883453" s="2"/>
      <c r="G883453" s="2"/>
      <c r="H883453" s="2"/>
    </row>
    <row r="883702" spans="3:8" ht="15.6" x14ac:dyDescent="0.25">
      <c r="C883702" s="2"/>
      <c r="D883702" s="2"/>
      <c r="E883702" s="2"/>
      <c r="F883702" s="2"/>
      <c r="G883702" s="2"/>
      <c r="H883702" s="2"/>
    </row>
    <row r="883951" spans="3:8" ht="15.6" x14ac:dyDescent="0.25">
      <c r="C883951" s="2"/>
      <c r="D883951" s="2"/>
      <c r="E883951" s="2"/>
      <c r="F883951" s="2"/>
      <c r="G883951" s="2"/>
      <c r="H883951" s="2"/>
    </row>
    <row r="884200" spans="3:8" ht="15.6" x14ac:dyDescent="0.25">
      <c r="C884200" s="2"/>
      <c r="D884200" s="2"/>
      <c r="E884200" s="2"/>
      <c r="F884200" s="2"/>
      <c r="G884200" s="2"/>
      <c r="H884200" s="2"/>
    </row>
    <row r="884449" spans="3:8" ht="15.6" x14ac:dyDescent="0.25">
      <c r="C884449" s="2"/>
      <c r="D884449" s="2"/>
      <c r="E884449" s="2"/>
      <c r="F884449" s="2"/>
      <c r="G884449" s="2"/>
      <c r="H884449" s="2"/>
    </row>
    <row r="884698" spans="3:8" ht="15.6" x14ac:dyDescent="0.25">
      <c r="C884698" s="2"/>
      <c r="D884698" s="2"/>
      <c r="E884698" s="2"/>
      <c r="F884698" s="2"/>
      <c r="G884698" s="2"/>
      <c r="H884698" s="2"/>
    </row>
    <row r="884947" spans="3:8" ht="15.6" x14ac:dyDescent="0.25">
      <c r="C884947" s="2"/>
      <c r="D884947" s="2"/>
      <c r="E884947" s="2"/>
      <c r="F884947" s="2"/>
      <c r="G884947" s="2"/>
      <c r="H884947" s="2"/>
    </row>
    <row r="885196" spans="3:8" ht="15.6" x14ac:dyDescent="0.25">
      <c r="C885196" s="2"/>
      <c r="D885196" s="2"/>
      <c r="E885196" s="2"/>
      <c r="F885196" s="2"/>
      <c r="G885196" s="2"/>
      <c r="H885196" s="2"/>
    </row>
    <row r="885445" spans="3:8" ht="15.6" x14ac:dyDescent="0.25">
      <c r="C885445" s="2"/>
      <c r="D885445" s="2"/>
      <c r="E885445" s="2"/>
      <c r="F885445" s="2"/>
      <c r="G885445" s="2"/>
      <c r="H885445" s="2"/>
    </row>
    <row r="885694" spans="3:8" ht="15.6" x14ac:dyDescent="0.25">
      <c r="C885694" s="2"/>
      <c r="D885694" s="2"/>
      <c r="E885694" s="2"/>
      <c r="F885694" s="2"/>
      <c r="G885694" s="2"/>
      <c r="H885694" s="2"/>
    </row>
    <row r="885943" spans="3:8" ht="15.6" x14ac:dyDescent="0.25">
      <c r="C885943" s="2"/>
      <c r="D885943" s="2"/>
      <c r="E885943" s="2"/>
      <c r="F885943" s="2"/>
      <c r="G885943" s="2"/>
      <c r="H885943" s="2"/>
    </row>
    <row r="886192" spans="3:8" ht="15.6" x14ac:dyDescent="0.25">
      <c r="C886192" s="2"/>
      <c r="D886192" s="2"/>
      <c r="E886192" s="2"/>
      <c r="F886192" s="2"/>
      <c r="G886192" s="2"/>
      <c r="H886192" s="2"/>
    </row>
    <row r="886441" spans="3:8" ht="15.6" x14ac:dyDescent="0.25">
      <c r="C886441" s="2"/>
      <c r="D886441" s="2"/>
      <c r="E886441" s="2"/>
      <c r="F886441" s="2"/>
      <c r="G886441" s="2"/>
      <c r="H886441" s="2"/>
    </row>
    <row r="886690" spans="3:8" ht="15.6" x14ac:dyDescent="0.25">
      <c r="C886690" s="2"/>
      <c r="D886690" s="2"/>
      <c r="E886690" s="2"/>
      <c r="F886690" s="2"/>
      <c r="G886690" s="2"/>
      <c r="H886690" s="2"/>
    </row>
    <row r="886939" spans="3:8" ht="15.6" x14ac:dyDescent="0.25">
      <c r="C886939" s="2"/>
      <c r="D886939" s="2"/>
      <c r="E886939" s="2"/>
      <c r="F886939" s="2"/>
      <c r="G886939" s="2"/>
      <c r="H886939" s="2"/>
    </row>
    <row r="887188" spans="3:8" ht="15.6" x14ac:dyDescent="0.25">
      <c r="C887188" s="2"/>
      <c r="D887188" s="2"/>
      <c r="E887188" s="2"/>
      <c r="F887188" s="2"/>
      <c r="G887188" s="2"/>
      <c r="H887188" s="2"/>
    </row>
    <row r="887437" spans="3:8" ht="15.6" x14ac:dyDescent="0.25">
      <c r="C887437" s="2"/>
      <c r="D887437" s="2"/>
      <c r="E887437" s="2"/>
      <c r="F887437" s="2"/>
      <c r="G887437" s="2"/>
      <c r="H887437" s="2"/>
    </row>
    <row r="887686" spans="3:8" ht="15.6" x14ac:dyDescent="0.25">
      <c r="C887686" s="2"/>
      <c r="D887686" s="2"/>
      <c r="E887686" s="2"/>
      <c r="F887686" s="2"/>
      <c r="G887686" s="2"/>
      <c r="H887686" s="2"/>
    </row>
    <row r="887935" spans="3:8" ht="15.6" x14ac:dyDescent="0.25">
      <c r="C887935" s="2"/>
      <c r="D887935" s="2"/>
      <c r="E887935" s="2"/>
      <c r="F887935" s="2"/>
      <c r="G887935" s="2"/>
      <c r="H887935" s="2"/>
    </row>
    <row r="888184" spans="3:8" ht="15.6" x14ac:dyDescent="0.25">
      <c r="C888184" s="2"/>
      <c r="D888184" s="2"/>
      <c r="E888184" s="2"/>
      <c r="F888184" s="2"/>
      <c r="G888184" s="2"/>
      <c r="H888184" s="2"/>
    </row>
    <row r="888433" spans="3:8" ht="15.6" x14ac:dyDescent="0.25">
      <c r="C888433" s="2"/>
      <c r="D888433" s="2"/>
      <c r="E888433" s="2"/>
      <c r="F888433" s="2"/>
      <c r="G888433" s="2"/>
      <c r="H888433" s="2"/>
    </row>
    <row r="888682" spans="3:8" ht="15.6" x14ac:dyDescent="0.25">
      <c r="C888682" s="2"/>
      <c r="D888682" s="2"/>
      <c r="E888682" s="2"/>
      <c r="F888682" s="2"/>
      <c r="G888682" s="2"/>
      <c r="H888682" s="2"/>
    </row>
    <row r="888931" spans="3:8" ht="15.6" x14ac:dyDescent="0.25">
      <c r="C888931" s="2"/>
      <c r="D888931" s="2"/>
      <c r="E888931" s="2"/>
      <c r="F888931" s="2"/>
      <c r="G888931" s="2"/>
      <c r="H888931" s="2"/>
    </row>
    <row r="889180" spans="3:8" ht="15.6" x14ac:dyDescent="0.25">
      <c r="C889180" s="2"/>
      <c r="D889180" s="2"/>
      <c r="E889180" s="2"/>
      <c r="F889180" s="2"/>
      <c r="G889180" s="2"/>
      <c r="H889180" s="2"/>
    </row>
    <row r="889429" spans="3:8" ht="15.6" x14ac:dyDescent="0.25">
      <c r="C889429" s="2"/>
      <c r="D889429" s="2"/>
      <c r="E889429" s="2"/>
      <c r="F889429" s="2"/>
      <c r="G889429" s="2"/>
      <c r="H889429" s="2"/>
    </row>
    <row r="889678" spans="3:8" ht="15.6" x14ac:dyDescent="0.25">
      <c r="C889678" s="2"/>
      <c r="D889678" s="2"/>
      <c r="E889678" s="2"/>
      <c r="F889678" s="2"/>
      <c r="G889678" s="2"/>
      <c r="H889678" s="2"/>
    </row>
    <row r="889927" spans="3:8" ht="15.6" x14ac:dyDescent="0.25">
      <c r="C889927" s="2"/>
      <c r="D889927" s="2"/>
      <c r="E889927" s="2"/>
      <c r="F889927" s="2"/>
      <c r="G889927" s="2"/>
      <c r="H889927" s="2"/>
    </row>
    <row r="890176" spans="3:8" ht="15.6" x14ac:dyDescent="0.25">
      <c r="C890176" s="2"/>
      <c r="D890176" s="2"/>
      <c r="E890176" s="2"/>
      <c r="F890176" s="2"/>
      <c r="G890176" s="2"/>
      <c r="H890176" s="2"/>
    </row>
    <row r="890425" spans="3:8" ht="15.6" x14ac:dyDescent="0.25">
      <c r="C890425" s="2"/>
      <c r="D890425" s="2"/>
      <c r="E890425" s="2"/>
      <c r="F890425" s="2"/>
      <c r="G890425" s="2"/>
      <c r="H890425" s="2"/>
    </row>
    <row r="890674" spans="3:8" ht="15.6" x14ac:dyDescent="0.25">
      <c r="C890674" s="2"/>
      <c r="D890674" s="2"/>
      <c r="E890674" s="2"/>
      <c r="F890674" s="2"/>
      <c r="G890674" s="2"/>
      <c r="H890674" s="2"/>
    </row>
    <row r="890923" spans="3:8" ht="15.6" x14ac:dyDescent="0.25">
      <c r="C890923" s="2"/>
      <c r="D890923" s="2"/>
      <c r="E890923" s="2"/>
      <c r="F890923" s="2"/>
      <c r="G890923" s="2"/>
      <c r="H890923" s="2"/>
    </row>
    <row r="891172" spans="3:8" ht="15.6" x14ac:dyDescent="0.25">
      <c r="C891172" s="2"/>
      <c r="D891172" s="2"/>
      <c r="E891172" s="2"/>
      <c r="F891172" s="2"/>
      <c r="G891172" s="2"/>
      <c r="H891172" s="2"/>
    </row>
    <row r="891421" spans="3:8" ht="15.6" x14ac:dyDescent="0.25">
      <c r="C891421" s="2"/>
      <c r="D891421" s="2"/>
      <c r="E891421" s="2"/>
      <c r="F891421" s="2"/>
      <c r="G891421" s="2"/>
      <c r="H891421" s="2"/>
    </row>
    <row r="891670" spans="3:8" ht="15.6" x14ac:dyDescent="0.25">
      <c r="C891670" s="2"/>
      <c r="D891670" s="2"/>
      <c r="E891670" s="2"/>
      <c r="F891670" s="2"/>
      <c r="G891670" s="2"/>
      <c r="H891670" s="2"/>
    </row>
    <row r="891919" spans="3:8" ht="15.6" x14ac:dyDescent="0.25">
      <c r="C891919" s="2"/>
      <c r="D891919" s="2"/>
      <c r="E891919" s="2"/>
      <c r="F891919" s="2"/>
      <c r="G891919" s="2"/>
      <c r="H891919" s="2"/>
    </row>
    <row r="892168" spans="3:8" ht="15.6" x14ac:dyDescent="0.25">
      <c r="C892168" s="2"/>
      <c r="D892168" s="2"/>
      <c r="E892168" s="2"/>
      <c r="F892168" s="2"/>
      <c r="G892168" s="2"/>
      <c r="H892168" s="2"/>
    </row>
    <row r="892417" spans="3:8" ht="15.6" x14ac:dyDescent="0.25">
      <c r="C892417" s="2"/>
      <c r="D892417" s="2"/>
      <c r="E892417" s="2"/>
      <c r="F892417" s="2"/>
      <c r="G892417" s="2"/>
      <c r="H892417" s="2"/>
    </row>
    <row r="892666" spans="3:8" ht="15.6" x14ac:dyDescent="0.25">
      <c r="C892666" s="2"/>
      <c r="D892666" s="2"/>
      <c r="E892666" s="2"/>
      <c r="F892666" s="2"/>
      <c r="G892666" s="2"/>
      <c r="H892666" s="2"/>
    </row>
    <row r="892915" spans="3:8" ht="15.6" x14ac:dyDescent="0.25">
      <c r="C892915" s="2"/>
      <c r="D892915" s="2"/>
      <c r="E892915" s="2"/>
      <c r="F892915" s="2"/>
      <c r="G892915" s="2"/>
      <c r="H892915" s="2"/>
    </row>
    <row r="893164" spans="3:8" ht="15.6" x14ac:dyDescent="0.25">
      <c r="C893164" s="2"/>
      <c r="D893164" s="2"/>
      <c r="E893164" s="2"/>
      <c r="F893164" s="2"/>
      <c r="G893164" s="2"/>
      <c r="H893164" s="2"/>
    </row>
    <row r="893413" spans="3:8" ht="15.6" x14ac:dyDescent="0.25">
      <c r="C893413" s="2"/>
      <c r="D893413" s="2"/>
      <c r="E893413" s="2"/>
      <c r="F893413" s="2"/>
      <c r="G893413" s="2"/>
      <c r="H893413" s="2"/>
    </row>
    <row r="893662" spans="3:8" ht="15.6" x14ac:dyDescent="0.25">
      <c r="C893662" s="2"/>
      <c r="D893662" s="2"/>
      <c r="E893662" s="2"/>
      <c r="F893662" s="2"/>
      <c r="G893662" s="2"/>
      <c r="H893662" s="2"/>
    </row>
    <row r="893911" spans="3:8" ht="15.6" x14ac:dyDescent="0.25">
      <c r="C893911" s="2"/>
      <c r="D893911" s="2"/>
      <c r="E893911" s="2"/>
      <c r="F893911" s="2"/>
      <c r="G893911" s="2"/>
      <c r="H893911" s="2"/>
    </row>
    <row r="894160" spans="3:8" ht="15.6" x14ac:dyDescent="0.25">
      <c r="C894160" s="2"/>
      <c r="D894160" s="2"/>
      <c r="E894160" s="2"/>
      <c r="F894160" s="2"/>
      <c r="G894160" s="2"/>
      <c r="H894160" s="2"/>
    </row>
    <row r="894409" spans="3:8" ht="15.6" x14ac:dyDescent="0.25">
      <c r="C894409" s="2"/>
      <c r="D894409" s="2"/>
      <c r="E894409" s="2"/>
      <c r="F894409" s="2"/>
      <c r="G894409" s="2"/>
      <c r="H894409" s="2"/>
    </row>
    <row r="894658" spans="3:8" ht="15.6" x14ac:dyDescent="0.25">
      <c r="C894658" s="2"/>
      <c r="D894658" s="2"/>
      <c r="E894658" s="2"/>
      <c r="F894658" s="2"/>
      <c r="G894658" s="2"/>
      <c r="H894658" s="2"/>
    </row>
    <row r="894907" spans="3:8" ht="15.6" x14ac:dyDescent="0.25">
      <c r="C894907" s="2"/>
      <c r="D894907" s="2"/>
      <c r="E894907" s="2"/>
      <c r="F894907" s="2"/>
      <c r="G894907" s="2"/>
      <c r="H894907" s="2"/>
    </row>
    <row r="895156" spans="3:8" ht="15.6" x14ac:dyDescent="0.25">
      <c r="C895156" s="2"/>
      <c r="D895156" s="2"/>
      <c r="E895156" s="2"/>
      <c r="F895156" s="2"/>
      <c r="G895156" s="2"/>
      <c r="H895156" s="2"/>
    </row>
    <row r="895405" spans="3:8" ht="15.6" x14ac:dyDescent="0.25">
      <c r="C895405" s="2"/>
      <c r="D895405" s="2"/>
      <c r="E895405" s="2"/>
      <c r="F895405" s="2"/>
      <c r="G895405" s="2"/>
      <c r="H895405" s="2"/>
    </row>
    <row r="895654" spans="3:8" ht="15.6" x14ac:dyDescent="0.25">
      <c r="C895654" s="2"/>
      <c r="D895654" s="2"/>
      <c r="E895654" s="2"/>
      <c r="F895654" s="2"/>
      <c r="G895654" s="2"/>
      <c r="H895654" s="2"/>
    </row>
    <row r="895903" spans="3:8" ht="15.6" x14ac:dyDescent="0.25">
      <c r="C895903" s="2"/>
      <c r="D895903" s="2"/>
      <c r="E895903" s="2"/>
      <c r="F895903" s="2"/>
      <c r="G895903" s="2"/>
      <c r="H895903" s="2"/>
    </row>
    <row r="896152" spans="3:8" ht="15.6" x14ac:dyDescent="0.25">
      <c r="C896152" s="2"/>
      <c r="D896152" s="2"/>
      <c r="E896152" s="2"/>
      <c r="F896152" s="2"/>
      <c r="G896152" s="2"/>
      <c r="H896152" s="2"/>
    </row>
    <row r="896401" spans="3:8" ht="15.6" x14ac:dyDescent="0.25">
      <c r="C896401" s="2"/>
      <c r="D896401" s="2"/>
      <c r="E896401" s="2"/>
      <c r="F896401" s="2"/>
      <c r="G896401" s="2"/>
      <c r="H896401" s="2"/>
    </row>
    <row r="896650" spans="3:8" ht="15.6" x14ac:dyDescent="0.25">
      <c r="C896650" s="2"/>
      <c r="D896650" s="2"/>
      <c r="E896650" s="2"/>
      <c r="F896650" s="2"/>
      <c r="G896650" s="2"/>
      <c r="H896650" s="2"/>
    </row>
    <row r="896899" spans="3:8" ht="15.6" x14ac:dyDescent="0.25">
      <c r="C896899" s="2"/>
      <c r="D896899" s="2"/>
      <c r="E896899" s="2"/>
      <c r="F896899" s="2"/>
      <c r="G896899" s="2"/>
      <c r="H896899" s="2"/>
    </row>
    <row r="897148" spans="3:8" ht="15.6" x14ac:dyDescent="0.25">
      <c r="C897148" s="2"/>
      <c r="D897148" s="2"/>
      <c r="E897148" s="2"/>
      <c r="F897148" s="2"/>
      <c r="G897148" s="2"/>
      <c r="H897148" s="2"/>
    </row>
    <row r="897397" spans="3:8" ht="15.6" x14ac:dyDescent="0.25">
      <c r="C897397" s="2"/>
      <c r="D897397" s="2"/>
      <c r="E897397" s="2"/>
      <c r="F897397" s="2"/>
      <c r="G897397" s="2"/>
      <c r="H897397" s="2"/>
    </row>
    <row r="897646" spans="3:8" ht="15.6" x14ac:dyDescent="0.25">
      <c r="C897646" s="2"/>
      <c r="D897646" s="2"/>
      <c r="E897646" s="2"/>
      <c r="F897646" s="2"/>
      <c r="G897646" s="2"/>
      <c r="H897646" s="2"/>
    </row>
    <row r="897895" spans="3:8" ht="15.6" x14ac:dyDescent="0.25">
      <c r="C897895" s="2"/>
      <c r="D897895" s="2"/>
      <c r="E897895" s="2"/>
      <c r="F897895" s="2"/>
      <c r="G897895" s="2"/>
      <c r="H897895" s="2"/>
    </row>
    <row r="898144" spans="3:8" ht="15.6" x14ac:dyDescent="0.25">
      <c r="C898144" s="2"/>
      <c r="D898144" s="2"/>
      <c r="E898144" s="2"/>
      <c r="F898144" s="2"/>
      <c r="G898144" s="2"/>
      <c r="H898144" s="2"/>
    </row>
    <row r="898393" spans="3:8" ht="15.6" x14ac:dyDescent="0.25">
      <c r="C898393" s="2"/>
      <c r="D898393" s="2"/>
      <c r="E898393" s="2"/>
      <c r="F898393" s="2"/>
      <c r="G898393" s="2"/>
      <c r="H898393" s="2"/>
    </row>
    <row r="898642" spans="3:8" ht="15.6" x14ac:dyDescent="0.25">
      <c r="C898642" s="2"/>
      <c r="D898642" s="2"/>
      <c r="E898642" s="2"/>
      <c r="F898642" s="2"/>
      <c r="G898642" s="2"/>
      <c r="H898642" s="2"/>
    </row>
    <row r="898891" spans="3:8" ht="15.6" x14ac:dyDescent="0.25">
      <c r="C898891" s="2"/>
      <c r="D898891" s="2"/>
      <c r="E898891" s="2"/>
      <c r="F898891" s="2"/>
      <c r="G898891" s="2"/>
      <c r="H898891" s="2"/>
    </row>
    <row r="899140" spans="3:8" ht="15.6" x14ac:dyDescent="0.25">
      <c r="C899140" s="2"/>
      <c r="D899140" s="2"/>
      <c r="E899140" s="2"/>
      <c r="F899140" s="2"/>
      <c r="G899140" s="2"/>
      <c r="H899140" s="2"/>
    </row>
    <row r="899389" spans="3:8" ht="15.6" x14ac:dyDescent="0.25">
      <c r="C899389" s="2"/>
      <c r="D899389" s="2"/>
      <c r="E899389" s="2"/>
      <c r="F899389" s="2"/>
      <c r="G899389" s="2"/>
      <c r="H899389" s="2"/>
    </row>
    <row r="899638" spans="3:8" ht="15.6" x14ac:dyDescent="0.25">
      <c r="C899638" s="2"/>
      <c r="D899638" s="2"/>
      <c r="E899638" s="2"/>
      <c r="F899638" s="2"/>
      <c r="G899638" s="2"/>
      <c r="H899638" s="2"/>
    </row>
    <row r="899887" spans="3:8" ht="15.6" x14ac:dyDescent="0.25">
      <c r="C899887" s="2"/>
      <c r="D899887" s="2"/>
      <c r="E899887" s="2"/>
      <c r="F899887" s="2"/>
      <c r="G899887" s="2"/>
      <c r="H899887" s="2"/>
    </row>
    <row r="900136" spans="3:8" ht="15.6" x14ac:dyDescent="0.25">
      <c r="C900136" s="2"/>
      <c r="D900136" s="2"/>
      <c r="E900136" s="2"/>
      <c r="F900136" s="2"/>
      <c r="G900136" s="2"/>
      <c r="H900136" s="2"/>
    </row>
    <row r="900385" spans="3:8" ht="15.6" x14ac:dyDescent="0.25">
      <c r="C900385" s="2"/>
      <c r="D900385" s="2"/>
      <c r="E900385" s="2"/>
      <c r="F900385" s="2"/>
      <c r="G900385" s="2"/>
      <c r="H900385" s="2"/>
    </row>
    <row r="900634" spans="3:8" ht="15.6" x14ac:dyDescent="0.25">
      <c r="C900634" s="2"/>
      <c r="D900634" s="2"/>
      <c r="E900634" s="2"/>
      <c r="F900634" s="2"/>
      <c r="G900634" s="2"/>
      <c r="H900634" s="2"/>
    </row>
    <row r="900883" spans="3:8" ht="15.6" x14ac:dyDescent="0.25">
      <c r="C900883" s="2"/>
      <c r="D900883" s="2"/>
      <c r="E900883" s="2"/>
      <c r="F900883" s="2"/>
      <c r="G900883" s="2"/>
      <c r="H900883" s="2"/>
    </row>
    <row r="901132" spans="3:8" ht="15.6" x14ac:dyDescent="0.25">
      <c r="C901132" s="2"/>
      <c r="D901132" s="2"/>
      <c r="E901132" s="2"/>
      <c r="F901132" s="2"/>
      <c r="G901132" s="2"/>
      <c r="H901132" s="2"/>
    </row>
    <row r="901381" spans="3:8" ht="15.6" x14ac:dyDescent="0.25">
      <c r="C901381" s="2"/>
      <c r="D901381" s="2"/>
      <c r="E901381" s="2"/>
      <c r="F901381" s="2"/>
      <c r="G901381" s="2"/>
      <c r="H901381" s="2"/>
    </row>
    <row r="901630" spans="3:8" ht="15.6" x14ac:dyDescent="0.25">
      <c r="C901630" s="2"/>
      <c r="D901630" s="2"/>
      <c r="E901630" s="2"/>
      <c r="F901630" s="2"/>
      <c r="G901630" s="2"/>
      <c r="H901630" s="2"/>
    </row>
    <row r="901879" spans="3:8" ht="15.6" x14ac:dyDescent="0.25">
      <c r="C901879" s="2"/>
      <c r="D901879" s="2"/>
      <c r="E901879" s="2"/>
      <c r="F901879" s="2"/>
      <c r="G901879" s="2"/>
      <c r="H901879" s="2"/>
    </row>
    <row r="902128" spans="3:8" ht="15.6" x14ac:dyDescent="0.25">
      <c r="C902128" s="2"/>
      <c r="D902128" s="2"/>
      <c r="E902128" s="2"/>
      <c r="F902128" s="2"/>
      <c r="G902128" s="2"/>
      <c r="H902128" s="2"/>
    </row>
    <row r="902377" spans="3:8" ht="15.6" x14ac:dyDescent="0.25">
      <c r="C902377" s="2"/>
      <c r="D902377" s="2"/>
      <c r="E902377" s="2"/>
      <c r="F902377" s="2"/>
      <c r="G902377" s="2"/>
      <c r="H902377" s="2"/>
    </row>
    <row r="902626" spans="3:8" ht="15.6" x14ac:dyDescent="0.25">
      <c r="C902626" s="2"/>
      <c r="D902626" s="2"/>
      <c r="E902626" s="2"/>
      <c r="F902626" s="2"/>
      <c r="G902626" s="2"/>
      <c r="H902626" s="2"/>
    </row>
    <row r="902875" spans="3:8" ht="15.6" x14ac:dyDescent="0.25">
      <c r="C902875" s="2"/>
      <c r="D902875" s="2"/>
      <c r="E902875" s="2"/>
      <c r="F902875" s="2"/>
      <c r="G902875" s="2"/>
      <c r="H902875" s="2"/>
    </row>
    <row r="903124" spans="3:8" ht="15.6" x14ac:dyDescent="0.25">
      <c r="C903124" s="2"/>
      <c r="D903124" s="2"/>
      <c r="E903124" s="2"/>
      <c r="F903124" s="2"/>
      <c r="G903124" s="2"/>
      <c r="H903124" s="2"/>
    </row>
    <row r="903373" spans="3:8" ht="15.6" x14ac:dyDescent="0.25">
      <c r="C903373" s="2"/>
      <c r="D903373" s="2"/>
      <c r="E903373" s="2"/>
      <c r="F903373" s="2"/>
      <c r="G903373" s="2"/>
      <c r="H903373" s="2"/>
    </row>
    <row r="903622" spans="3:8" ht="15.6" x14ac:dyDescent="0.25">
      <c r="C903622" s="2"/>
      <c r="D903622" s="2"/>
      <c r="E903622" s="2"/>
      <c r="F903622" s="2"/>
      <c r="G903622" s="2"/>
      <c r="H903622" s="2"/>
    </row>
    <row r="903871" spans="3:8" ht="15.6" x14ac:dyDescent="0.25">
      <c r="C903871" s="2"/>
      <c r="D903871" s="2"/>
      <c r="E903871" s="2"/>
      <c r="F903871" s="2"/>
      <c r="G903871" s="2"/>
      <c r="H903871" s="2"/>
    </row>
    <row r="904120" spans="3:8" ht="15.6" x14ac:dyDescent="0.25">
      <c r="C904120" s="2"/>
      <c r="D904120" s="2"/>
      <c r="E904120" s="2"/>
      <c r="F904120" s="2"/>
      <c r="G904120" s="2"/>
      <c r="H904120" s="2"/>
    </row>
    <row r="904369" spans="3:8" ht="15.6" x14ac:dyDescent="0.25">
      <c r="C904369" s="2"/>
      <c r="D904369" s="2"/>
      <c r="E904369" s="2"/>
      <c r="F904369" s="2"/>
      <c r="G904369" s="2"/>
      <c r="H904369" s="2"/>
    </row>
    <row r="904618" spans="3:8" ht="15.6" x14ac:dyDescent="0.25">
      <c r="C904618" s="2"/>
      <c r="D904618" s="2"/>
      <c r="E904618" s="2"/>
      <c r="F904618" s="2"/>
      <c r="G904618" s="2"/>
      <c r="H904618" s="2"/>
    </row>
    <row r="904867" spans="3:8" ht="15.6" x14ac:dyDescent="0.25">
      <c r="C904867" s="2"/>
      <c r="D904867" s="2"/>
      <c r="E904867" s="2"/>
      <c r="F904867" s="2"/>
      <c r="G904867" s="2"/>
      <c r="H904867" s="2"/>
    </row>
    <row r="905116" spans="3:8" ht="15.6" x14ac:dyDescent="0.25">
      <c r="C905116" s="2"/>
      <c r="D905116" s="2"/>
      <c r="E905116" s="2"/>
      <c r="F905116" s="2"/>
      <c r="G905116" s="2"/>
      <c r="H905116" s="2"/>
    </row>
    <row r="905365" spans="3:8" ht="15.6" x14ac:dyDescent="0.25">
      <c r="C905365" s="2"/>
      <c r="D905365" s="2"/>
      <c r="E905365" s="2"/>
      <c r="F905365" s="2"/>
      <c r="G905365" s="2"/>
      <c r="H905365" s="2"/>
    </row>
    <row r="905614" spans="3:8" ht="15.6" x14ac:dyDescent="0.25">
      <c r="C905614" s="2"/>
      <c r="D905614" s="2"/>
      <c r="E905614" s="2"/>
      <c r="F905614" s="2"/>
      <c r="G905614" s="2"/>
      <c r="H905614" s="2"/>
    </row>
    <row r="905863" spans="3:8" ht="15.6" x14ac:dyDescent="0.25">
      <c r="C905863" s="2"/>
      <c r="D905863" s="2"/>
      <c r="E905863" s="2"/>
      <c r="F905863" s="2"/>
      <c r="G905863" s="2"/>
      <c r="H905863" s="2"/>
    </row>
    <row r="906112" spans="3:8" ht="15.6" x14ac:dyDescent="0.25">
      <c r="C906112" s="2"/>
      <c r="D906112" s="2"/>
      <c r="E906112" s="2"/>
      <c r="F906112" s="2"/>
      <c r="G906112" s="2"/>
      <c r="H906112" s="2"/>
    </row>
    <row r="906361" spans="3:8" ht="15.6" x14ac:dyDescent="0.25">
      <c r="C906361" s="2"/>
      <c r="D906361" s="2"/>
      <c r="E906361" s="2"/>
      <c r="F906361" s="2"/>
      <c r="G906361" s="2"/>
      <c r="H906361" s="2"/>
    </row>
    <row r="906610" spans="3:8" ht="15.6" x14ac:dyDescent="0.25">
      <c r="C906610" s="2"/>
      <c r="D906610" s="2"/>
      <c r="E906610" s="2"/>
      <c r="F906610" s="2"/>
      <c r="G906610" s="2"/>
      <c r="H906610" s="2"/>
    </row>
    <row r="906859" spans="3:8" ht="15.6" x14ac:dyDescent="0.25">
      <c r="C906859" s="2"/>
      <c r="D906859" s="2"/>
      <c r="E906859" s="2"/>
      <c r="F906859" s="2"/>
      <c r="G906859" s="2"/>
      <c r="H906859" s="2"/>
    </row>
    <row r="907108" spans="3:8" ht="15.6" x14ac:dyDescent="0.25">
      <c r="C907108" s="2"/>
      <c r="D907108" s="2"/>
      <c r="E907108" s="2"/>
      <c r="F907108" s="2"/>
      <c r="G907108" s="2"/>
      <c r="H907108" s="2"/>
    </row>
    <row r="907357" spans="3:8" ht="15.6" x14ac:dyDescent="0.25">
      <c r="C907357" s="2"/>
      <c r="D907357" s="2"/>
      <c r="E907357" s="2"/>
      <c r="F907357" s="2"/>
      <c r="G907357" s="2"/>
      <c r="H907357" s="2"/>
    </row>
    <row r="907606" spans="3:8" ht="15.6" x14ac:dyDescent="0.25">
      <c r="C907606" s="2"/>
      <c r="D907606" s="2"/>
      <c r="E907606" s="2"/>
      <c r="F907606" s="2"/>
      <c r="G907606" s="2"/>
      <c r="H907606" s="2"/>
    </row>
    <row r="907855" spans="3:8" ht="15.6" x14ac:dyDescent="0.25">
      <c r="C907855" s="2"/>
      <c r="D907855" s="2"/>
      <c r="E907855" s="2"/>
      <c r="F907855" s="2"/>
      <c r="G907855" s="2"/>
      <c r="H907855" s="2"/>
    </row>
    <row r="908104" spans="3:8" ht="15.6" x14ac:dyDescent="0.25">
      <c r="C908104" s="2"/>
      <c r="D908104" s="2"/>
      <c r="E908104" s="2"/>
      <c r="F908104" s="2"/>
      <c r="G908104" s="2"/>
      <c r="H908104" s="2"/>
    </row>
    <row r="908353" spans="3:8" ht="15.6" x14ac:dyDescent="0.25">
      <c r="C908353" s="2"/>
      <c r="D908353" s="2"/>
      <c r="E908353" s="2"/>
      <c r="F908353" s="2"/>
      <c r="G908353" s="2"/>
      <c r="H908353" s="2"/>
    </row>
    <row r="908602" spans="3:8" ht="15.6" x14ac:dyDescent="0.25">
      <c r="C908602" s="2"/>
      <c r="D908602" s="2"/>
      <c r="E908602" s="2"/>
      <c r="F908602" s="2"/>
      <c r="G908602" s="2"/>
      <c r="H908602" s="2"/>
    </row>
    <row r="908851" spans="3:8" ht="15.6" x14ac:dyDescent="0.25">
      <c r="C908851" s="2"/>
      <c r="D908851" s="2"/>
      <c r="E908851" s="2"/>
      <c r="F908851" s="2"/>
      <c r="G908851" s="2"/>
      <c r="H908851" s="2"/>
    </row>
    <row r="909100" spans="3:8" ht="15.6" x14ac:dyDescent="0.25">
      <c r="C909100" s="2"/>
      <c r="D909100" s="2"/>
      <c r="E909100" s="2"/>
      <c r="F909100" s="2"/>
      <c r="G909100" s="2"/>
      <c r="H909100" s="2"/>
    </row>
    <row r="909349" spans="3:8" ht="15.6" x14ac:dyDescent="0.25">
      <c r="C909349" s="2"/>
      <c r="D909349" s="2"/>
      <c r="E909349" s="2"/>
      <c r="F909349" s="2"/>
      <c r="G909349" s="2"/>
      <c r="H909349" s="2"/>
    </row>
    <row r="909598" spans="3:8" ht="15.6" x14ac:dyDescent="0.25">
      <c r="C909598" s="2"/>
      <c r="D909598" s="2"/>
      <c r="E909598" s="2"/>
      <c r="F909598" s="2"/>
      <c r="G909598" s="2"/>
      <c r="H909598" s="2"/>
    </row>
    <row r="909847" spans="3:8" ht="15.6" x14ac:dyDescent="0.25">
      <c r="C909847" s="2"/>
      <c r="D909847" s="2"/>
      <c r="E909847" s="2"/>
      <c r="F909847" s="2"/>
      <c r="G909847" s="2"/>
      <c r="H909847" s="2"/>
    </row>
    <row r="910096" spans="3:8" ht="15.6" x14ac:dyDescent="0.25">
      <c r="C910096" s="2"/>
      <c r="D910096" s="2"/>
      <c r="E910096" s="2"/>
      <c r="F910096" s="2"/>
      <c r="G910096" s="2"/>
      <c r="H910096" s="2"/>
    </row>
    <row r="910345" spans="3:8" ht="15.6" x14ac:dyDescent="0.25">
      <c r="C910345" s="2"/>
      <c r="D910345" s="2"/>
      <c r="E910345" s="2"/>
      <c r="F910345" s="2"/>
      <c r="G910345" s="2"/>
      <c r="H910345" s="2"/>
    </row>
    <row r="910594" spans="3:8" ht="15.6" x14ac:dyDescent="0.25">
      <c r="C910594" s="2"/>
      <c r="D910594" s="2"/>
      <c r="E910594" s="2"/>
      <c r="F910594" s="2"/>
      <c r="G910594" s="2"/>
      <c r="H910594" s="2"/>
    </row>
    <row r="910843" spans="3:8" ht="15.6" x14ac:dyDescent="0.25">
      <c r="C910843" s="2"/>
      <c r="D910843" s="2"/>
      <c r="E910843" s="2"/>
      <c r="F910843" s="2"/>
      <c r="G910843" s="2"/>
      <c r="H910843" s="2"/>
    </row>
    <row r="911092" spans="3:8" ht="15.6" x14ac:dyDescent="0.25">
      <c r="C911092" s="2"/>
      <c r="D911092" s="2"/>
      <c r="E911092" s="2"/>
      <c r="F911092" s="2"/>
      <c r="G911092" s="2"/>
      <c r="H911092" s="2"/>
    </row>
    <row r="911341" spans="3:8" ht="15.6" x14ac:dyDescent="0.25">
      <c r="C911341" s="2"/>
      <c r="D911341" s="2"/>
      <c r="E911341" s="2"/>
      <c r="F911341" s="2"/>
      <c r="G911341" s="2"/>
      <c r="H911341" s="2"/>
    </row>
    <row r="911590" spans="3:8" ht="15.6" x14ac:dyDescent="0.25">
      <c r="C911590" s="2"/>
      <c r="D911590" s="2"/>
      <c r="E911590" s="2"/>
      <c r="F911590" s="2"/>
      <c r="G911590" s="2"/>
      <c r="H911590" s="2"/>
    </row>
    <row r="911839" spans="3:8" ht="15.6" x14ac:dyDescent="0.25">
      <c r="C911839" s="2"/>
      <c r="D911839" s="2"/>
      <c r="E911839" s="2"/>
      <c r="F911839" s="2"/>
      <c r="G911839" s="2"/>
      <c r="H911839" s="2"/>
    </row>
    <row r="912088" spans="3:8" ht="15.6" x14ac:dyDescent="0.25">
      <c r="C912088" s="2"/>
      <c r="D912088" s="2"/>
      <c r="E912088" s="2"/>
      <c r="F912088" s="2"/>
      <c r="G912088" s="2"/>
      <c r="H912088" s="2"/>
    </row>
    <row r="912337" spans="3:8" ht="15.6" x14ac:dyDescent="0.25">
      <c r="C912337" s="2"/>
      <c r="D912337" s="2"/>
      <c r="E912337" s="2"/>
      <c r="F912337" s="2"/>
      <c r="G912337" s="2"/>
      <c r="H912337" s="2"/>
    </row>
    <row r="912586" spans="3:8" ht="15.6" x14ac:dyDescent="0.25">
      <c r="C912586" s="2"/>
      <c r="D912586" s="2"/>
      <c r="E912586" s="2"/>
      <c r="F912586" s="2"/>
      <c r="G912586" s="2"/>
      <c r="H912586" s="2"/>
    </row>
    <row r="912835" spans="3:8" ht="15.6" x14ac:dyDescent="0.25">
      <c r="C912835" s="2"/>
      <c r="D912835" s="2"/>
      <c r="E912835" s="2"/>
      <c r="F912835" s="2"/>
      <c r="G912835" s="2"/>
      <c r="H912835" s="2"/>
    </row>
    <row r="913084" spans="3:8" ht="15.6" x14ac:dyDescent="0.25">
      <c r="C913084" s="2"/>
      <c r="D913084" s="2"/>
      <c r="E913084" s="2"/>
      <c r="F913084" s="2"/>
      <c r="G913084" s="2"/>
      <c r="H913084" s="2"/>
    </row>
    <row r="913333" spans="3:8" ht="15.6" x14ac:dyDescent="0.25">
      <c r="C913333" s="2"/>
      <c r="D913333" s="2"/>
      <c r="E913333" s="2"/>
      <c r="F913333" s="2"/>
      <c r="G913333" s="2"/>
      <c r="H913333" s="2"/>
    </row>
    <row r="913582" spans="3:8" ht="15.6" x14ac:dyDescent="0.25">
      <c r="C913582" s="2"/>
      <c r="D913582" s="2"/>
      <c r="E913582" s="2"/>
      <c r="F913582" s="2"/>
      <c r="G913582" s="2"/>
      <c r="H913582" s="2"/>
    </row>
    <row r="913831" spans="3:8" ht="15.6" x14ac:dyDescent="0.25">
      <c r="C913831" s="2"/>
      <c r="D913831" s="2"/>
      <c r="E913831" s="2"/>
      <c r="F913831" s="2"/>
      <c r="G913831" s="2"/>
      <c r="H913831" s="2"/>
    </row>
    <row r="914080" spans="3:8" ht="15.6" x14ac:dyDescent="0.25">
      <c r="C914080" s="2"/>
      <c r="D914080" s="2"/>
      <c r="E914080" s="2"/>
      <c r="F914080" s="2"/>
      <c r="G914080" s="2"/>
      <c r="H914080" s="2"/>
    </row>
    <row r="914329" spans="3:8" ht="15.6" x14ac:dyDescent="0.25">
      <c r="C914329" s="2"/>
      <c r="D914329" s="2"/>
      <c r="E914329" s="2"/>
      <c r="F914329" s="2"/>
      <c r="G914329" s="2"/>
      <c r="H914329" s="2"/>
    </row>
    <row r="914578" spans="3:8" ht="15.6" x14ac:dyDescent="0.25">
      <c r="C914578" s="2"/>
      <c r="D914578" s="2"/>
      <c r="E914578" s="2"/>
      <c r="F914578" s="2"/>
      <c r="G914578" s="2"/>
      <c r="H914578" s="2"/>
    </row>
    <row r="914827" spans="3:8" ht="15.6" x14ac:dyDescent="0.25">
      <c r="C914827" s="2"/>
      <c r="D914827" s="2"/>
      <c r="E914827" s="2"/>
      <c r="F914827" s="2"/>
      <c r="G914827" s="2"/>
      <c r="H914827" s="2"/>
    </row>
    <row r="915076" spans="3:8" ht="15.6" x14ac:dyDescent="0.25">
      <c r="C915076" s="2"/>
      <c r="D915076" s="2"/>
      <c r="E915076" s="2"/>
      <c r="F915076" s="2"/>
      <c r="G915076" s="2"/>
      <c r="H915076" s="2"/>
    </row>
    <row r="915325" spans="3:8" ht="15.6" x14ac:dyDescent="0.25">
      <c r="C915325" s="2"/>
      <c r="D915325" s="2"/>
      <c r="E915325" s="2"/>
      <c r="F915325" s="2"/>
      <c r="G915325" s="2"/>
      <c r="H915325" s="2"/>
    </row>
    <row r="915574" spans="3:8" ht="15.6" x14ac:dyDescent="0.25">
      <c r="C915574" s="2"/>
      <c r="D915574" s="2"/>
      <c r="E915574" s="2"/>
      <c r="F915574" s="2"/>
      <c r="G915574" s="2"/>
      <c r="H915574" s="2"/>
    </row>
    <row r="915823" spans="3:8" ht="15.6" x14ac:dyDescent="0.25">
      <c r="C915823" s="2"/>
      <c r="D915823" s="2"/>
      <c r="E915823" s="2"/>
      <c r="F915823" s="2"/>
      <c r="G915823" s="2"/>
      <c r="H915823" s="2"/>
    </row>
    <row r="916072" spans="3:8" ht="15.6" x14ac:dyDescent="0.25">
      <c r="C916072" s="2"/>
      <c r="D916072" s="2"/>
      <c r="E916072" s="2"/>
      <c r="F916072" s="2"/>
      <c r="G916072" s="2"/>
      <c r="H916072" s="2"/>
    </row>
    <row r="916321" spans="3:8" ht="15.6" x14ac:dyDescent="0.25">
      <c r="C916321" s="2"/>
      <c r="D916321" s="2"/>
      <c r="E916321" s="2"/>
      <c r="F916321" s="2"/>
      <c r="G916321" s="2"/>
      <c r="H916321" s="2"/>
    </row>
    <row r="916570" spans="3:8" ht="15.6" x14ac:dyDescent="0.25">
      <c r="C916570" s="2"/>
      <c r="D916570" s="2"/>
      <c r="E916570" s="2"/>
      <c r="F916570" s="2"/>
      <c r="G916570" s="2"/>
      <c r="H916570" s="2"/>
    </row>
    <row r="916819" spans="3:8" ht="15.6" x14ac:dyDescent="0.25">
      <c r="C916819" s="2"/>
      <c r="D916819" s="2"/>
      <c r="E916819" s="2"/>
      <c r="F916819" s="2"/>
      <c r="G916819" s="2"/>
      <c r="H916819" s="2"/>
    </row>
    <row r="917068" spans="3:8" ht="15.6" x14ac:dyDescent="0.25">
      <c r="C917068" s="2"/>
      <c r="D917068" s="2"/>
      <c r="E917068" s="2"/>
      <c r="F917068" s="2"/>
      <c r="G917068" s="2"/>
      <c r="H917068" s="2"/>
    </row>
    <row r="917317" spans="3:8" ht="15.6" x14ac:dyDescent="0.25">
      <c r="C917317" s="2"/>
      <c r="D917317" s="2"/>
      <c r="E917317" s="2"/>
      <c r="F917317" s="2"/>
      <c r="G917317" s="2"/>
      <c r="H917317" s="2"/>
    </row>
    <row r="917566" spans="3:8" ht="15.6" x14ac:dyDescent="0.25">
      <c r="C917566" s="2"/>
      <c r="D917566" s="2"/>
      <c r="E917566" s="2"/>
      <c r="F917566" s="2"/>
      <c r="G917566" s="2"/>
      <c r="H917566" s="2"/>
    </row>
    <row r="917815" spans="3:8" ht="15.6" x14ac:dyDescent="0.25">
      <c r="C917815" s="2"/>
      <c r="D917815" s="2"/>
      <c r="E917815" s="2"/>
      <c r="F917815" s="2"/>
      <c r="G917815" s="2"/>
      <c r="H917815" s="2"/>
    </row>
    <row r="918064" spans="3:8" ht="15.6" x14ac:dyDescent="0.25">
      <c r="C918064" s="2"/>
      <c r="D918064" s="2"/>
      <c r="E918064" s="2"/>
      <c r="F918064" s="2"/>
      <c r="G918064" s="2"/>
      <c r="H918064" s="2"/>
    </row>
    <row r="918313" spans="3:8" ht="15.6" x14ac:dyDescent="0.25">
      <c r="C918313" s="2"/>
      <c r="D918313" s="2"/>
      <c r="E918313" s="2"/>
      <c r="F918313" s="2"/>
      <c r="G918313" s="2"/>
      <c r="H918313" s="2"/>
    </row>
    <row r="918562" spans="3:8" ht="15.6" x14ac:dyDescent="0.25">
      <c r="C918562" s="2"/>
      <c r="D918562" s="2"/>
      <c r="E918562" s="2"/>
      <c r="F918562" s="2"/>
      <c r="G918562" s="2"/>
      <c r="H918562" s="2"/>
    </row>
    <row r="918811" spans="3:8" ht="15.6" x14ac:dyDescent="0.25">
      <c r="C918811" s="2"/>
      <c r="D918811" s="2"/>
      <c r="E918811" s="2"/>
      <c r="F918811" s="2"/>
      <c r="G918811" s="2"/>
      <c r="H918811" s="2"/>
    </row>
    <row r="919060" spans="3:8" ht="15.6" x14ac:dyDescent="0.25">
      <c r="C919060" s="2"/>
      <c r="D919060" s="2"/>
      <c r="E919060" s="2"/>
      <c r="F919060" s="2"/>
      <c r="G919060" s="2"/>
      <c r="H919060" s="2"/>
    </row>
    <row r="919309" spans="3:8" ht="15.6" x14ac:dyDescent="0.25">
      <c r="C919309" s="2"/>
      <c r="D919309" s="2"/>
      <c r="E919309" s="2"/>
      <c r="F919309" s="2"/>
      <c r="G919309" s="2"/>
      <c r="H919309" s="2"/>
    </row>
    <row r="919558" spans="3:8" ht="15.6" x14ac:dyDescent="0.25">
      <c r="C919558" s="2"/>
      <c r="D919558" s="2"/>
      <c r="E919558" s="2"/>
      <c r="F919558" s="2"/>
      <c r="G919558" s="2"/>
      <c r="H919558" s="2"/>
    </row>
    <row r="919807" spans="3:8" ht="15.6" x14ac:dyDescent="0.25">
      <c r="C919807" s="2"/>
      <c r="D919807" s="2"/>
      <c r="E919807" s="2"/>
      <c r="F919807" s="2"/>
      <c r="G919807" s="2"/>
      <c r="H919807" s="2"/>
    </row>
    <row r="920056" spans="3:8" ht="15.6" x14ac:dyDescent="0.25">
      <c r="C920056" s="2"/>
      <c r="D920056" s="2"/>
      <c r="E920056" s="2"/>
      <c r="F920056" s="2"/>
      <c r="G920056" s="2"/>
      <c r="H920056" s="2"/>
    </row>
    <row r="920305" spans="3:8" ht="15.6" x14ac:dyDescent="0.25">
      <c r="C920305" s="2"/>
      <c r="D920305" s="2"/>
      <c r="E920305" s="2"/>
      <c r="F920305" s="2"/>
      <c r="G920305" s="2"/>
      <c r="H920305" s="2"/>
    </row>
    <row r="920554" spans="3:8" ht="15.6" x14ac:dyDescent="0.25">
      <c r="C920554" s="2"/>
      <c r="D920554" s="2"/>
      <c r="E920554" s="2"/>
      <c r="F920554" s="2"/>
      <c r="G920554" s="2"/>
      <c r="H920554" s="2"/>
    </row>
    <row r="920803" spans="3:8" ht="15.6" x14ac:dyDescent="0.25">
      <c r="C920803" s="2"/>
      <c r="D920803" s="2"/>
      <c r="E920803" s="2"/>
      <c r="F920803" s="2"/>
      <c r="G920803" s="2"/>
      <c r="H920803" s="2"/>
    </row>
    <row r="921052" spans="3:8" ht="15.6" x14ac:dyDescent="0.25">
      <c r="C921052" s="2"/>
      <c r="D921052" s="2"/>
      <c r="E921052" s="2"/>
      <c r="F921052" s="2"/>
      <c r="G921052" s="2"/>
      <c r="H921052" s="2"/>
    </row>
    <row r="921301" spans="3:8" ht="15.6" x14ac:dyDescent="0.25">
      <c r="C921301" s="2"/>
      <c r="D921301" s="2"/>
      <c r="E921301" s="2"/>
      <c r="F921301" s="2"/>
      <c r="G921301" s="2"/>
      <c r="H921301" s="2"/>
    </row>
    <row r="921550" spans="3:8" ht="15.6" x14ac:dyDescent="0.25">
      <c r="C921550" s="2"/>
      <c r="D921550" s="2"/>
      <c r="E921550" s="2"/>
      <c r="F921550" s="2"/>
      <c r="G921550" s="2"/>
      <c r="H921550" s="2"/>
    </row>
    <row r="921799" spans="3:8" ht="15.6" x14ac:dyDescent="0.25">
      <c r="C921799" s="2"/>
      <c r="D921799" s="2"/>
      <c r="E921799" s="2"/>
      <c r="F921799" s="2"/>
      <c r="G921799" s="2"/>
      <c r="H921799" s="2"/>
    </row>
    <row r="922048" spans="3:8" ht="15.6" x14ac:dyDescent="0.25">
      <c r="C922048" s="2"/>
      <c r="D922048" s="2"/>
      <c r="E922048" s="2"/>
      <c r="F922048" s="2"/>
      <c r="G922048" s="2"/>
      <c r="H922048" s="2"/>
    </row>
    <row r="922297" spans="3:8" ht="15.6" x14ac:dyDescent="0.25">
      <c r="C922297" s="2"/>
      <c r="D922297" s="2"/>
      <c r="E922297" s="2"/>
      <c r="F922297" s="2"/>
      <c r="G922297" s="2"/>
      <c r="H922297" s="2"/>
    </row>
    <row r="922546" spans="3:8" ht="15.6" x14ac:dyDescent="0.25">
      <c r="C922546" s="2"/>
      <c r="D922546" s="2"/>
      <c r="E922546" s="2"/>
      <c r="F922546" s="2"/>
      <c r="G922546" s="2"/>
      <c r="H922546" s="2"/>
    </row>
    <row r="922795" spans="3:8" ht="15.6" x14ac:dyDescent="0.25">
      <c r="C922795" s="2"/>
      <c r="D922795" s="2"/>
      <c r="E922795" s="2"/>
      <c r="F922795" s="2"/>
      <c r="G922795" s="2"/>
      <c r="H922795" s="2"/>
    </row>
    <row r="923044" spans="3:8" ht="15.6" x14ac:dyDescent="0.25">
      <c r="C923044" s="2"/>
      <c r="D923044" s="2"/>
      <c r="E923044" s="2"/>
      <c r="F923044" s="2"/>
      <c r="G923044" s="2"/>
      <c r="H923044" s="2"/>
    </row>
    <row r="923293" spans="3:8" ht="15.6" x14ac:dyDescent="0.25">
      <c r="C923293" s="2"/>
      <c r="D923293" s="2"/>
      <c r="E923293" s="2"/>
      <c r="F923293" s="2"/>
      <c r="G923293" s="2"/>
      <c r="H923293" s="2"/>
    </row>
    <row r="923542" spans="3:8" ht="15.6" x14ac:dyDescent="0.25">
      <c r="C923542" s="2"/>
      <c r="D923542" s="2"/>
      <c r="E923542" s="2"/>
      <c r="F923542" s="2"/>
      <c r="G923542" s="2"/>
      <c r="H923542" s="2"/>
    </row>
    <row r="923791" spans="3:8" ht="15.6" x14ac:dyDescent="0.25">
      <c r="C923791" s="2"/>
      <c r="D923791" s="2"/>
      <c r="E923791" s="2"/>
      <c r="F923791" s="2"/>
      <c r="G923791" s="2"/>
      <c r="H923791" s="2"/>
    </row>
    <row r="924040" spans="3:8" ht="15.6" x14ac:dyDescent="0.25">
      <c r="C924040" s="2"/>
      <c r="D924040" s="2"/>
      <c r="E924040" s="2"/>
      <c r="F924040" s="2"/>
      <c r="G924040" s="2"/>
      <c r="H924040" s="2"/>
    </row>
    <row r="924289" spans="3:8" ht="15.6" x14ac:dyDescent="0.25">
      <c r="C924289" s="2"/>
      <c r="D924289" s="2"/>
      <c r="E924289" s="2"/>
      <c r="F924289" s="2"/>
      <c r="G924289" s="2"/>
      <c r="H924289" s="2"/>
    </row>
    <row r="924538" spans="3:8" ht="15.6" x14ac:dyDescent="0.25">
      <c r="C924538" s="2"/>
      <c r="D924538" s="2"/>
      <c r="E924538" s="2"/>
      <c r="F924538" s="2"/>
      <c r="G924538" s="2"/>
      <c r="H924538" s="2"/>
    </row>
    <row r="924787" spans="3:8" ht="15.6" x14ac:dyDescent="0.25">
      <c r="C924787" s="2"/>
      <c r="D924787" s="2"/>
      <c r="E924787" s="2"/>
      <c r="F924787" s="2"/>
      <c r="G924787" s="2"/>
      <c r="H924787" s="2"/>
    </row>
    <row r="925036" spans="3:8" ht="15.6" x14ac:dyDescent="0.25">
      <c r="C925036" s="2"/>
      <c r="D925036" s="2"/>
      <c r="E925036" s="2"/>
      <c r="F925036" s="2"/>
      <c r="G925036" s="2"/>
      <c r="H925036" s="2"/>
    </row>
    <row r="925285" spans="3:8" ht="15.6" x14ac:dyDescent="0.25">
      <c r="C925285" s="2"/>
      <c r="D925285" s="2"/>
      <c r="E925285" s="2"/>
      <c r="F925285" s="2"/>
      <c r="G925285" s="2"/>
      <c r="H925285" s="2"/>
    </row>
    <row r="925534" spans="3:8" ht="15.6" x14ac:dyDescent="0.25">
      <c r="C925534" s="2"/>
      <c r="D925534" s="2"/>
      <c r="E925534" s="2"/>
      <c r="F925534" s="2"/>
      <c r="G925534" s="2"/>
      <c r="H925534" s="2"/>
    </row>
    <row r="925783" spans="3:8" ht="15.6" x14ac:dyDescent="0.25">
      <c r="C925783" s="2"/>
      <c r="D925783" s="2"/>
      <c r="E925783" s="2"/>
      <c r="F925783" s="2"/>
      <c r="G925783" s="2"/>
      <c r="H925783" s="2"/>
    </row>
    <row r="926032" spans="3:8" ht="15.6" x14ac:dyDescent="0.25">
      <c r="C926032" s="2"/>
      <c r="D926032" s="2"/>
      <c r="E926032" s="2"/>
      <c r="F926032" s="2"/>
      <c r="G926032" s="2"/>
      <c r="H926032" s="2"/>
    </row>
    <row r="926281" spans="3:8" ht="15.6" x14ac:dyDescent="0.25">
      <c r="C926281" s="2"/>
      <c r="D926281" s="2"/>
      <c r="E926281" s="2"/>
      <c r="F926281" s="2"/>
      <c r="G926281" s="2"/>
      <c r="H926281" s="2"/>
    </row>
    <row r="926530" spans="3:8" ht="15.6" x14ac:dyDescent="0.25">
      <c r="C926530" s="2"/>
      <c r="D926530" s="2"/>
      <c r="E926530" s="2"/>
      <c r="F926530" s="2"/>
      <c r="G926530" s="2"/>
      <c r="H926530" s="2"/>
    </row>
    <row r="926779" spans="3:8" ht="15.6" x14ac:dyDescent="0.25">
      <c r="C926779" s="2"/>
      <c r="D926779" s="2"/>
      <c r="E926779" s="2"/>
      <c r="F926779" s="2"/>
      <c r="G926779" s="2"/>
      <c r="H926779" s="2"/>
    </row>
    <row r="927028" spans="3:8" ht="15.6" x14ac:dyDescent="0.25">
      <c r="C927028" s="2"/>
      <c r="D927028" s="2"/>
      <c r="E927028" s="2"/>
      <c r="F927028" s="2"/>
      <c r="G927028" s="2"/>
      <c r="H927028" s="2"/>
    </row>
    <row r="927277" spans="3:8" ht="15.6" x14ac:dyDescent="0.25">
      <c r="C927277" s="2"/>
      <c r="D927277" s="2"/>
      <c r="E927277" s="2"/>
      <c r="F927277" s="2"/>
      <c r="G927277" s="2"/>
      <c r="H927277" s="2"/>
    </row>
    <row r="927526" spans="3:8" ht="15.6" x14ac:dyDescent="0.25">
      <c r="C927526" s="2"/>
      <c r="D927526" s="2"/>
      <c r="E927526" s="2"/>
      <c r="F927526" s="2"/>
      <c r="G927526" s="2"/>
      <c r="H927526" s="2"/>
    </row>
    <row r="927775" spans="3:8" ht="15.6" x14ac:dyDescent="0.25">
      <c r="C927775" s="2"/>
      <c r="D927775" s="2"/>
      <c r="E927775" s="2"/>
      <c r="F927775" s="2"/>
      <c r="G927775" s="2"/>
      <c r="H927775" s="2"/>
    </row>
    <row r="928024" spans="3:8" ht="15.6" x14ac:dyDescent="0.25">
      <c r="C928024" s="2"/>
      <c r="D928024" s="2"/>
      <c r="E928024" s="2"/>
      <c r="F928024" s="2"/>
      <c r="G928024" s="2"/>
      <c r="H928024" s="2"/>
    </row>
    <row r="928273" spans="3:8" ht="15.6" x14ac:dyDescent="0.25">
      <c r="C928273" s="2"/>
      <c r="D928273" s="2"/>
      <c r="E928273" s="2"/>
      <c r="F928273" s="2"/>
      <c r="G928273" s="2"/>
      <c r="H928273" s="2"/>
    </row>
    <row r="928522" spans="3:8" ht="15.6" x14ac:dyDescent="0.25">
      <c r="C928522" s="2"/>
      <c r="D928522" s="2"/>
      <c r="E928522" s="2"/>
      <c r="F928522" s="2"/>
      <c r="G928522" s="2"/>
      <c r="H928522" s="2"/>
    </row>
    <row r="928771" spans="3:8" ht="15.6" x14ac:dyDescent="0.25">
      <c r="C928771" s="2"/>
      <c r="D928771" s="2"/>
      <c r="E928771" s="2"/>
      <c r="F928771" s="2"/>
      <c r="G928771" s="2"/>
      <c r="H928771" s="2"/>
    </row>
    <row r="929020" spans="3:8" ht="15.6" x14ac:dyDescent="0.25">
      <c r="C929020" s="2"/>
      <c r="D929020" s="2"/>
      <c r="E929020" s="2"/>
      <c r="F929020" s="2"/>
      <c r="G929020" s="2"/>
      <c r="H929020" s="2"/>
    </row>
    <row r="929269" spans="3:8" ht="15.6" x14ac:dyDescent="0.25">
      <c r="C929269" s="2"/>
      <c r="D929269" s="2"/>
      <c r="E929269" s="2"/>
      <c r="F929269" s="2"/>
      <c r="G929269" s="2"/>
      <c r="H929269" s="2"/>
    </row>
    <row r="929518" spans="3:8" ht="15.6" x14ac:dyDescent="0.25">
      <c r="C929518" s="2"/>
      <c r="D929518" s="2"/>
      <c r="E929518" s="2"/>
      <c r="F929518" s="2"/>
      <c r="G929518" s="2"/>
      <c r="H929518" s="2"/>
    </row>
    <row r="929767" spans="3:8" ht="15.6" x14ac:dyDescent="0.25">
      <c r="C929767" s="2"/>
      <c r="D929767" s="2"/>
      <c r="E929767" s="2"/>
      <c r="F929767" s="2"/>
      <c r="G929767" s="2"/>
      <c r="H929767" s="2"/>
    </row>
    <row r="930016" spans="3:8" ht="15.6" x14ac:dyDescent="0.25">
      <c r="C930016" s="2"/>
      <c r="D930016" s="2"/>
      <c r="E930016" s="2"/>
      <c r="F930016" s="2"/>
      <c r="G930016" s="2"/>
      <c r="H930016" s="2"/>
    </row>
    <row r="930265" spans="3:8" ht="15.6" x14ac:dyDescent="0.25">
      <c r="C930265" s="2"/>
      <c r="D930265" s="2"/>
      <c r="E930265" s="2"/>
      <c r="F930265" s="2"/>
      <c r="G930265" s="2"/>
      <c r="H930265" s="2"/>
    </row>
    <row r="930514" spans="3:8" ht="15.6" x14ac:dyDescent="0.25">
      <c r="C930514" s="2"/>
      <c r="D930514" s="2"/>
      <c r="E930514" s="2"/>
      <c r="F930514" s="2"/>
      <c r="G930514" s="2"/>
      <c r="H930514" s="2"/>
    </row>
    <row r="930763" spans="3:8" ht="15.6" x14ac:dyDescent="0.25">
      <c r="C930763" s="2"/>
      <c r="D930763" s="2"/>
      <c r="E930763" s="2"/>
      <c r="F930763" s="2"/>
      <c r="G930763" s="2"/>
      <c r="H930763" s="2"/>
    </row>
    <row r="931012" spans="3:8" ht="15.6" x14ac:dyDescent="0.25">
      <c r="C931012" s="2"/>
      <c r="D931012" s="2"/>
      <c r="E931012" s="2"/>
      <c r="F931012" s="2"/>
      <c r="G931012" s="2"/>
      <c r="H931012" s="2"/>
    </row>
    <row r="931261" spans="3:8" ht="15.6" x14ac:dyDescent="0.25">
      <c r="C931261" s="2"/>
      <c r="D931261" s="2"/>
      <c r="E931261" s="2"/>
      <c r="F931261" s="2"/>
      <c r="G931261" s="2"/>
      <c r="H931261" s="2"/>
    </row>
    <row r="931510" spans="3:8" ht="15.6" x14ac:dyDescent="0.25">
      <c r="C931510" s="2"/>
      <c r="D931510" s="2"/>
      <c r="E931510" s="2"/>
      <c r="F931510" s="2"/>
      <c r="G931510" s="2"/>
      <c r="H931510" s="2"/>
    </row>
    <row r="931759" spans="3:8" ht="15.6" x14ac:dyDescent="0.25">
      <c r="C931759" s="2"/>
      <c r="D931759" s="2"/>
      <c r="E931759" s="2"/>
      <c r="F931759" s="2"/>
      <c r="G931759" s="2"/>
      <c r="H931759" s="2"/>
    </row>
    <row r="932008" spans="3:8" ht="15.6" x14ac:dyDescent="0.25">
      <c r="C932008" s="2"/>
      <c r="D932008" s="2"/>
      <c r="E932008" s="2"/>
      <c r="F932008" s="2"/>
      <c r="G932008" s="2"/>
      <c r="H932008" s="2"/>
    </row>
    <row r="932257" spans="3:8" ht="15.6" x14ac:dyDescent="0.25">
      <c r="C932257" s="2"/>
      <c r="D932257" s="2"/>
      <c r="E932257" s="2"/>
      <c r="F932257" s="2"/>
      <c r="G932257" s="2"/>
      <c r="H932257" s="2"/>
    </row>
    <row r="932506" spans="3:8" ht="15.6" x14ac:dyDescent="0.25">
      <c r="C932506" s="2"/>
      <c r="D932506" s="2"/>
      <c r="E932506" s="2"/>
      <c r="F932506" s="2"/>
      <c r="G932506" s="2"/>
      <c r="H932506" s="2"/>
    </row>
    <row r="932755" spans="3:8" ht="15.6" x14ac:dyDescent="0.25">
      <c r="C932755" s="2"/>
      <c r="D932755" s="2"/>
      <c r="E932755" s="2"/>
      <c r="F932755" s="2"/>
      <c r="G932755" s="2"/>
      <c r="H932755" s="2"/>
    </row>
    <row r="933004" spans="3:8" ht="15.6" x14ac:dyDescent="0.25">
      <c r="C933004" s="2"/>
      <c r="D933004" s="2"/>
      <c r="E933004" s="2"/>
      <c r="F933004" s="2"/>
      <c r="G933004" s="2"/>
      <c r="H933004" s="2"/>
    </row>
    <row r="933253" spans="3:8" ht="15.6" x14ac:dyDescent="0.25">
      <c r="C933253" s="2"/>
      <c r="D933253" s="2"/>
      <c r="E933253" s="2"/>
      <c r="F933253" s="2"/>
      <c r="G933253" s="2"/>
      <c r="H933253" s="2"/>
    </row>
    <row r="933502" spans="3:8" ht="15.6" x14ac:dyDescent="0.25">
      <c r="C933502" s="2"/>
      <c r="D933502" s="2"/>
      <c r="E933502" s="2"/>
      <c r="F933502" s="2"/>
      <c r="G933502" s="2"/>
      <c r="H933502" s="2"/>
    </row>
    <row r="933751" spans="3:8" ht="15.6" x14ac:dyDescent="0.25">
      <c r="C933751" s="2"/>
      <c r="D933751" s="2"/>
      <c r="E933751" s="2"/>
      <c r="F933751" s="2"/>
      <c r="G933751" s="2"/>
      <c r="H933751" s="2"/>
    </row>
    <row r="934000" spans="3:8" ht="15.6" x14ac:dyDescent="0.25">
      <c r="C934000" s="2"/>
      <c r="D934000" s="2"/>
      <c r="E934000" s="2"/>
      <c r="F934000" s="2"/>
      <c r="G934000" s="2"/>
      <c r="H934000" s="2"/>
    </row>
    <row r="934249" spans="3:8" ht="15.6" x14ac:dyDescent="0.25">
      <c r="C934249" s="2"/>
      <c r="D934249" s="2"/>
      <c r="E934249" s="2"/>
      <c r="F934249" s="2"/>
      <c r="G934249" s="2"/>
      <c r="H934249" s="2"/>
    </row>
    <row r="934498" spans="3:8" ht="15.6" x14ac:dyDescent="0.25">
      <c r="C934498" s="2"/>
      <c r="D934498" s="2"/>
      <c r="E934498" s="2"/>
      <c r="F934498" s="2"/>
      <c r="G934498" s="2"/>
      <c r="H934498" s="2"/>
    </row>
    <row r="934747" spans="3:8" ht="15.6" x14ac:dyDescent="0.25">
      <c r="C934747" s="2"/>
      <c r="D934747" s="2"/>
      <c r="E934747" s="2"/>
      <c r="F934747" s="2"/>
      <c r="G934747" s="2"/>
      <c r="H934747" s="2"/>
    </row>
    <row r="934996" spans="3:8" ht="15.6" x14ac:dyDescent="0.25">
      <c r="C934996" s="2"/>
      <c r="D934996" s="2"/>
      <c r="E934996" s="2"/>
      <c r="F934996" s="2"/>
      <c r="G934996" s="2"/>
      <c r="H934996" s="2"/>
    </row>
    <row r="935245" spans="3:8" ht="15.6" x14ac:dyDescent="0.25">
      <c r="C935245" s="2"/>
      <c r="D935245" s="2"/>
      <c r="E935245" s="2"/>
      <c r="F935245" s="2"/>
      <c r="G935245" s="2"/>
      <c r="H935245" s="2"/>
    </row>
    <row r="935494" spans="3:8" ht="15.6" x14ac:dyDescent="0.25">
      <c r="C935494" s="2"/>
      <c r="D935494" s="2"/>
      <c r="E935494" s="2"/>
      <c r="F935494" s="2"/>
      <c r="G935494" s="2"/>
      <c r="H935494" s="2"/>
    </row>
    <row r="935743" spans="3:8" ht="15.6" x14ac:dyDescent="0.25">
      <c r="C935743" s="2"/>
      <c r="D935743" s="2"/>
      <c r="E935743" s="2"/>
      <c r="F935743" s="2"/>
      <c r="G935743" s="2"/>
      <c r="H935743" s="2"/>
    </row>
    <row r="935992" spans="3:8" ht="15.6" x14ac:dyDescent="0.25">
      <c r="C935992" s="2"/>
      <c r="D935992" s="2"/>
      <c r="E935992" s="2"/>
      <c r="F935992" s="2"/>
      <c r="G935992" s="2"/>
      <c r="H935992" s="2"/>
    </row>
    <row r="936241" spans="3:8" ht="15.6" x14ac:dyDescent="0.25">
      <c r="C936241" s="2"/>
      <c r="D936241" s="2"/>
      <c r="E936241" s="2"/>
      <c r="F936241" s="2"/>
      <c r="G936241" s="2"/>
      <c r="H936241" s="2"/>
    </row>
    <row r="936490" spans="3:8" ht="15.6" x14ac:dyDescent="0.25">
      <c r="C936490" s="2"/>
      <c r="D936490" s="2"/>
      <c r="E936490" s="2"/>
      <c r="F936490" s="2"/>
      <c r="G936490" s="2"/>
      <c r="H936490" s="2"/>
    </row>
    <row r="936739" spans="3:8" ht="15.6" x14ac:dyDescent="0.25">
      <c r="C936739" s="2"/>
      <c r="D936739" s="2"/>
      <c r="E936739" s="2"/>
      <c r="F936739" s="2"/>
      <c r="G936739" s="2"/>
      <c r="H936739" s="2"/>
    </row>
    <row r="936988" spans="3:8" ht="15.6" x14ac:dyDescent="0.25">
      <c r="C936988" s="2"/>
      <c r="D936988" s="2"/>
      <c r="E936988" s="2"/>
      <c r="F936988" s="2"/>
      <c r="G936988" s="2"/>
      <c r="H936988" s="2"/>
    </row>
    <row r="937237" spans="3:8" ht="15.6" x14ac:dyDescent="0.25">
      <c r="C937237" s="2"/>
      <c r="D937237" s="2"/>
      <c r="E937237" s="2"/>
      <c r="F937237" s="2"/>
      <c r="G937237" s="2"/>
      <c r="H937237" s="2"/>
    </row>
    <row r="937486" spans="3:8" ht="15.6" x14ac:dyDescent="0.25">
      <c r="C937486" s="2"/>
      <c r="D937486" s="2"/>
      <c r="E937486" s="2"/>
      <c r="F937486" s="2"/>
      <c r="G937486" s="2"/>
      <c r="H937486" s="2"/>
    </row>
    <row r="937735" spans="3:8" ht="15.6" x14ac:dyDescent="0.25">
      <c r="C937735" s="2"/>
      <c r="D937735" s="2"/>
      <c r="E937735" s="2"/>
      <c r="F937735" s="2"/>
      <c r="G937735" s="2"/>
      <c r="H937735" s="2"/>
    </row>
    <row r="937984" spans="3:8" ht="15.6" x14ac:dyDescent="0.25">
      <c r="C937984" s="2"/>
      <c r="D937984" s="2"/>
      <c r="E937984" s="2"/>
      <c r="F937984" s="2"/>
      <c r="G937984" s="2"/>
      <c r="H937984" s="2"/>
    </row>
    <row r="938233" spans="3:8" ht="15.6" x14ac:dyDescent="0.25">
      <c r="C938233" s="2"/>
      <c r="D938233" s="2"/>
      <c r="E938233" s="2"/>
      <c r="F938233" s="2"/>
      <c r="G938233" s="2"/>
      <c r="H938233" s="2"/>
    </row>
    <row r="938482" spans="3:8" ht="15.6" x14ac:dyDescent="0.25">
      <c r="C938482" s="2"/>
      <c r="D938482" s="2"/>
      <c r="E938482" s="2"/>
      <c r="F938482" s="2"/>
      <c r="G938482" s="2"/>
      <c r="H938482" s="2"/>
    </row>
    <row r="938731" spans="3:8" ht="15.6" x14ac:dyDescent="0.25">
      <c r="C938731" s="2"/>
      <c r="D938731" s="2"/>
      <c r="E938731" s="2"/>
      <c r="F938731" s="2"/>
      <c r="G938731" s="2"/>
      <c r="H938731" s="2"/>
    </row>
    <row r="938980" spans="3:8" ht="15.6" x14ac:dyDescent="0.25">
      <c r="C938980" s="2"/>
      <c r="D938980" s="2"/>
      <c r="E938980" s="2"/>
      <c r="F938980" s="2"/>
      <c r="G938980" s="2"/>
      <c r="H938980" s="2"/>
    </row>
    <row r="939229" spans="3:8" ht="15.6" x14ac:dyDescent="0.25">
      <c r="C939229" s="2"/>
      <c r="D939229" s="2"/>
      <c r="E939229" s="2"/>
      <c r="F939229" s="2"/>
      <c r="G939229" s="2"/>
      <c r="H939229" s="2"/>
    </row>
    <row r="939478" spans="3:8" ht="15.6" x14ac:dyDescent="0.25">
      <c r="C939478" s="2"/>
      <c r="D939478" s="2"/>
      <c r="E939478" s="2"/>
      <c r="F939478" s="2"/>
      <c r="G939478" s="2"/>
      <c r="H939478" s="2"/>
    </row>
    <row r="939727" spans="3:8" ht="15.6" x14ac:dyDescent="0.25">
      <c r="C939727" s="2"/>
      <c r="D939727" s="2"/>
      <c r="E939727" s="2"/>
      <c r="F939727" s="2"/>
      <c r="G939727" s="2"/>
      <c r="H939727" s="2"/>
    </row>
    <row r="939976" spans="3:8" ht="15.6" x14ac:dyDescent="0.25">
      <c r="C939976" s="2"/>
      <c r="D939976" s="2"/>
      <c r="E939976" s="2"/>
      <c r="F939976" s="2"/>
      <c r="G939976" s="2"/>
      <c r="H939976" s="2"/>
    </row>
    <row r="940225" spans="3:8" ht="15.6" x14ac:dyDescent="0.25">
      <c r="C940225" s="2"/>
      <c r="D940225" s="2"/>
      <c r="E940225" s="2"/>
      <c r="F940225" s="2"/>
      <c r="G940225" s="2"/>
      <c r="H940225" s="2"/>
    </row>
    <row r="940474" spans="3:8" ht="15.6" x14ac:dyDescent="0.25">
      <c r="C940474" s="2"/>
      <c r="D940474" s="2"/>
      <c r="E940474" s="2"/>
      <c r="F940474" s="2"/>
      <c r="G940474" s="2"/>
      <c r="H940474" s="2"/>
    </row>
    <row r="940723" spans="3:8" ht="15.6" x14ac:dyDescent="0.25">
      <c r="C940723" s="2"/>
      <c r="D940723" s="2"/>
      <c r="E940723" s="2"/>
      <c r="F940723" s="2"/>
      <c r="G940723" s="2"/>
      <c r="H940723" s="2"/>
    </row>
    <row r="940972" spans="3:8" ht="15.6" x14ac:dyDescent="0.25">
      <c r="C940972" s="2"/>
      <c r="D940972" s="2"/>
      <c r="E940972" s="2"/>
      <c r="F940972" s="2"/>
      <c r="G940972" s="2"/>
      <c r="H940972" s="2"/>
    </row>
    <row r="941221" spans="3:8" ht="15.6" x14ac:dyDescent="0.25">
      <c r="C941221" s="2"/>
      <c r="D941221" s="2"/>
      <c r="E941221" s="2"/>
      <c r="F941221" s="2"/>
      <c r="G941221" s="2"/>
      <c r="H941221" s="2"/>
    </row>
    <row r="941470" spans="3:8" ht="15.6" x14ac:dyDescent="0.25">
      <c r="C941470" s="2"/>
      <c r="D941470" s="2"/>
      <c r="E941470" s="2"/>
      <c r="F941470" s="2"/>
      <c r="G941470" s="2"/>
      <c r="H941470" s="2"/>
    </row>
    <row r="941719" spans="3:8" ht="15.6" x14ac:dyDescent="0.25">
      <c r="C941719" s="2"/>
      <c r="D941719" s="2"/>
      <c r="E941719" s="2"/>
      <c r="F941719" s="2"/>
      <c r="G941719" s="2"/>
      <c r="H941719" s="2"/>
    </row>
    <row r="941968" spans="3:8" ht="15.6" x14ac:dyDescent="0.25">
      <c r="C941968" s="2"/>
      <c r="D941968" s="2"/>
      <c r="E941968" s="2"/>
      <c r="F941968" s="2"/>
      <c r="G941968" s="2"/>
      <c r="H941968" s="2"/>
    </row>
    <row r="942217" spans="3:8" ht="15.6" x14ac:dyDescent="0.25">
      <c r="C942217" s="2"/>
      <c r="D942217" s="2"/>
      <c r="E942217" s="2"/>
      <c r="F942217" s="2"/>
      <c r="G942217" s="2"/>
      <c r="H942217" s="2"/>
    </row>
    <row r="942466" spans="3:8" ht="15.6" x14ac:dyDescent="0.25">
      <c r="C942466" s="2"/>
      <c r="D942466" s="2"/>
      <c r="E942466" s="2"/>
      <c r="F942466" s="2"/>
      <c r="G942466" s="2"/>
      <c r="H942466" s="2"/>
    </row>
    <row r="942715" spans="3:8" ht="15.6" x14ac:dyDescent="0.25">
      <c r="C942715" s="2"/>
      <c r="D942715" s="2"/>
      <c r="E942715" s="2"/>
      <c r="F942715" s="2"/>
      <c r="G942715" s="2"/>
      <c r="H942715" s="2"/>
    </row>
    <row r="942964" spans="3:8" ht="15.6" x14ac:dyDescent="0.25">
      <c r="C942964" s="2"/>
      <c r="D942964" s="2"/>
      <c r="E942964" s="2"/>
      <c r="F942964" s="2"/>
      <c r="G942964" s="2"/>
      <c r="H942964" s="2"/>
    </row>
    <row r="943213" spans="3:8" ht="15.6" x14ac:dyDescent="0.25">
      <c r="C943213" s="2"/>
      <c r="D943213" s="2"/>
      <c r="E943213" s="2"/>
      <c r="F943213" s="2"/>
      <c r="G943213" s="2"/>
      <c r="H943213" s="2"/>
    </row>
    <row r="943462" spans="3:8" ht="15.6" x14ac:dyDescent="0.25">
      <c r="C943462" s="2"/>
      <c r="D943462" s="2"/>
      <c r="E943462" s="2"/>
      <c r="F943462" s="2"/>
      <c r="G943462" s="2"/>
      <c r="H943462" s="2"/>
    </row>
    <row r="943711" spans="3:8" ht="15.6" x14ac:dyDescent="0.25">
      <c r="C943711" s="2"/>
      <c r="D943711" s="2"/>
      <c r="E943711" s="2"/>
      <c r="F943711" s="2"/>
      <c r="G943711" s="2"/>
      <c r="H943711" s="2"/>
    </row>
    <row r="943960" spans="3:8" ht="15.6" x14ac:dyDescent="0.25">
      <c r="C943960" s="2"/>
      <c r="D943960" s="2"/>
      <c r="E943960" s="2"/>
      <c r="F943960" s="2"/>
      <c r="G943960" s="2"/>
      <c r="H943960" s="2"/>
    </row>
    <row r="944209" spans="3:8" ht="15.6" x14ac:dyDescent="0.25">
      <c r="C944209" s="2"/>
      <c r="D944209" s="2"/>
      <c r="E944209" s="2"/>
      <c r="F944209" s="2"/>
      <c r="G944209" s="2"/>
      <c r="H944209" s="2"/>
    </row>
    <row r="944458" spans="3:8" ht="15.6" x14ac:dyDescent="0.25">
      <c r="C944458" s="2"/>
      <c r="D944458" s="2"/>
      <c r="E944458" s="2"/>
      <c r="F944458" s="2"/>
      <c r="G944458" s="2"/>
      <c r="H944458" s="2"/>
    </row>
    <row r="944707" spans="3:8" ht="15.6" x14ac:dyDescent="0.25">
      <c r="C944707" s="2"/>
      <c r="D944707" s="2"/>
      <c r="E944707" s="2"/>
      <c r="F944707" s="2"/>
      <c r="G944707" s="2"/>
      <c r="H944707" s="2"/>
    </row>
    <row r="944956" spans="3:8" ht="15.6" x14ac:dyDescent="0.25">
      <c r="C944956" s="2"/>
      <c r="D944956" s="2"/>
      <c r="E944956" s="2"/>
      <c r="F944956" s="2"/>
      <c r="G944956" s="2"/>
      <c r="H944956" s="2"/>
    </row>
    <row r="945205" spans="3:8" ht="15.6" x14ac:dyDescent="0.25">
      <c r="C945205" s="2"/>
      <c r="D945205" s="2"/>
      <c r="E945205" s="2"/>
      <c r="F945205" s="2"/>
      <c r="G945205" s="2"/>
      <c r="H945205" s="2"/>
    </row>
    <row r="945454" spans="3:8" ht="15.6" x14ac:dyDescent="0.25">
      <c r="C945454" s="2"/>
      <c r="D945454" s="2"/>
      <c r="E945454" s="2"/>
      <c r="F945454" s="2"/>
      <c r="G945454" s="2"/>
      <c r="H945454" s="2"/>
    </row>
    <row r="945703" spans="3:8" ht="15.6" x14ac:dyDescent="0.25">
      <c r="C945703" s="2"/>
      <c r="D945703" s="2"/>
      <c r="E945703" s="2"/>
      <c r="F945703" s="2"/>
      <c r="G945703" s="2"/>
      <c r="H945703" s="2"/>
    </row>
    <row r="945952" spans="3:8" ht="15.6" x14ac:dyDescent="0.25">
      <c r="C945952" s="2"/>
      <c r="D945952" s="2"/>
      <c r="E945952" s="2"/>
      <c r="F945952" s="2"/>
      <c r="G945952" s="2"/>
      <c r="H945952" s="2"/>
    </row>
    <row r="946201" spans="3:8" ht="15.6" x14ac:dyDescent="0.25">
      <c r="C946201" s="2"/>
      <c r="D946201" s="2"/>
      <c r="E946201" s="2"/>
      <c r="F946201" s="2"/>
      <c r="G946201" s="2"/>
      <c r="H946201" s="2"/>
    </row>
    <row r="946450" spans="3:8" ht="15.6" x14ac:dyDescent="0.25">
      <c r="C946450" s="2"/>
      <c r="D946450" s="2"/>
      <c r="E946450" s="2"/>
      <c r="F946450" s="2"/>
      <c r="G946450" s="2"/>
      <c r="H946450" s="2"/>
    </row>
    <row r="946699" spans="3:8" ht="15.6" x14ac:dyDescent="0.25">
      <c r="C946699" s="2"/>
      <c r="D946699" s="2"/>
      <c r="E946699" s="2"/>
      <c r="F946699" s="2"/>
      <c r="G946699" s="2"/>
      <c r="H946699" s="2"/>
    </row>
    <row r="946948" spans="3:8" ht="15.6" x14ac:dyDescent="0.25">
      <c r="C946948" s="2"/>
      <c r="D946948" s="2"/>
      <c r="E946948" s="2"/>
      <c r="F946948" s="2"/>
      <c r="G946948" s="2"/>
      <c r="H946948" s="2"/>
    </row>
    <row r="947197" spans="3:8" ht="15.6" x14ac:dyDescent="0.25">
      <c r="C947197" s="2"/>
      <c r="D947197" s="2"/>
      <c r="E947197" s="2"/>
      <c r="F947197" s="2"/>
      <c r="G947197" s="2"/>
      <c r="H947197" s="2"/>
    </row>
    <row r="947446" spans="3:8" ht="15.6" x14ac:dyDescent="0.25">
      <c r="C947446" s="2"/>
      <c r="D947446" s="2"/>
      <c r="E947446" s="2"/>
      <c r="F947446" s="2"/>
      <c r="G947446" s="2"/>
      <c r="H947446" s="2"/>
    </row>
    <row r="947695" spans="3:8" ht="15.6" x14ac:dyDescent="0.25">
      <c r="C947695" s="2"/>
      <c r="D947695" s="2"/>
      <c r="E947695" s="2"/>
      <c r="F947695" s="2"/>
      <c r="G947695" s="2"/>
      <c r="H947695" s="2"/>
    </row>
    <row r="947944" spans="3:8" ht="15.6" x14ac:dyDescent="0.25">
      <c r="C947944" s="2"/>
      <c r="D947944" s="2"/>
      <c r="E947944" s="2"/>
      <c r="F947944" s="2"/>
      <c r="G947944" s="2"/>
      <c r="H947944" s="2"/>
    </row>
    <row r="948193" spans="3:8" ht="15.6" x14ac:dyDescent="0.25">
      <c r="C948193" s="2"/>
      <c r="D948193" s="2"/>
      <c r="E948193" s="2"/>
      <c r="F948193" s="2"/>
      <c r="G948193" s="2"/>
      <c r="H948193" s="2"/>
    </row>
    <row r="948442" spans="3:8" ht="15.6" x14ac:dyDescent="0.25">
      <c r="C948442" s="2"/>
      <c r="D948442" s="2"/>
      <c r="E948442" s="2"/>
      <c r="F948442" s="2"/>
      <c r="G948442" s="2"/>
      <c r="H948442" s="2"/>
    </row>
    <row r="948691" spans="3:8" ht="15.6" x14ac:dyDescent="0.25">
      <c r="C948691" s="2"/>
      <c r="D948691" s="2"/>
      <c r="E948691" s="2"/>
      <c r="F948691" s="2"/>
      <c r="G948691" s="2"/>
      <c r="H948691" s="2"/>
    </row>
    <row r="948940" spans="3:8" ht="15.6" x14ac:dyDescent="0.25">
      <c r="C948940" s="2"/>
      <c r="D948940" s="2"/>
      <c r="E948940" s="2"/>
      <c r="F948940" s="2"/>
      <c r="G948940" s="2"/>
      <c r="H948940" s="2"/>
    </row>
    <row r="949189" spans="3:8" ht="15.6" x14ac:dyDescent="0.25">
      <c r="C949189" s="2"/>
      <c r="D949189" s="2"/>
      <c r="E949189" s="2"/>
      <c r="F949189" s="2"/>
      <c r="G949189" s="2"/>
      <c r="H949189" s="2"/>
    </row>
    <row r="949438" spans="3:8" ht="15.6" x14ac:dyDescent="0.25">
      <c r="C949438" s="2"/>
      <c r="D949438" s="2"/>
      <c r="E949438" s="2"/>
      <c r="F949438" s="2"/>
      <c r="G949438" s="2"/>
      <c r="H949438" s="2"/>
    </row>
    <row r="949687" spans="3:8" ht="15.6" x14ac:dyDescent="0.25">
      <c r="C949687" s="2"/>
      <c r="D949687" s="2"/>
      <c r="E949687" s="2"/>
      <c r="F949687" s="2"/>
      <c r="G949687" s="2"/>
      <c r="H949687" s="2"/>
    </row>
    <row r="949936" spans="3:8" ht="15.6" x14ac:dyDescent="0.25">
      <c r="C949936" s="2"/>
      <c r="D949936" s="2"/>
      <c r="E949936" s="2"/>
      <c r="F949936" s="2"/>
      <c r="G949936" s="2"/>
      <c r="H949936" s="2"/>
    </row>
    <row r="950185" spans="3:8" ht="15.6" x14ac:dyDescent="0.25">
      <c r="C950185" s="2"/>
      <c r="D950185" s="2"/>
      <c r="E950185" s="2"/>
      <c r="F950185" s="2"/>
      <c r="G950185" s="2"/>
      <c r="H950185" s="2"/>
    </row>
    <row r="950434" spans="3:8" ht="15.6" x14ac:dyDescent="0.25">
      <c r="C950434" s="2"/>
      <c r="D950434" s="2"/>
      <c r="E950434" s="2"/>
      <c r="F950434" s="2"/>
      <c r="G950434" s="2"/>
      <c r="H950434" s="2"/>
    </row>
    <row r="950683" spans="3:8" ht="15.6" x14ac:dyDescent="0.25">
      <c r="C950683" s="2"/>
      <c r="D950683" s="2"/>
      <c r="E950683" s="2"/>
      <c r="F950683" s="2"/>
      <c r="G950683" s="2"/>
      <c r="H950683" s="2"/>
    </row>
    <row r="950932" spans="3:8" ht="15.6" x14ac:dyDescent="0.25">
      <c r="C950932" s="2"/>
      <c r="D950932" s="2"/>
      <c r="E950932" s="2"/>
      <c r="F950932" s="2"/>
      <c r="G950932" s="2"/>
      <c r="H950932" s="2"/>
    </row>
    <row r="951181" spans="3:8" ht="15.6" x14ac:dyDescent="0.25">
      <c r="C951181" s="2"/>
      <c r="D951181" s="2"/>
      <c r="E951181" s="2"/>
      <c r="F951181" s="2"/>
      <c r="G951181" s="2"/>
      <c r="H951181" s="2"/>
    </row>
    <row r="951430" spans="3:8" ht="15.6" x14ac:dyDescent="0.25">
      <c r="C951430" s="2"/>
      <c r="D951430" s="2"/>
      <c r="E951430" s="2"/>
      <c r="F951430" s="2"/>
      <c r="G951430" s="2"/>
      <c r="H951430" s="2"/>
    </row>
    <row r="951679" spans="3:8" ht="15.6" x14ac:dyDescent="0.25">
      <c r="C951679" s="2"/>
      <c r="D951679" s="2"/>
      <c r="E951679" s="2"/>
      <c r="F951679" s="2"/>
      <c r="G951679" s="2"/>
      <c r="H951679" s="2"/>
    </row>
    <row r="951928" spans="3:8" ht="15.6" x14ac:dyDescent="0.25">
      <c r="C951928" s="2"/>
      <c r="D951928" s="2"/>
      <c r="E951928" s="2"/>
      <c r="F951928" s="2"/>
      <c r="G951928" s="2"/>
      <c r="H951928" s="2"/>
    </row>
    <row r="952177" spans="3:8" ht="15.6" x14ac:dyDescent="0.25">
      <c r="C952177" s="2"/>
      <c r="D952177" s="2"/>
      <c r="E952177" s="2"/>
      <c r="F952177" s="2"/>
      <c r="G952177" s="2"/>
      <c r="H952177" s="2"/>
    </row>
    <row r="952426" spans="3:8" ht="15.6" x14ac:dyDescent="0.25">
      <c r="C952426" s="2"/>
      <c r="D952426" s="2"/>
      <c r="E952426" s="2"/>
      <c r="F952426" s="2"/>
      <c r="G952426" s="2"/>
      <c r="H952426" s="2"/>
    </row>
    <row r="952675" spans="3:8" ht="15.6" x14ac:dyDescent="0.25">
      <c r="C952675" s="2"/>
      <c r="D952675" s="2"/>
      <c r="E952675" s="2"/>
      <c r="F952675" s="2"/>
      <c r="G952675" s="2"/>
      <c r="H952675" s="2"/>
    </row>
    <row r="952924" spans="3:8" ht="15.6" x14ac:dyDescent="0.25">
      <c r="C952924" s="2"/>
      <c r="D952924" s="2"/>
      <c r="E952924" s="2"/>
      <c r="F952924" s="2"/>
      <c r="G952924" s="2"/>
      <c r="H952924" s="2"/>
    </row>
    <row r="953173" spans="3:8" ht="15.6" x14ac:dyDescent="0.25">
      <c r="C953173" s="2"/>
      <c r="D953173" s="2"/>
      <c r="E953173" s="2"/>
      <c r="F953173" s="2"/>
      <c r="G953173" s="2"/>
      <c r="H953173" s="2"/>
    </row>
    <row r="953422" spans="3:8" ht="15.6" x14ac:dyDescent="0.25">
      <c r="C953422" s="2"/>
      <c r="D953422" s="2"/>
      <c r="E953422" s="2"/>
      <c r="F953422" s="2"/>
      <c r="G953422" s="2"/>
      <c r="H953422" s="2"/>
    </row>
    <row r="953671" spans="3:8" ht="15.6" x14ac:dyDescent="0.25">
      <c r="C953671" s="2"/>
      <c r="D953671" s="2"/>
      <c r="E953671" s="2"/>
      <c r="F953671" s="2"/>
      <c r="G953671" s="2"/>
      <c r="H953671" s="2"/>
    </row>
    <row r="953920" spans="3:8" ht="15.6" x14ac:dyDescent="0.25">
      <c r="C953920" s="2"/>
      <c r="D953920" s="2"/>
      <c r="E953920" s="2"/>
      <c r="F953920" s="2"/>
      <c r="G953920" s="2"/>
      <c r="H953920" s="2"/>
    </row>
    <row r="954169" spans="3:8" ht="15.6" x14ac:dyDescent="0.25">
      <c r="C954169" s="2"/>
      <c r="D954169" s="2"/>
      <c r="E954169" s="2"/>
      <c r="F954169" s="2"/>
      <c r="G954169" s="2"/>
      <c r="H954169" s="2"/>
    </row>
    <row r="954418" spans="3:8" ht="15.6" x14ac:dyDescent="0.25">
      <c r="C954418" s="2"/>
      <c r="D954418" s="2"/>
      <c r="E954418" s="2"/>
      <c r="F954418" s="2"/>
      <c r="G954418" s="2"/>
      <c r="H954418" s="2"/>
    </row>
    <row r="954667" spans="3:8" ht="15.6" x14ac:dyDescent="0.25">
      <c r="C954667" s="2"/>
      <c r="D954667" s="2"/>
      <c r="E954667" s="2"/>
      <c r="F954667" s="2"/>
      <c r="G954667" s="2"/>
      <c r="H954667" s="2"/>
    </row>
    <row r="954916" spans="3:8" ht="15.6" x14ac:dyDescent="0.25">
      <c r="C954916" s="2"/>
      <c r="D954916" s="2"/>
      <c r="E954916" s="2"/>
      <c r="F954916" s="2"/>
      <c r="G954916" s="2"/>
      <c r="H954916" s="2"/>
    </row>
    <row r="955165" spans="3:8" ht="15.6" x14ac:dyDescent="0.25">
      <c r="C955165" s="2"/>
      <c r="D955165" s="2"/>
      <c r="E955165" s="2"/>
      <c r="F955165" s="2"/>
      <c r="G955165" s="2"/>
      <c r="H955165" s="2"/>
    </row>
    <row r="955414" spans="3:8" ht="15.6" x14ac:dyDescent="0.25">
      <c r="C955414" s="2"/>
      <c r="D955414" s="2"/>
      <c r="E955414" s="2"/>
      <c r="F955414" s="2"/>
      <c r="G955414" s="2"/>
      <c r="H955414" s="2"/>
    </row>
    <row r="955663" spans="3:8" ht="15.6" x14ac:dyDescent="0.25">
      <c r="C955663" s="2"/>
      <c r="D955663" s="2"/>
      <c r="E955663" s="2"/>
      <c r="F955663" s="2"/>
      <c r="G955663" s="2"/>
      <c r="H955663" s="2"/>
    </row>
    <row r="955912" spans="3:8" ht="15.6" x14ac:dyDescent="0.25">
      <c r="C955912" s="2"/>
      <c r="D955912" s="2"/>
      <c r="E955912" s="2"/>
      <c r="F955912" s="2"/>
      <c r="G955912" s="2"/>
      <c r="H955912" s="2"/>
    </row>
    <row r="956161" spans="3:8" ht="15.6" x14ac:dyDescent="0.25">
      <c r="C956161" s="2"/>
      <c r="D956161" s="2"/>
      <c r="E956161" s="2"/>
      <c r="F956161" s="2"/>
      <c r="G956161" s="2"/>
      <c r="H956161" s="2"/>
    </row>
    <row r="956410" spans="3:8" ht="15.6" x14ac:dyDescent="0.25">
      <c r="C956410" s="2"/>
      <c r="D956410" s="2"/>
      <c r="E956410" s="2"/>
      <c r="F956410" s="2"/>
      <c r="G956410" s="2"/>
      <c r="H956410" s="2"/>
    </row>
    <row r="956659" spans="3:8" ht="15.6" x14ac:dyDescent="0.25">
      <c r="C956659" s="2"/>
      <c r="D956659" s="2"/>
      <c r="E956659" s="2"/>
      <c r="F956659" s="2"/>
      <c r="G956659" s="2"/>
      <c r="H956659" s="2"/>
    </row>
    <row r="956908" spans="3:8" ht="15.6" x14ac:dyDescent="0.25">
      <c r="C956908" s="2"/>
      <c r="D956908" s="2"/>
      <c r="E956908" s="2"/>
      <c r="F956908" s="2"/>
      <c r="G956908" s="2"/>
      <c r="H956908" s="2"/>
    </row>
    <row r="957157" spans="3:8" ht="15.6" x14ac:dyDescent="0.25">
      <c r="C957157" s="2"/>
      <c r="D957157" s="2"/>
      <c r="E957157" s="2"/>
      <c r="F957157" s="2"/>
      <c r="G957157" s="2"/>
      <c r="H957157" s="2"/>
    </row>
    <row r="957406" spans="3:8" ht="15.6" x14ac:dyDescent="0.25">
      <c r="C957406" s="2"/>
      <c r="D957406" s="2"/>
      <c r="E957406" s="2"/>
      <c r="F957406" s="2"/>
      <c r="G957406" s="2"/>
      <c r="H957406" s="2"/>
    </row>
    <row r="957655" spans="3:8" ht="15.6" x14ac:dyDescent="0.25">
      <c r="C957655" s="2"/>
      <c r="D957655" s="2"/>
      <c r="E957655" s="2"/>
      <c r="F957655" s="2"/>
      <c r="G957655" s="2"/>
      <c r="H957655" s="2"/>
    </row>
    <row r="957904" spans="3:8" ht="15.6" x14ac:dyDescent="0.25">
      <c r="C957904" s="2"/>
      <c r="D957904" s="2"/>
      <c r="E957904" s="2"/>
      <c r="F957904" s="2"/>
      <c r="G957904" s="2"/>
      <c r="H957904" s="2"/>
    </row>
    <row r="958153" spans="3:8" ht="15.6" x14ac:dyDescent="0.25">
      <c r="C958153" s="2"/>
      <c r="D958153" s="2"/>
      <c r="E958153" s="2"/>
      <c r="F958153" s="2"/>
      <c r="G958153" s="2"/>
      <c r="H958153" s="2"/>
    </row>
    <row r="958402" spans="3:8" ht="15.6" x14ac:dyDescent="0.25">
      <c r="C958402" s="2"/>
      <c r="D958402" s="2"/>
      <c r="E958402" s="2"/>
      <c r="F958402" s="2"/>
      <c r="G958402" s="2"/>
      <c r="H958402" s="2"/>
    </row>
    <row r="958651" spans="3:8" ht="15.6" x14ac:dyDescent="0.25">
      <c r="C958651" s="2"/>
      <c r="D958651" s="2"/>
      <c r="E958651" s="2"/>
      <c r="F958651" s="2"/>
      <c r="G958651" s="2"/>
      <c r="H958651" s="2"/>
    </row>
    <row r="958900" spans="3:8" ht="15.6" x14ac:dyDescent="0.25">
      <c r="C958900" s="2"/>
      <c r="D958900" s="2"/>
      <c r="E958900" s="2"/>
      <c r="F958900" s="2"/>
      <c r="G958900" s="2"/>
      <c r="H958900" s="2"/>
    </row>
    <row r="959149" spans="3:8" ht="15.6" x14ac:dyDescent="0.25">
      <c r="C959149" s="2"/>
      <c r="D959149" s="2"/>
      <c r="E959149" s="2"/>
      <c r="F959149" s="2"/>
      <c r="G959149" s="2"/>
      <c r="H959149" s="2"/>
    </row>
    <row r="959398" spans="3:8" ht="15.6" x14ac:dyDescent="0.25">
      <c r="C959398" s="2"/>
      <c r="D959398" s="2"/>
      <c r="E959398" s="2"/>
      <c r="F959398" s="2"/>
      <c r="G959398" s="2"/>
      <c r="H959398" s="2"/>
    </row>
    <row r="959647" spans="3:8" ht="15.6" x14ac:dyDescent="0.25">
      <c r="C959647" s="2"/>
      <c r="D959647" s="2"/>
      <c r="E959647" s="2"/>
      <c r="F959647" s="2"/>
      <c r="G959647" s="2"/>
      <c r="H959647" s="2"/>
    </row>
    <row r="959896" spans="3:8" ht="15.6" x14ac:dyDescent="0.25">
      <c r="C959896" s="2"/>
      <c r="D959896" s="2"/>
      <c r="E959896" s="2"/>
      <c r="F959896" s="2"/>
      <c r="G959896" s="2"/>
      <c r="H959896" s="2"/>
    </row>
    <row r="960145" spans="3:8" ht="15.6" x14ac:dyDescent="0.25">
      <c r="C960145" s="2"/>
      <c r="D960145" s="2"/>
      <c r="E960145" s="2"/>
      <c r="F960145" s="2"/>
      <c r="G960145" s="2"/>
      <c r="H960145" s="2"/>
    </row>
    <row r="960394" spans="3:8" ht="15.6" x14ac:dyDescent="0.25">
      <c r="C960394" s="2"/>
      <c r="D960394" s="2"/>
      <c r="E960394" s="2"/>
      <c r="F960394" s="2"/>
      <c r="G960394" s="2"/>
      <c r="H960394" s="2"/>
    </row>
    <row r="960643" spans="3:8" ht="15.6" x14ac:dyDescent="0.25">
      <c r="C960643" s="2"/>
      <c r="D960643" s="2"/>
      <c r="E960643" s="2"/>
      <c r="F960643" s="2"/>
      <c r="G960643" s="2"/>
      <c r="H960643" s="2"/>
    </row>
    <row r="960892" spans="3:8" ht="15.6" x14ac:dyDescent="0.25">
      <c r="C960892" s="2"/>
      <c r="D960892" s="2"/>
      <c r="E960892" s="2"/>
      <c r="F960892" s="2"/>
      <c r="G960892" s="2"/>
      <c r="H960892" s="2"/>
    </row>
    <row r="961141" spans="3:8" ht="15.6" x14ac:dyDescent="0.25">
      <c r="C961141" s="2"/>
      <c r="D961141" s="2"/>
      <c r="E961141" s="2"/>
      <c r="F961141" s="2"/>
      <c r="G961141" s="2"/>
      <c r="H961141" s="2"/>
    </row>
    <row r="961390" spans="3:8" ht="15.6" x14ac:dyDescent="0.25">
      <c r="C961390" s="2"/>
      <c r="D961390" s="2"/>
      <c r="E961390" s="2"/>
      <c r="F961390" s="2"/>
      <c r="G961390" s="2"/>
      <c r="H961390" s="2"/>
    </row>
    <row r="961639" spans="3:8" ht="15.6" x14ac:dyDescent="0.25">
      <c r="C961639" s="2"/>
      <c r="D961639" s="2"/>
      <c r="E961639" s="2"/>
      <c r="F961639" s="2"/>
      <c r="G961639" s="2"/>
      <c r="H961639" s="2"/>
    </row>
    <row r="961888" spans="3:8" ht="15.6" x14ac:dyDescent="0.25">
      <c r="C961888" s="2"/>
      <c r="D961888" s="2"/>
      <c r="E961888" s="2"/>
      <c r="F961888" s="2"/>
      <c r="G961888" s="2"/>
      <c r="H961888" s="2"/>
    </row>
    <row r="962137" spans="3:8" ht="15.6" x14ac:dyDescent="0.25">
      <c r="C962137" s="2"/>
      <c r="D962137" s="2"/>
      <c r="E962137" s="2"/>
      <c r="F962137" s="2"/>
      <c r="G962137" s="2"/>
      <c r="H962137" s="2"/>
    </row>
    <row r="962386" spans="3:8" ht="15.6" x14ac:dyDescent="0.25">
      <c r="C962386" s="2"/>
      <c r="D962386" s="2"/>
      <c r="E962386" s="2"/>
      <c r="F962386" s="2"/>
      <c r="G962386" s="2"/>
      <c r="H962386" s="2"/>
    </row>
    <row r="962635" spans="3:8" ht="15.6" x14ac:dyDescent="0.25">
      <c r="C962635" s="2"/>
      <c r="D962635" s="2"/>
      <c r="E962635" s="2"/>
      <c r="F962635" s="2"/>
      <c r="G962635" s="2"/>
      <c r="H962635" s="2"/>
    </row>
    <row r="962884" spans="3:8" ht="15.6" x14ac:dyDescent="0.25">
      <c r="C962884" s="2"/>
      <c r="D962884" s="2"/>
      <c r="E962884" s="2"/>
      <c r="F962884" s="2"/>
      <c r="G962884" s="2"/>
      <c r="H962884" s="2"/>
    </row>
    <row r="963133" spans="3:8" ht="15.6" x14ac:dyDescent="0.25">
      <c r="C963133" s="2"/>
      <c r="D963133" s="2"/>
      <c r="E963133" s="2"/>
      <c r="F963133" s="2"/>
      <c r="G963133" s="2"/>
      <c r="H963133" s="2"/>
    </row>
    <row r="963382" spans="3:8" ht="15.6" x14ac:dyDescent="0.25">
      <c r="C963382" s="2"/>
      <c r="D963382" s="2"/>
      <c r="E963382" s="2"/>
      <c r="F963382" s="2"/>
      <c r="G963382" s="2"/>
      <c r="H963382" s="2"/>
    </row>
    <row r="963631" spans="3:8" ht="15.6" x14ac:dyDescent="0.25">
      <c r="C963631" s="2"/>
      <c r="D963631" s="2"/>
      <c r="E963631" s="2"/>
      <c r="F963631" s="2"/>
      <c r="G963631" s="2"/>
      <c r="H963631" s="2"/>
    </row>
    <row r="963880" spans="3:8" ht="15.6" x14ac:dyDescent="0.25">
      <c r="C963880" s="2"/>
      <c r="D963880" s="2"/>
      <c r="E963880" s="2"/>
      <c r="F963880" s="2"/>
      <c r="G963880" s="2"/>
      <c r="H963880" s="2"/>
    </row>
    <row r="964129" spans="3:8" ht="15.6" x14ac:dyDescent="0.25">
      <c r="C964129" s="2"/>
      <c r="D964129" s="2"/>
      <c r="E964129" s="2"/>
      <c r="F964129" s="2"/>
      <c r="G964129" s="2"/>
      <c r="H964129" s="2"/>
    </row>
    <row r="964378" spans="3:8" ht="15.6" x14ac:dyDescent="0.25">
      <c r="C964378" s="2"/>
      <c r="D964378" s="2"/>
      <c r="E964378" s="2"/>
      <c r="F964378" s="2"/>
      <c r="G964378" s="2"/>
      <c r="H964378" s="2"/>
    </row>
    <row r="964627" spans="3:8" ht="15.6" x14ac:dyDescent="0.25">
      <c r="C964627" s="2"/>
      <c r="D964627" s="2"/>
      <c r="E964627" s="2"/>
      <c r="F964627" s="2"/>
      <c r="G964627" s="2"/>
      <c r="H964627" s="2"/>
    </row>
    <row r="964876" spans="3:8" ht="15.6" x14ac:dyDescent="0.25">
      <c r="C964876" s="2"/>
      <c r="D964876" s="2"/>
      <c r="E964876" s="2"/>
      <c r="F964876" s="2"/>
      <c r="G964876" s="2"/>
      <c r="H964876" s="2"/>
    </row>
    <row r="965125" spans="3:8" ht="15.6" x14ac:dyDescent="0.25">
      <c r="C965125" s="2"/>
      <c r="D965125" s="2"/>
      <c r="E965125" s="2"/>
      <c r="F965125" s="2"/>
      <c r="G965125" s="2"/>
      <c r="H965125" s="2"/>
    </row>
    <row r="965374" spans="3:8" ht="15.6" x14ac:dyDescent="0.25">
      <c r="C965374" s="2"/>
      <c r="D965374" s="2"/>
      <c r="E965374" s="2"/>
      <c r="F965374" s="2"/>
      <c r="G965374" s="2"/>
      <c r="H965374" s="2"/>
    </row>
    <row r="965623" spans="3:8" ht="15.6" x14ac:dyDescent="0.25">
      <c r="C965623" s="2"/>
      <c r="D965623" s="2"/>
      <c r="E965623" s="2"/>
      <c r="F965623" s="2"/>
      <c r="G965623" s="2"/>
      <c r="H965623" s="2"/>
    </row>
    <row r="965872" spans="3:8" ht="15.6" x14ac:dyDescent="0.25">
      <c r="C965872" s="2"/>
      <c r="D965872" s="2"/>
      <c r="E965872" s="2"/>
      <c r="F965872" s="2"/>
      <c r="G965872" s="2"/>
      <c r="H965872" s="2"/>
    </row>
    <row r="966121" spans="3:8" ht="15.6" x14ac:dyDescent="0.25">
      <c r="C966121" s="2"/>
      <c r="D966121" s="2"/>
      <c r="E966121" s="2"/>
      <c r="F966121" s="2"/>
      <c r="G966121" s="2"/>
      <c r="H966121" s="2"/>
    </row>
    <row r="966370" spans="3:8" ht="15.6" x14ac:dyDescent="0.25">
      <c r="C966370" s="2"/>
      <c r="D966370" s="2"/>
      <c r="E966370" s="2"/>
      <c r="F966370" s="2"/>
      <c r="G966370" s="2"/>
      <c r="H966370" s="2"/>
    </row>
    <row r="966619" spans="3:8" ht="15.6" x14ac:dyDescent="0.25">
      <c r="C966619" s="2"/>
      <c r="D966619" s="2"/>
      <c r="E966619" s="2"/>
      <c r="F966619" s="2"/>
      <c r="G966619" s="2"/>
      <c r="H966619" s="2"/>
    </row>
    <row r="966868" spans="3:8" ht="15.6" x14ac:dyDescent="0.25">
      <c r="C966868" s="2"/>
      <c r="D966868" s="2"/>
      <c r="E966868" s="2"/>
      <c r="F966868" s="2"/>
      <c r="G966868" s="2"/>
      <c r="H966868" s="2"/>
    </row>
    <row r="967117" spans="3:8" ht="15.6" x14ac:dyDescent="0.25">
      <c r="C967117" s="2"/>
      <c r="D967117" s="2"/>
      <c r="E967117" s="2"/>
      <c r="F967117" s="2"/>
      <c r="G967117" s="2"/>
      <c r="H967117" s="2"/>
    </row>
    <row r="967366" spans="3:8" ht="15.6" x14ac:dyDescent="0.25">
      <c r="C967366" s="2"/>
      <c r="D967366" s="2"/>
      <c r="E967366" s="2"/>
      <c r="F967366" s="2"/>
      <c r="G967366" s="2"/>
      <c r="H967366" s="2"/>
    </row>
    <row r="967615" spans="3:8" ht="15.6" x14ac:dyDescent="0.25">
      <c r="C967615" s="2"/>
      <c r="D967615" s="2"/>
      <c r="E967615" s="2"/>
      <c r="F967615" s="2"/>
      <c r="G967615" s="2"/>
      <c r="H967615" s="2"/>
    </row>
    <row r="967864" spans="3:8" ht="15.6" x14ac:dyDescent="0.25">
      <c r="C967864" s="2"/>
      <c r="D967864" s="2"/>
      <c r="E967864" s="2"/>
      <c r="F967864" s="2"/>
      <c r="G967864" s="2"/>
      <c r="H967864" s="2"/>
    </row>
    <row r="968113" spans="3:8" ht="15.6" x14ac:dyDescent="0.25">
      <c r="C968113" s="2"/>
      <c r="D968113" s="2"/>
      <c r="E968113" s="2"/>
      <c r="F968113" s="2"/>
      <c r="G968113" s="2"/>
      <c r="H968113" s="2"/>
    </row>
    <row r="968362" spans="3:8" ht="15.6" x14ac:dyDescent="0.25">
      <c r="C968362" s="2"/>
      <c r="D968362" s="2"/>
      <c r="E968362" s="2"/>
      <c r="F968362" s="2"/>
      <c r="G968362" s="2"/>
      <c r="H968362" s="2"/>
    </row>
    <row r="968611" spans="3:8" ht="15.6" x14ac:dyDescent="0.25">
      <c r="C968611" s="2"/>
      <c r="D968611" s="2"/>
      <c r="E968611" s="2"/>
      <c r="F968611" s="2"/>
      <c r="G968611" s="2"/>
      <c r="H968611" s="2"/>
    </row>
    <row r="968860" spans="3:8" ht="15.6" x14ac:dyDescent="0.25">
      <c r="C968860" s="2"/>
      <c r="D968860" s="2"/>
      <c r="E968860" s="2"/>
      <c r="F968860" s="2"/>
      <c r="G968860" s="2"/>
      <c r="H968860" s="2"/>
    </row>
    <row r="969109" spans="3:8" ht="15.6" x14ac:dyDescent="0.25">
      <c r="C969109" s="2"/>
      <c r="D969109" s="2"/>
      <c r="E969109" s="2"/>
      <c r="F969109" s="2"/>
      <c r="G969109" s="2"/>
      <c r="H969109" s="2"/>
    </row>
    <row r="969358" spans="3:8" ht="15.6" x14ac:dyDescent="0.25">
      <c r="C969358" s="2"/>
      <c r="D969358" s="2"/>
      <c r="E969358" s="2"/>
      <c r="F969358" s="2"/>
      <c r="G969358" s="2"/>
      <c r="H969358" s="2"/>
    </row>
    <row r="969607" spans="3:8" ht="15.6" x14ac:dyDescent="0.25">
      <c r="C969607" s="2"/>
      <c r="D969607" s="2"/>
      <c r="E969607" s="2"/>
      <c r="F969607" s="2"/>
      <c r="G969607" s="2"/>
      <c r="H969607" s="2"/>
    </row>
    <row r="969856" spans="3:8" ht="15.6" x14ac:dyDescent="0.25">
      <c r="C969856" s="2"/>
      <c r="D969856" s="2"/>
      <c r="E969856" s="2"/>
      <c r="F969856" s="2"/>
      <c r="G969856" s="2"/>
      <c r="H969856" s="2"/>
    </row>
    <row r="970105" spans="3:8" ht="15.6" x14ac:dyDescent="0.25">
      <c r="C970105" s="2"/>
      <c r="D970105" s="2"/>
      <c r="E970105" s="2"/>
      <c r="F970105" s="2"/>
      <c r="G970105" s="2"/>
      <c r="H970105" s="2"/>
    </row>
    <row r="970354" spans="3:8" ht="15.6" x14ac:dyDescent="0.25">
      <c r="C970354" s="2"/>
      <c r="D970354" s="2"/>
      <c r="E970354" s="2"/>
      <c r="F970354" s="2"/>
      <c r="G970354" s="2"/>
      <c r="H970354" s="2"/>
    </row>
    <row r="970603" spans="3:8" ht="15.6" x14ac:dyDescent="0.25">
      <c r="C970603" s="2"/>
      <c r="D970603" s="2"/>
      <c r="E970603" s="2"/>
      <c r="F970603" s="2"/>
      <c r="G970603" s="2"/>
      <c r="H970603" s="2"/>
    </row>
    <row r="970852" spans="3:8" ht="15.6" x14ac:dyDescent="0.25">
      <c r="C970852" s="2"/>
      <c r="D970852" s="2"/>
      <c r="E970852" s="2"/>
      <c r="F970852" s="2"/>
      <c r="G970852" s="2"/>
      <c r="H970852" s="2"/>
    </row>
    <row r="971101" spans="3:8" ht="15.6" x14ac:dyDescent="0.25">
      <c r="C971101" s="2"/>
      <c r="D971101" s="2"/>
      <c r="E971101" s="2"/>
      <c r="F971101" s="2"/>
      <c r="G971101" s="2"/>
      <c r="H971101" s="2"/>
    </row>
    <row r="971350" spans="3:8" ht="15.6" x14ac:dyDescent="0.25">
      <c r="C971350" s="2"/>
      <c r="D971350" s="2"/>
      <c r="E971350" s="2"/>
      <c r="F971350" s="2"/>
      <c r="G971350" s="2"/>
      <c r="H971350" s="2"/>
    </row>
    <row r="971599" spans="3:8" ht="15.6" x14ac:dyDescent="0.25">
      <c r="C971599" s="2"/>
      <c r="D971599" s="2"/>
      <c r="E971599" s="2"/>
      <c r="F971599" s="2"/>
      <c r="G971599" s="2"/>
      <c r="H971599" s="2"/>
    </row>
    <row r="971848" spans="3:8" ht="15.6" x14ac:dyDescent="0.25">
      <c r="C971848" s="2"/>
      <c r="D971848" s="2"/>
      <c r="E971848" s="2"/>
      <c r="F971848" s="2"/>
      <c r="G971848" s="2"/>
      <c r="H971848" s="2"/>
    </row>
    <row r="972097" spans="3:8" ht="15.6" x14ac:dyDescent="0.25">
      <c r="C972097" s="2"/>
      <c r="D972097" s="2"/>
      <c r="E972097" s="2"/>
      <c r="F972097" s="2"/>
      <c r="G972097" s="2"/>
      <c r="H972097" s="2"/>
    </row>
    <row r="972346" spans="3:8" ht="15.6" x14ac:dyDescent="0.25">
      <c r="C972346" s="2"/>
      <c r="D972346" s="2"/>
      <c r="E972346" s="2"/>
      <c r="F972346" s="2"/>
      <c r="G972346" s="2"/>
      <c r="H972346" s="2"/>
    </row>
    <row r="972595" spans="3:8" ht="15.6" x14ac:dyDescent="0.25">
      <c r="C972595" s="2"/>
      <c r="D972595" s="2"/>
      <c r="E972595" s="2"/>
      <c r="F972595" s="2"/>
      <c r="G972595" s="2"/>
      <c r="H972595" s="2"/>
    </row>
    <row r="972844" spans="3:8" ht="15.6" x14ac:dyDescent="0.25">
      <c r="C972844" s="2"/>
      <c r="D972844" s="2"/>
      <c r="E972844" s="2"/>
      <c r="F972844" s="2"/>
      <c r="G972844" s="2"/>
      <c r="H972844" s="2"/>
    </row>
    <row r="973093" spans="3:8" ht="15.6" x14ac:dyDescent="0.25">
      <c r="C973093" s="2"/>
      <c r="D973093" s="2"/>
      <c r="E973093" s="2"/>
      <c r="F973093" s="2"/>
      <c r="G973093" s="2"/>
      <c r="H973093" s="2"/>
    </row>
    <row r="973342" spans="3:8" ht="15.6" x14ac:dyDescent="0.25">
      <c r="C973342" s="2"/>
      <c r="D973342" s="2"/>
      <c r="E973342" s="2"/>
      <c r="F973342" s="2"/>
      <c r="G973342" s="2"/>
      <c r="H973342" s="2"/>
    </row>
    <row r="973591" spans="3:8" ht="15.6" x14ac:dyDescent="0.25">
      <c r="C973591" s="2"/>
      <c r="D973591" s="2"/>
      <c r="E973591" s="2"/>
      <c r="F973591" s="2"/>
      <c r="G973591" s="2"/>
      <c r="H973591" s="2"/>
    </row>
    <row r="973840" spans="3:8" ht="15.6" x14ac:dyDescent="0.25">
      <c r="C973840" s="2"/>
      <c r="D973840" s="2"/>
      <c r="E973840" s="2"/>
      <c r="F973840" s="2"/>
      <c r="G973840" s="2"/>
      <c r="H973840" s="2"/>
    </row>
    <row r="974089" spans="3:8" ht="15.6" x14ac:dyDescent="0.25">
      <c r="C974089" s="2"/>
      <c r="D974089" s="2"/>
      <c r="E974089" s="2"/>
      <c r="F974089" s="2"/>
      <c r="G974089" s="2"/>
      <c r="H974089" s="2"/>
    </row>
    <row r="974338" spans="3:8" ht="15.6" x14ac:dyDescent="0.25">
      <c r="C974338" s="2"/>
      <c r="D974338" s="2"/>
      <c r="E974338" s="2"/>
      <c r="F974338" s="2"/>
      <c r="G974338" s="2"/>
      <c r="H974338" s="2"/>
    </row>
    <row r="974587" spans="3:8" ht="15.6" x14ac:dyDescent="0.25">
      <c r="C974587" s="2"/>
      <c r="D974587" s="2"/>
      <c r="E974587" s="2"/>
      <c r="F974587" s="2"/>
      <c r="G974587" s="2"/>
      <c r="H974587" s="2"/>
    </row>
    <row r="974836" spans="3:8" ht="15.6" x14ac:dyDescent="0.25">
      <c r="C974836" s="2"/>
      <c r="D974836" s="2"/>
      <c r="E974836" s="2"/>
      <c r="F974836" s="2"/>
      <c r="G974836" s="2"/>
      <c r="H974836" s="2"/>
    </row>
    <row r="975085" spans="3:8" ht="15.6" x14ac:dyDescent="0.25">
      <c r="C975085" s="2"/>
      <c r="D975085" s="2"/>
      <c r="E975085" s="2"/>
      <c r="F975085" s="2"/>
      <c r="G975085" s="2"/>
      <c r="H975085" s="2"/>
    </row>
    <row r="975334" spans="3:8" ht="15.6" x14ac:dyDescent="0.25">
      <c r="C975334" s="2"/>
      <c r="D975334" s="2"/>
      <c r="E975334" s="2"/>
      <c r="F975334" s="2"/>
      <c r="G975334" s="2"/>
      <c r="H975334" s="2"/>
    </row>
    <row r="975583" spans="3:8" ht="15.6" x14ac:dyDescent="0.25">
      <c r="C975583" s="2"/>
      <c r="D975583" s="2"/>
      <c r="E975583" s="2"/>
      <c r="F975583" s="2"/>
      <c r="G975583" s="2"/>
      <c r="H975583" s="2"/>
    </row>
    <row r="975832" spans="3:8" ht="15.6" x14ac:dyDescent="0.25">
      <c r="C975832" s="2"/>
      <c r="D975832" s="2"/>
      <c r="E975832" s="2"/>
      <c r="F975832" s="2"/>
      <c r="G975832" s="2"/>
      <c r="H975832" s="2"/>
    </row>
    <row r="976081" spans="3:8" ht="15.6" x14ac:dyDescent="0.25">
      <c r="C976081" s="2"/>
      <c r="D976081" s="2"/>
      <c r="E976081" s="2"/>
      <c r="F976081" s="2"/>
      <c r="G976081" s="2"/>
      <c r="H976081" s="2"/>
    </row>
    <row r="976330" spans="3:8" ht="15.6" x14ac:dyDescent="0.25">
      <c r="C976330" s="2"/>
      <c r="D976330" s="2"/>
      <c r="E976330" s="2"/>
      <c r="F976330" s="2"/>
      <c r="G976330" s="2"/>
      <c r="H976330" s="2"/>
    </row>
    <row r="976579" spans="3:8" ht="15.6" x14ac:dyDescent="0.25">
      <c r="C976579" s="2"/>
      <c r="D976579" s="2"/>
      <c r="E976579" s="2"/>
      <c r="F976579" s="2"/>
      <c r="G976579" s="2"/>
      <c r="H976579" s="2"/>
    </row>
    <row r="976828" spans="3:8" ht="15.6" x14ac:dyDescent="0.25">
      <c r="C976828" s="2"/>
      <c r="D976828" s="2"/>
      <c r="E976828" s="2"/>
      <c r="F976828" s="2"/>
      <c r="G976828" s="2"/>
      <c r="H976828" s="2"/>
    </row>
    <row r="977077" spans="3:8" ht="15.6" x14ac:dyDescent="0.25">
      <c r="C977077" s="2"/>
      <c r="D977077" s="2"/>
      <c r="E977077" s="2"/>
      <c r="F977077" s="2"/>
      <c r="G977077" s="2"/>
      <c r="H977077" s="2"/>
    </row>
    <row r="977326" spans="3:8" ht="15.6" x14ac:dyDescent="0.25">
      <c r="C977326" s="2"/>
      <c r="D977326" s="2"/>
      <c r="E977326" s="2"/>
      <c r="F977326" s="2"/>
      <c r="G977326" s="2"/>
      <c r="H977326" s="2"/>
    </row>
    <row r="977575" spans="3:8" ht="15.6" x14ac:dyDescent="0.25">
      <c r="C977575" s="2"/>
      <c r="D977575" s="2"/>
      <c r="E977575" s="2"/>
      <c r="F977575" s="2"/>
      <c r="G977575" s="2"/>
      <c r="H977575" s="2"/>
    </row>
    <row r="977824" spans="3:8" ht="15.6" x14ac:dyDescent="0.25">
      <c r="C977824" s="2"/>
      <c r="D977824" s="2"/>
      <c r="E977824" s="2"/>
      <c r="F977824" s="2"/>
      <c r="G977824" s="2"/>
      <c r="H977824" s="2"/>
    </row>
    <row r="978073" spans="3:8" ht="15.6" x14ac:dyDescent="0.25">
      <c r="C978073" s="2"/>
      <c r="D978073" s="2"/>
      <c r="E978073" s="2"/>
      <c r="F978073" s="2"/>
      <c r="G978073" s="2"/>
      <c r="H978073" s="2"/>
    </row>
    <row r="978322" spans="3:8" ht="15.6" x14ac:dyDescent="0.25">
      <c r="C978322" s="2"/>
      <c r="D978322" s="2"/>
      <c r="E978322" s="2"/>
      <c r="F978322" s="2"/>
      <c r="G978322" s="2"/>
      <c r="H978322" s="2"/>
    </row>
    <row r="978571" spans="3:8" ht="15.6" x14ac:dyDescent="0.25">
      <c r="C978571" s="2"/>
      <c r="D978571" s="2"/>
      <c r="E978571" s="2"/>
      <c r="F978571" s="2"/>
      <c r="G978571" s="2"/>
      <c r="H978571" s="2"/>
    </row>
    <row r="978820" spans="3:8" ht="15.6" x14ac:dyDescent="0.25">
      <c r="C978820" s="2"/>
      <c r="D978820" s="2"/>
      <c r="E978820" s="2"/>
      <c r="F978820" s="2"/>
      <c r="G978820" s="2"/>
      <c r="H978820" s="2"/>
    </row>
    <row r="979069" spans="3:8" ht="15.6" x14ac:dyDescent="0.25">
      <c r="C979069" s="2"/>
      <c r="D979069" s="2"/>
      <c r="E979069" s="2"/>
      <c r="F979069" s="2"/>
      <c r="G979069" s="2"/>
      <c r="H979069" s="2"/>
    </row>
    <row r="979318" spans="3:8" ht="15.6" x14ac:dyDescent="0.25">
      <c r="C979318" s="2"/>
      <c r="D979318" s="2"/>
      <c r="E979318" s="2"/>
      <c r="F979318" s="2"/>
      <c r="G979318" s="2"/>
      <c r="H979318" s="2"/>
    </row>
    <row r="979567" spans="3:8" ht="15.6" x14ac:dyDescent="0.25">
      <c r="C979567" s="2"/>
      <c r="D979567" s="2"/>
      <c r="E979567" s="2"/>
      <c r="F979567" s="2"/>
      <c r="G979567" s="2"/>
      <c r="H979567" s="2"/>
    </row>
    <row r="979816" spans="3:8" ht="15.6" x14ac:dyDescent="0.25">
      <c r="C979816" s="2"/>
      <c r="D979816" s="2"/>
      <c r="E979816" s="2"/>
      <c r="F979816" s="2"/>
      <c r="G979816" s="2"/>
      <c r="H979816" s="2"/>
    </row>
    <row r="980065" spans="3:8" ht="15.6" x14ac:dyDescent="0.25">
      <c r="C980065" s="2"/>
      <c r="D980065" s="2"/>
      <c r="E980065" s="2"/>
      <c r="F980065" s="2"/>
      <c r="G980065" s="2"/>
      <c r="H980065" s="2"/>
    </row>
    <row r="980314" spans="3:8" ht="15.6" x14ac:dyDescent="0.25">
      <c r="C980314" s="2"/>
      <c r="D980314" s="2"/>
      <c r="E980314" s="2"/>
      <c r="F980314" s="2"/>
      <c r="G980314" s="2"/>
      <c r="H980314" s="2"/>
    </row>
    <row r="980563" spans="3:8" ht="15.6" x14ac:dyDescent="0.25">
      <c r="C980563" s="2"/>
      <c r="D980563" s="2"/>
      <c r="E980563" s="2"/>
      <c r="F980563" s="2"/>
      <c r="G980563" s="2"/>
      <c r="H980563" s="2"/>
    </row>
    <row r="980812" spans="3:8" ht="15.6" x14ac:dyDescent="0.25">
      <c r="C980812" s="2"/>
      <c r="D980812" s="2"/>
      <c r="E980812" s="2"/>
      <c r="F980812" s="2"/>
      <c r="G980812" s="2"/>
      <c r="H980812" s="2"/>
    </row>
    <row r="981061" spans="3:8" ht="15.6" x14ac:dyDescent="0.25">
      <c r="C981061" s="2"/>
      <c r="D981061" s="2"/>
      <c r="E981061" s="2"/>
      <c r="F981061" s="2"/>
      <c r="G981061" s="2"/>
      <c r="H981061" s="2"/>
    </row>
    <row r="981310" spans="3:8" ht="15.6" x14ac:dyDescent="0.25">
      <c r="C981310" s="2"/>
      <c r="D981310" s="2"/>
      <c r="E981310" s="2"/>
      <c r="F981310" s="2"/>
      <c r="G981310" s="2"/>
      <c r="H981310" s="2"/>
    </row>
    <row r="981559" spans="3:8" ht="15.6" x14ac:dyDescent="0.25">
      <c r="C981559" s="2"/>
      <c r="D981559" s="2"/>
      <c r="E981559" s="2"/>
      <c r="F981559" s="2"/>
      <c r="G981559" s="2"/>
      <c r="H981559" s="2"/>
    </row>
    <row r="981808" spans="3:8" ht="15.6" x14ac:dyDescent="0.25">
      <c r="C981808" s="2"/>
      <c r="D981808" s="2"/>
      <c r="E981808" s="2"/>
      <c r="F981808" s="2"/>
      <c r="G981808" s="2"/>
      <c r="H981808" s="2"/>
    </row>
    <row r="982057" spans="3:8" ht="15.6" x14ac:dyDescent="0.25">
      <c r="C982057" s="2"/>
      <c r="D982057" s="2"/>
      <c r="E982057" s="2"/>
      <c r="F982057" s="2"/>
      <c r="G982057" s="2"/>
      <c r="H982057" s="2"/>
    </row>
    <row r="982306" spans="3:8" ht="15.6" x14ac:dyDescent="0.25">
      <c r="C982306" s="2"/>
      <c r="D982306" s="2"/>
      <c r="E982306" s="2"/>
      <c r="F982306" s="2"/>
      <c r="G982306" s="2"/>
      <c r="H982306" s="2"/>
    </row>
    <row r="982555" spans="3:8" ht="15.6" x14ac:dyDescent="0.25">
      <c r="C982555" s="2"/>
      <c r="D982555" s="2"/>
      <c r="E982555" s="2"/>
      <c r="F982555" s="2"/>
      <c r="G982555" s="2"/>
      <c r="H982555" s="2"/>
    </row>
    <row r="982804" spans="3:8" ht="15.6" x14ac:dyDescent="0.25">
      <c r="C982804" s="2"/>
      <c r="D982804" s="2"/>
      <c r="E982804" s="2"/>
      <c r="F982804" s="2"/>
      <c r="G982804" s="2"/>
      <c r="H982804" s="2"/>
    </row>
    <row r="983053" spans="3:8" ht="15.6" x14ac:dyDescent="0.25">
      <c r="C983053" s="2"/>
      <c r="D983053" s="2"/>
      <c r="E983053" s="2"/>
      <c r="F983053" s="2"/>
      <c r="G983053" s="2"/>
      <c r="H983053" s="2"/>
    </row>
    <row r="983302" spans="3:8" ht="15.6" x14ac:dyDescent="0.25">
      <c r="C983302" s="2"/>
      <c r="D983302" s="2"/>
      <c r="E983302" s="2"/>
      <c r="F983302" s="2"/>
      <c r="G983302" s="2"/>
      <c r="H983302" s="2"/>
    </row>
    <row r="983551" spans="3:8" ht="15.6" x14ac:dyDescent="0.25">
      <c r="C983551" s="2"/>
      <c r="D983551" s="2"/>
      <c r="E983551" s="2"/>
      <c r="F983551" s="2"/>
      <c r="G983551" s="2"/>
      <c r="H983551" s="2"/>
    </row>
    <row r="983800" spans="3:8" ht="15.6" x14ac:dyDescent="0.25">
      <c r="C983800" s="2"/>
      <c r="D983800" s="2"/>
      <c r="E983800" s="2"/>
      <c r="F983800" s="2"/>
      <c r="G983800" s="2"/>
      <c r="H983800" s="2"/>
    </row>
    <row r="984049" spans="3:8" ht="15.6" x14ac:dyDescent="0.25">
      <c r="C984049" s="2"/>
      <c r="D984049" s="2"/>
      <c r="E984049" s="2"/>
      <c r="F984049" s="2"/>
      <c r="G984049" s="2"/>
      <c r="H984049" s="2"/>
    </row>
    <row r="984298" spans="3:8" ht="15.6" x14ac:dyDescent="0.25">
      <c r="C984298" s="2"/>
      <c r="D984298" s="2"/>
      <c r="E984298" s="2"/>
      <c r="F984298" s="2"/>
      <c r="G984298" s="2"/>
      <c r="H984298" s="2"/>
    </row>
    <row r="984547" spans="3:8" ht="15.6" x14ac:dyDescent="0.25">
      <c r="C984547" s="2"/>
      <c r="D984547" s="2"/>
      <c r="E984547" s="2"/>
      <c r="F984547" s="2"/>
      <c r="G984547" s="2"/>
      <c r="H984547" s="2"/>
    </row>
    <row r="984796" spans="3:8" ht="15.6" x14ac:dyDescent="0.25">
      <c r="C984796" s="2"/>
      <c r="D984796" s="2"/>
      <c r="E984796" s="2"/>
      <c r="F984796" s="2"/>
      <c r="G984796" s="2"/>
      <c r="H984796" s="2"/>
    </row>
    <row r="985045" spans="3:8" ht="15.6" x14ac:dyDescent="0.25">
      <c r="C985045" s="2"/>
      <c r="D985045" s="2"/>
      <c r="E985045" s="2"/>
      <c r="F985045" s="2"/>
      <c r="G985045" s="2"/>
      <c r="H985045" s="2"/>
    </row>
    <row r="985294" spans="3:8" ht="15.6" x14ac:dyDescent="0.25">
      <c r="C985294" s="2"/>
      <c r="D985294" s="2"/>
      <c r="E985294" s="2"/>
      <c r="F985294" s="2"/>
      <c r="G985294" s="2"/>
      <c r="H985294" s="2"/>
    </row>
    <row r="985543" spans="3:8" ht="15.6" x14ac:dyDescent="0.25">
      <c r="C985543" s="2"/>
      <c r="D985543" s="2"/>
      <c r="E985543" s="2"/>
      <c r="F985543" s="2"/>
      <c r="G985543" s="2"/>
      <c r="H985543" s="2"/>
    </row>
    <row r="985792" spans="3:8" ht="15.6" x14ac:dyDescent="0.25">
      <c r="C985792" s="2"/>
      <c r="D985792" s="2"/>
      <c r="E985792" s="2"/>
      <c r="F985792" s="2"/>
      <c r="G985792" s="2"/>
      <c r="H985792" s="2"/>
    </row>
    <row r="986041" spans="3:8" ht="15.6" x14ac:dyDescent="0.25">
      <c r="C986041" s="2"/>
      <c r="D986041" s="2"/>
      <c r="E986041" s="2"/>
      <c r="F986041" s="2"/>
      <c r="G986041" s="2"/>
      <c r="H986041" s="2"/>
    </row>
    <row r="986290" spans="3:8" ht="15.6" x14ac:dyDescent="0.25">
      <c r="C986290" s="2"/>
      <c r="D986290" s="2"/>
      <c r="E986290" s="2"/>
      <c r="F986290" s="2"/>
      <c r="G986290" s="2"/>
      <c r="H986290" s="2"/>
    </row>
    <row r="986539" spans="3:8" ht="15.6" x14ac:dyDescent="0.25">
      <c r="C986539" s="2"/>
      <c r="D986539" s="2"/>
      <c r="E986539" s="2"/>
      <c r="F986539" s="2"/>
      <c r="G986539" s="2"/>
      <c r="H986539" s="2"/>
    </row>
    <row r="986788" spans="3:8" ht="15.6" x14ac:dyDescent="0.25">
      <c r="C986788" s="2"/>
      <c r="D986788" s="2"/>
      <c r="E986788" s="2"/>
      <c r="F986788" s="2"/>
      <c r="G986788" s="2"/>
      <c r="H986788" s="2"/>
    </row>
    <row r="987037" spans="3:8" ht="15.6" x14ac:dyDescent="0.25">
      <c r="C987037" s="2"/>
      <c r="D987037" s="2"/>
      <c r="E987037" s="2"/>
      <c r="F987037" s="2"/>
      <c r="G987037" s="2"/>
      <c r="H987037" s="2"/>
    </row>
    <row r="987286" spans="3:8" ht="15.6" x14ac:dyDescent="0.25">
      <c r="C987286" s="2"/>
      <c r="D987286" s="2"/>
      <c r="E987286" s="2"/>
      <c r="F987286" s="2"/>
      <c r="G987286" s="2"/>
      <c r="H987286" s="2"/>
    </row>
    <row r="987535" spans="3:8" ht="15.6" x14ac:dyDescent="0.25">
      <c r="C987535" s="2"/>
      <c r="D987535" s="2"/>
      <c r="E987535" s="2"/>
      <c r="F987535" s="2"/>
      <c r="G987535" s="2"/>
      <c r="H987535" s="2"/>
    </row>
    <row r="987784" spans="3:8" ht="15.6" x14ac:dyDescent="0.25">
      <c r="C987784" s="2"/>
      <c r="D987784" s="2"/>
      <c r="E987784" s="2"/>
      <c r="F987784" s="2"/>
      <c r="G987784" s="2"/>
      <c r="H987784" s="2"/>
    </row>
    <row r="988033" spans="3:8" ht="15.6" x14ac:dyDescent="0.25">
      <c r="C988033" s="2"/>
      <c r="D988033" s="2"/>
      <c r="E988033" s="2"/>
      <c r="F988033" s="2"/>
      <c r="G988033" s="2"/>
      <c r="H988033" s="2"/>
    </row>
    <row r="988282" spans="3:8" ht="15.6" x14ac:dyDescent="0.25">
      <c r="C988282" s="2"/>
      <c r="D988282" s="2"/>
      <c r="E988282" s="2"/>
      <c r="F988282" s="2"/>
      <c r="G988282" s="2"/>
      <c r="H988282" s="2"/>
    </row>
    <row r="988531" spans="3:8" ht="15.6" x14ac:dyDescent="0.25">
      <c r="C988531" s="2"/>
      <c r="D988531" s="2"/>
      <c r="E988531" s="2"/>
      <c r="F988531" s="2"/>
      <c r="G988531" s="2"/>
      <c r="H988531" s="2"/>
    </row>
    <row r="988780" spans="3:8" ht="15.6" x14ac:dyDescent="0.25">
      <c r="C988780" s="2"/>
      <c r="D988780" s="2"/>
      <c r="E988780" s="2"/>
      <c r="F988780" s="2"/>
      <c r="G988780" s="2"/>
      <c r="H988780" s="2"/>
    </row>
    <row r="989029" spans="3:8" ht="15.6" x14ac:dyDescent="0.25">
      <c r="C989029" s="2"/>
      <c r="D989029" s="2"/>
      <c r="E989029" s="2"/>
      <c r="F989029" s="2"/>
      <c r="G989029" s="2"/>
      <c r="H989029" s="2"/>
    </row>
    <row r="989278" spans="3:8" ht="15.6" x14ac:dyDescent="0.25">
      <c r="C989278" s="2"/>
      <c r="D989278" s="2"/>
      <c r="E989278" s="2"/>
      <c r="F989278" s="2"/>
      <c r="G989278" s="2"/>
      <c r="H989278" s="2"/>
    </row>
    <row r="989527" spans="3:8" ht="15.6" x14ac:dyDescent="0.25">
      <c r="C989527" s="2"/>
      <c r="D989527" s="2"/>
      <c r="E989527" s="2"/>
      <c r="F989527" s="2"/>
      <c r="G989527" s="2"/>
      <c r="H989527" s="2"/>
    </row>
    <row r="989776" spans="3:8" ht="15.6" x14ac:dyDescent="0.25">
      <c r="C989776" s="2"/>
      <c r="D989776" s="2"/>
      <c r="E989776" s="2"/>
      <c r="F989776" s="2"/>
      <c r="G989776" s="2"/>
      <c r="H989776" s="2"/>
    </row>
    <row r="990025" spans="3:8" ht="15.6" x14ac:dyDescent="0.25">
      <c r="C990025" s="2"/>
      <c r="D990025" s="2"/>
      <c r="E990025" s="2"/>
      <c r="F990025" s="2"/>
      <c r="G990025" s="2"/>
      <c r="H990025" s="2"/>
    </row>
    <row r="990274" spans="3:8" ht="15.6" x14ac:dyDescent="0.25">
      <c r="C990274" s="2"/>
      <c r="D990274" s="2"/>
      <c r="E990274" s="2"/>
      <c r="F990274" s="2"/>
      <c r="G990274" s="2"/>
      <c r="H990274" s="2"/>
    </row>
    <row r="990523" spans="3:8" ht="15.6" x14ac:dyDescent="0.25">
      <c r="C990523" s="2"/>
      <c r="D990523" s="2"/>
      <c r="E990523" s="2"/>
      <c r="F990523" s="2"/>
      <c r="G990523" s="2"/>
      <c r="H990523" s="2"/>
    </row>
    <row r="990772" spans="3:8" ht="15.6" x14ac:dyDescent="0.25">
      <c r="C990772" s="2"/>
      <c r="D990772" s="2"/>
      <c r="E990772" s="2"/>
      <c r="F990772" s="2"/>
      <c r="G990772" s="2"/>
      <c r="H990772" s="2"/>
    </row>
    <row r="991021" spans="3:8" ht="15.6" x14ac:dyDescent="0.25">
      <c r="C991021" s="2"/>
      <c r="D991021" s="2"/>
      <c r="E991021" s="2"/>
      <c r="F991021" s="2"/>
      <c r="G991021" s="2"/>
      <c r="H991021" s="2"/>
    </row>
    <row r="991270" spans="3:8" ht="15.6" x14ac:dyDescent="0.25">
      <c r="C991270" s="2"/>
      <c r="D991270" s="2"/>
      <c r="E991270" s="2"/>
      <c r="F991270" s="2"/>
      <c r="G991270" s="2"/>
      <c r="H991270" s="2"/>
    </row>
    <row r="991519" spans="3:8" ht="15.6" x14ac:dyDescent="0.25">
      <c r="C991519" s="2"/>
      <c r="D991519" s="2"/>
      <c r="E991519" s="2"/>
      <c r="F991519" s="2"/>
      <c r="G991519" s="2"/>
      <c r="H991519" s="2"/>
    </row>
    <row r="991768" spans="3:8" ht="15.6" x14ac:dyDescent="0.25">
      <c r="C991768" s="2"/>
      <c r="D991768" s="2"/>
      <c r="E991768" s="2"/>
      <c r="F991768" s="2"/>
      <c r="G991768" s="2"/>
      <c r="H991768" s="2"/>
    </row>
    <row r="992017" spans="3:8" ht="15.6" x14ac:dyDescent="0.25">
      <c r="C992017" s="2"/>
      <c r="D992017" s="2"/>
      <c r="E992017" s="2"/>
      <c r="F992017" s="2"/>
      <c r="G992017" s="2"/>
      <c r="H992017" s="2"/>
    </row>
    <row r="992266" spans="3:8" ht="15.6" x14ac:dyDescent="0.25">
      <c r="C992266" s="2"/>
      <c r="D992266" s="2"/>
      <c r="E992266" s="2"/>
      <c r="F992266" s="2"/>
      <c r="G992266" s="2"/>
      <c r="H992266" s="2"/>
    </row>
    <row r="992515" spans="3:8" ht="15.6" x14ac:dyDescent="0.25">
      <c r="C992515" s="2"/>
      <c r="D992515" s="2"/>
      <c r="E992515" s="2"/>
      <c r="F992515" s="2"/>
      <c r="G992515" s="2"/>
      <c r="H992515" s="2"/>
    </row>
    <row r="992764" spans="3:8" ht="15.6" x14ac:dyDescent="0.25">
      <c r="C992764" s="2"/>
      <c r="D992764" s="2"/>
      <c r="E992764" s="2"/>
      <c r="F992764" s="2"/>
      <c r="G992764" s="2"/>
      <c r="H992764" s="2"/>
    </row>
    <row r="993013" spans="3:8" ht="15.6" x14ac:dyDescent="0.25">
      <c r="C993013" s="2"/>
      <c r="D993013" s="2"/>
      <c r="E993013" s="2"/>
      <c r="F993013" s="2"/>
      <c r="G993013" s="2"/>
      <c r="H993013" s="2"/>
    </row>
    <row r="993262" spans="3:8" ht="15.6" x14ac:dyDescent="0.25">
      <c r="C993262" s="2"/>
      <c r="D993262" s="2"/>
      <c r="E993262" s="2"/>
      <c r="F993262" s="2"/>
      <c r="G993262" s="2"/>
      <c r="H993262" s="2"/>
    </row>
    <row r="993511" spans="3:8" ht="15.6" x14ac:dyDescent="0.25">
      <c r="C993511" s="2"/>
      <c r="D993511" s="2"/>
      <c r="E993511" s="2"/>
      <c r="F993511" s="2"/>
      <c r="G993511" s="2"/>
      <c r="H993511" s="2"/>
    </row>
    <row r="993760" spans="3:8" ht="15.6" x14ac:dyDescent="0.25">
      <c r="C993760" s="2"/>
      <c r="D993760" s="2"/>
      <c r="E993760" s="2"/>
      <c r="F993760" s="2"/>
      <c r="G993760" s="2"/>
      <c r="H993760" s="2"/>
    </row>
    <row r="994009" spans="3:8" ht="15.6" x14ac:dyDescent="0.25">
      <c r="C994009" s="2"/>
      <c r="D994009" s="2"/>
      <c r="E994009" s="2"/>
      <c r="F994009" s="2"/>
      <c r="G994009" s="2"/>
      <c r="H994009" s="2"/>
    </row>
    <row r="994258" spans="3:8" ht="15.6" x14ac:dyDescent="0.25">
      <c r="C994258" s="2"/>
      <c r="D994258" s="2"/>
      <c r="E994258" s="2"/>
      <c r="F994258" s="2"/>
      <c r="G994258" s="2"/>
      <c r="H994258" s="2"/>
    </row>
    <row r="994507" spans="3:8" ht="15.6" x14ac:dyDescent="0.25">
      <c r="C994507" s="2"/>
      <c r="D994507" s="2"/>
      <c r="E994507" s="2"/>
      <c r="F994507" s="2"/>
      <c r="G994507" s="2"/>
      <c r="H994507" s="2"/>
    </row>
    <row r="994756" spans="3:8" ht="15.6" x14ac:dyDescent="0.25">
      <c r="C994756" s="2"/>
      <c r="D994756" s="2"/>
      <c r="E994756" s="2"/>
      <c r="F994756" s="2"/>
      <c r="G994756" s="2"/>
      <c r="H994756" s="2"/>
    </row>
    <row r="995005" spans="3:8" ht="15.6" x14ac:dyDescent="0.25">
      <c r="C995005" s="2"/>
      <c r="D995005" s="2"/>
      <c r="E995005" s="2"/>
      <c r="F995005" s="2"/>
      <c r="G995005" s="2"/>
      <c r="H995005" s="2"/>
    </row>
    <row r="995254" spans="3:8" ht="15.6" x14ac:dyDescent="0.25">
      <c r="C995254" s="2"/>
      <c r="D995254" s="2"/>
      <c r="E995254" s="2"/>
      <c r="F995254" s="2"/>
      <c r="G995254" s="2"/>
      <c r="H995254" s="2"/>
    </row>
    <row r="995503" spans="3:8" ht="15.6" x14ac:dyDescent="0.25">
      <c r="C995503" s="2"/>
      <c r="D995503" s="2"/>
      <c r="E995503" s="2"/>
      <c r="F995503" s="2"/>
      <c r="G995503" s="2"/>
      <c r="H995503" s="2"/>
    </row>
    <row r="995752" spans="3:8" ht="15.6" x14ac:dyDescent="0.25">
      <c r="C995752" s="2"/>
      <c r="D995752" s="2"/>
      <c r="E995752" s="2"/>
      <c r="F995752" s="2"/>
      <c r="G995752" s="2"/>
      <c r="H995752" s="2"/>
    </row>
    <row r="996001" spans="3:8" ht="15.6" x14ac:dyDescent="0.25">
      <c r="C996001" s="2"/>
      <c r="D996001" s="2"/>
      <c r="E996001" s="2"/>
      <c r="F996001" s="2"/>
      <c r="G996001" s="2"/>
      <c r="H996001" s="2"/>
    </row>
    <row r="996250" spans="3:8" ht="15.6" x14ac:dyDescent="0.25">
      <c r="C996250" s="2"/>
      <c r="D996250" s="2"/>
      <c r="E996250" s="2"/>
      <c r="F996250" s="2"/>
      <c r="G996250" s="2"/>
      <c r="H996250" s="2"/>
    </row>
    <row r="996499" spans="3:8" ht="15.6" x14ac:dyDescent="0.25">
      <c r="C996499" s="2"/>
      <c r="D996499" s="2"/>
      <c r="E996499" s="2"/>
      <c r="F996499" s="2"/>
      <c r="G996499" s="2"/>
      <c r="H996499" s="2"/>
    </row>
    <row r="996748" spans="3:8" ht="15.6" x14ac:dyDescent="0.25">
      <c r="C996748" s="2"/>
      <c r="D996748" s="2"/>
      <c r="E996748" s="2"/>
      <c r="F996748" s="2"/>
      <c r="G996748" s="2"/>
      <c r="H996748" s="2"/>
    </row>
    <row r="996997" spans="3:8" ht="15.6" x14ac:dyDescent="0.25">
      <c r="C996997" s="2"/>
      <c r="D996997" s="2"/>
      <c r="E996997" s="2"/>
      <c r="F996997" s="2"/>
      <c r="G996997" s="2"/>
      <c r="H996997" s="2"/>
    </row>
    <row r="997246" spans="3:8" ht="15.6" x14ac:dyDescent="0.25">
      <c r="C997246" s="2"/>
      <c r="D997246" s="2"/>
      <c r="E997246" s="2"/>
      <c r="F997246" s="2"/>
      <c r="G997246" s="2"/>
      <c r="H997246" s="2"/>
    </row>
    <row r="997495" spans="3:8" ht="15.6" x14ac:dyDescent="0.25">
      <c r="C997495" s="2"/>
      <c r="D997495" s="2"/>
      <c r="E997495" s="2"/>
      <c r="F997495" s="2"/>
      <c r="G997495" s="2"/>
      <c r="H997495" s="2"/>
    </row>
    <row r="997744" spans="3:8" ht="15.6" x14ac:dyDescent="0.25">
      <c r="C997744" s="2"/>
      <c r="D997744" s="2"/>
      <c r="E997744" s="2"/>
      <c r="F997744" s="2"/>
      <c r="G997744" s="2"/>
      <c r="H997744" s="2"/>
    </row>
    <row r="997993" spans="3:8" ht="15.6" x14ac:dyDescent="0.25">
      <c r="C997993" s="2"/>
      <c r="D997993" s="2"/>
      <c r="E997993" s="2"/>
      <c r="F997993" s="2"/>
      <c r="G997993" s="2"/>
      <c r="H997993" s="2"/>
    </row>
    <row r="998242" spans="3:8" ht="15.6" x14ac:dyDescent="0.25">
      <c r="C998242" s="2"/>
      <c r="D998242" s="2"/>
      <c r="E998242" s="2"/>
      <c r="F998242" s="2"/>
      <c r="G998242" s="2"/>
      <c r="H998242" s="2"/>
    </row>
    <row r="998491" spans="3:8" ht="15.6" x14ac:dyDescent="0.25">
      <c r="C998491" s="2"/>
      <c r="D998491" s="2"/>
      <c r="E998491" s="2"/>
      <c r="F998491" s="2"/>
      <c r="G998491" s="2"/>
      <c r="H998491" s="2"/>
    </row>
    <row r="998740" spans="3:8" ht="15.6" x14ac:dyDescent="0.25">
      <c r="C998740" s="2"/>
      <c r="D998740" s="2"/>
      <c r="E998740" s="2"/>
      <c r="F998740" s="2"/>
      <c r="G998740" s="2"/>
      <c r="H998740" s="2"/>
    </row>
    <row r="998989" spans="3:8" ht="15.6" x14ac:dyDescent="0.25">
      <c r="C998989" s="2"/>
      <c r="D998989" s="2"/>
      <c r="E998989" s="2"/>
      <c r="F998989" s="2"/>
      <c r="G998989" s="2"/>
      <c r="H998989" s="2"/>
    </row>
    <row r="999238" spans="3:8" ht="15.6" x14ac:dyDescent="0.25">
      <c r="C999238" s="2"/>
      <c r="D999238" s="2"/>
      <c r="E999238" s="2"/>
      <c r="F999238" s="2"/>
      <c r="G999238" s="2"/>
      <c r="H999238" s="2"/>
    </row>
    <row r="999487" spans="3:8" ht="15.6" x14ac:dyDescent="0.25">
      <c r="C999487" s="2"/>
      <c r="D999487" s="2"/>
      <c r="E999487" s="2"/>
      <c r="F999487" s="2"/>
      <c r="G999487" s="2"/>
      <c r="H999487" s="2"/>
    </row>
    <row r="999736" spans="3:8" ht="15.6" x14ac:dyDescent="0.25">
      <c r="C999736" s="2"/>
      <c r="D999736" s="2"/>
      <c r="E999736" s="2"/>
      <c r="F999736" s="2"/>
      <c r="G999736" s="2"/>
      <c r="H999736" s="2"/>
    </row>
    <row r="999985" spans="3:8" ht="15.6" x14ac:dyDescent="0.25">
      <c r="C999985" s="2"/>
      <c r="D999985" s="2"/>
      <c r="E999985" s="2"/>
      <c r="F999985" s="2"/>
      <c r="G999985" s="2"/>
      <c r="H999985" s="2"/>
    </row>
    <row r="1000234" spans="3:8" ht="15.6" x14ac:dyDescent="0.25">
      <c r="C1000234" s="2"/>
      <c r="D1000234" s="2"/>
      <c r="E1000234" s="2"/>
      <c r="F1000234" s="2"/>
      <c r="G1000234" s="2"/>
      <c r="H1000234" s="2"/>
    </row>
    <row r="1000483" spans="3:8" ht="15.6" x14ac:dyDescent="0.25">
      <c r="C1000483" s="2"/>
      <c r="D1000483" s="2"/>
      <c r="E1000483" s="2"/>
      <c r="F1000483" s="2"/>
      <c r="G1000483" s="2"/>
      <c r="H1000483" s="2"/>
    </row>
    <row r="1000732" spans="3:8" ht="15.6" x14ac:dyDescent="0.25">
      <c r="C1000732" s="2"/>
      <c r="D1000732" s="2"/>
      <c r="E1000732" s="2"/>
      <c r="F1000732" s="2"/>
      <c r="G1000732" s="2"/>
      <c r="H1000732" s="2"/>
    </row>
    <row r="1000981" spans="3:8" ht="15.6" x14ac:dyDescent="0.25">
      <c r="C1000981" s="2"/>
      <c r="D1000981" s="2"/>
      <c r="E1000981" s="2"/>
      <c r="F1000981" s="2"/>
      <c r="G1000981" s="2"/>
      <c r="H1000981" s="2"/>
    </row>
    <row r="1001230" spans="3:8" ht="15.6" x14ac:dyDescent="0.25">
      <c r="C1001230" s="2"/>
      <c r="D1001230" s="2"/>
      <c r="E1001230" s="2"/>
      <c r="F1001230" s="2"/>
      <c r="G1001230" s="2"/>
      <c r="H1001230" s="2"/>
    </row>
    <row r="1001479" spans="3:8" ht="15.6" x14ac:dyDescent="0.25">
      <c r="C1001479" s="2"/>
      <c r="D1001479" s="2"/>
      <c r="E1001479" s="2"/>
      <c r="F1001479" s="2"/>
      <c r="G1001479" s="2"/>
      <c r="H1001479" s="2"/>
    </row>
    <row r="1001728" spans="3:8" ht="15.6" x14ac:dyDescent="0.25">
      <c r="C1001728" s="2"/>
      <c r="D1001728" s="2"/>
      <c r="E1001728" s="2"/>
      <c r="F1001728" s="2"/>
      <c r="G1001728" s="2"/>
      <c r="H1001728" s="2"/>
    </row>
    <row r="1001977" spans="3:8" ht="15.6" x14ac:dyDescent="0.25">
      <c r="C1001977" s="2"/>
      <c r="D1001977" s="2"/>
      <c r="E1001977" s="2"/>
      <c r="F1001977" s="2"/>
      <c r="G1001977" s="2"/>
      <c r="H1001977" s="2"/>
    </row>
    <row r="1002226" spans="3:8" ht="15.6" x14ac:dyDescent="0.25">
      <c r="C1002226" s="2"/>
      <c r="D1002226" s="2"/>
      <c r="E1002226" s="2"/>
      <c r="F1002226" s="2"/>
      <c r="G1002226" s="2"/>
      <c r="H1002226" s="2"/>
    </row>
    <row r="1002475" spans="3:8" ht="15.6" x14ac:dyDescent="0.25">
      <c r="C1002475" s="2"/>
      <c r="D1002475" s="2"/>
      <c r="E1002475" s="2"/>
      <c r="F1002475" s="2"/>
      <c r="G1002475" s="2"/>
      <c r="H1002475" s="2"/>
    </row>
    <row r="1002724" spans="3:8" ht="15.6" x14ac:dyDescent="0.25">
      <c r="C1002724" s="2"/>
      <c r="D1002724" s="2"/>
      <c r="E1002724" s="2"/>
      <c r="F1002724" s="2"/>
      <c r="G1002724" s="2"/>
      <c r="H1002724" s="2"/>
    </row>
    <row r="1002973" spans="3:8" ht="15.6" x14ac:dyDescent="0.25">
      <c r="C1002973" s="2"/>
      <c r="D1002973" s="2"/>
      <c r="E1002973" s="2"/>
      <c r="F1002973" s="2"/>
      <c r="G1002973" s="2"/>
      <c r="H1002973" s="2"/>
    </row>
    <row r="1003222" spans="3:8" ht="15.6" x14ac:dyDescent="0.25">
      <c r="C1003222" s="2"/>
      <c r="D1003222" s="2"/>
      <c r="E1003222" s="2"/>
      <c r="F1003222" s="2"/>
      <c r="G1003222" s="2"/>
      <c r="H1003222" s="2"/>
    </row>
    <row r="1003471" spans="3:8" ht="15.6" x14ac:dyDescent="0.25">
      <c r="C1003471" s="2"/>
      <c r="D1003471" s="2"/>
      <c r="E1003471" s="2"/>
      <c r="F1003471" s="2"/>
      <c r="G1003471" s="2"/>
      <c r="H1003471" s="2"/>
    </row>
    <row r="1003720" spans="3:8" ht="15.6" x14ac:dyDescent="0.25">
      <c r="C1003720" s="2"/>
      <c r="D1003720" s="2"/>
      <c r="E1003720" s="2"/>
      <c r="F1003720" s="2"/>
      <c r="G1003720" s="2"/>
      <c r="H1003720" s="2"/>
    </row>
    <row r="1003969" spans="3:8" ht="15.6" x14ac:dyDescent="0.25">
      <c r="C1003969" s="2"/>
      <c r="D1003969" s="2"/>
      <c r="E1003969" s="2"/>
      <c r="F1003969" s="2"/>
      <c r="G1003969" s="2"/>
      <c r="H1003969" s="2"/>
    </row>
    <row r="1004218" spans="3:8" ht="15.6" x14ac:dyDescent="0.25">
      <c r="C1004218" s="2"/>
      <c r="D1004218" s="2"/>
      <c r="E1004218" s="2"/>
      <c r="F1004218" s="2"/>
      <c r="G1004218" s="2"/>
      <c r="H1004218" s="2"/>
    </row>
    <row r="1004467" spans="3:8" ht="15.6" x14ac:dyDescent="0.25">
      <c r="C1004467" s="2"/>
      <c r="D1004467" s="2"/>
      <c r="E1004467" s="2"/>
      <c r="F1004467" s="2"/>
      <c r="G1004467" s="2"/>
      <c r="H1004467" s="2"/>
    </row>
    <row r="1004716" spans="3:8" ht="15.6" x14ac:dyDescent="0.25">
      <c r="C1004716" s="2"/>
      <c r="D1004716" s="2"/>
      <c r="E1004716" s="2"/>
      <c r="F1004716" s="2"/>
      <c r="G1004716" s="2"/>
      <c r="H1004716" s="2"/>
    </row>
    <row r="1004965" spans="3:8" ht="15.6" x14ac:dyDescent="0.25">
      <c r="C1004965" s="2"/>
      <c r="D1004965" s="2"/>
      <c r="E1004965" s="2"/>
      <c r="F1004965" s="2"/>
      <c r="G1004965" s="2"/>
      <c r="H1004965" s="2"/>
    </row>
    <row r="1005214" spans="3:8" ht="15.6" x14ac:dyDescent="0.25">
      <c r="C1005214" s="2"/>
      <c r="D1005214" s="2"/>
      <c r="E1005214" s="2"/>
      <c r="F1005214" s="2"/>
      <c r="G1005214" s="2"/>
      <c r="H1005214" s="2"/>
    </row>
    <row r="1005463" spans="3:8" ht="15.6" x14ac:dyDescent="0.25">
      <c r="C1005463" s="2"/>
      <c r="D1005463" s="2"/>
      <c r="E1005463" s="2"/>
      <c r="F1005463" s="2"/>
      <c r="G1005463" s="2"/>
      <c r="H1005463" s="2"/>
    </row>
    <row r="1005712" spans="3:8" ht="15.6" x14ac:dyDescent="0.25">
      <c r="C1005712" s="2"/>
      <c r="D1005712" s="2"/>
      <c r="E1005712" s="2"/>
      <c r="F1005712" s="2"/>
      <c r="G1005712" s="2"/>
      <c r="H1005712" s="2"/>
    </row>
    <row r="1005961" spans="3:8" ht="15.6" x14ac:dyDescent="0.25">
      <c r="C1005961" s="2"/>
      <c r="D1005961" s="2"/>
      <c r="E1005961" s="2"/>
      <c r="F1005961" s="2"/>
      <c r="G1005961" s="2"/>
      <c r="H1005961" s="2"/>
    </row>
    <row r="1006210" spans="3:8" ht="15.6" x14ac:dyDescent="0.25">
      <c r="C1006210" s="2"/>
      <c r="D1006210" s="2"/>
      <c r="E1006210" s="2"/>
      <c r="F1006210" s="2"/>
      <c r="G1006210" s="2"/>
      <c r="H1006210" s="2"/>
    </row>
    <row r="1006459" spans="3:8" ht="15.6" x14ac:dyDescent="0.25">
      <c r="C1006459" s="2"/>
      <c r="D1006459" s="2"/>
      <c r="E1006459" s="2"/>
      <c r="F1006459" s="2"/>
      <c r="G1006459" s="2"/>
      <c r="H1006459" s="2"/>
    </row>
    <row r="1006708" spans="3:8" ht="15.6" x14ac:dyDescent="0.25">
      <c r="C1006708" s="2"/>
      <c r="D1006708" s="2"/>
      <c r="E1006708" s="2"/>
      <c r="F1006708" s="2"/>
      <c r="G1006708" s="2"/>
      <c r="H1006708" s="2"/>
    </row>
    <row r="1006957" spans="3:8" ht="15.6" x14ac:dyDescent="0.25">
      <c r="C1006957" s="2"/>
      <c r="D1006957" s="2"/>
      <c r="E1006957" s="2"/>
      <c r="F1006957" s="2"/>
      <c r="G1006957" s="2"/>
      <c r="H1006957" s="2"/>
    </row>
    <row r="1007206" spans="3:8" ht="15.6" x14ac:dyDescent="0.25">
      <c r="C1007206" s="2"/>
      <c r="D1007206" s="2"/>
      <c r="E1007206" s="2"/>
      <c r="F1007206" s="2"/>
      <c r="G1007206" s="2"/>
      <c r="H1007206" s="2"/>
    </row>
    <row r="1007455" spans="3:8" ht="15.6" x14ac:dyDescent="0.25">
      <c r="C1007455" s="2"/>
      <c r="D1007455" s="2"/>
      <c r="E1007455" s="2"/>
      <c r="F1007455" s="2"/>
      <c r="G1007455" s="2"/>
      <c r="H1007455" s="2"/>
    </row>
    <row r="1007704" spans="3:8" ht="15.6" x14ac:dyDescent="0.25">
      <c r="C1007704" s="2"/>
      <c r="D1007704" s="2"/>
      <c r="E1007704" s="2"/>
      <c r="F1007704" s="2"/>
      <c r="G1007704" s="2"/>
      <c r="H1007704" s="2"/>
    </row>
    <row r="1007953" spans="3:8" ht="15.6" x14ac:dyDescent="0.25">
      <c r="C1007953" s="2"/>
      <c r="D1007953" s="2"/>
      <c r="E1007953" s="2"/>
      <c r="F1007953" s="2"/>
      <c r="G1007953" s="2"/>
      <c r="H1007953" s="2"/>
    </row>
    <row r="1008202" spans="3:8" ht="15.6" x14ac:dyDescent="0.25">
      <c r="C1008202" s="2"/>
      <c r="D1008202" s="2"/>
      <c r="E1008202" s="2"/>
      <c r="F1008202" s="2"/>
      <c r="G1008202" s="2"/>
      <c r="H1008202" s="2"/>
    </row>
    <row r="1008451" spans="3:8" ht="15.6" x14ac:dyDescent="0.25">
      <c r="C1008451" s="2"/>
      <c r="D1008451" s="2"/>
      <c r="E1008451" s="2"/>
      <c r="F1008451" s="2"/>
      <c r="G1008451" s="2"/>
      <c r="H1008451" s="2"/>
    </row>
    <row r="1008700" spans="3:8" ht="15.6" x14ac:dyDescent="0.25">
      <c r="C1008700" s="2"/>
      <c r="D1008700" s="2"/>
      <c r="E1008700" s="2"/>
      <c r="F1008700" s="2"/>
      <c r="G1008700" s="2"/>
      <c r="H1008700" s="2"/>
    </row>
    <row r="1008949" spans="3:8" ht="15.6" x14ac:dyDescent="0.25">
      <c r="C1008949" s="2"/>
      <c r="D1008949" s="2"/>
      <c r="E1008949" s="2"/>
      <c r="F1008949" s="2"/>
      <c r="G1008949" s="2"/>
      <c r="H1008949" s="2"/>
    </row>
    <row r="1009198" spans="3:8" ht="15.6" x14ac:dyDescent="0.25">
      <c r="C1009198" s="2"/>
      <c r="D1009198" s="2"/>
      <c r="E1009198" s="2"/>
      <c r="F1009198" s="2"/>
      <c r="G1009198" s="2"/>
      <c r="H1009198" s="2"/>
    </row>
    <row r="1009447" spans="3:8" ht="15.6" x14ac:dyDescent="0.25">
      <c r="C1009447" s="2"/>
      <c r="D1009447" s="2"/>
      <c r="E1009447" s="2"/>
      <c r="F1009447" s="2"/>
      <c r="G1009447" s="2"/>
      <c r="H1009447" s="2"/>
    </row>
    <row r="1009696" spans="3:8" ht="15.6" x14ac:dyDescent="0.25">
      <c r="C1009696" s="2"/>
      <c r="D1009696" s="2"/>
      <c r="E1009696" s="2"/>
      <c r="F1009696" s="2"/>
      <c r="G1009696" s="2"/>
      <c r="H1009696" s="2"/>
    </row>
    <row r="1009945" spans="3:8" ht="15.6" x14ac:dyDescent="0.25">
      <c r="C1009945" s="2"/>
      <c r="D1009945" s="2"/>
      <c r="E1009945" s="2"/>
      <c r="F1009945" s="2"/>
      <c r="G1009945" s="2"/>
      <c r="H1009945" s="2"/>
    </row>
    <row r="1010194" spans="3:8" ht="15.6" x14ac:dyDescent="0.25">
      <c r="C1010194" s="2"/>
      <c r="D1010194" s="2"/>
      <c r="E1010194" s="2"/>
      <c r="F1010194" s="2"/>
      <c r="G1010194" s="2"/>
      <c r="H1010194" s="2"/>
    </row>
    <row r="1010443" spans="3:8" ht="15.6" x14ac:dyDescent="0.25">
      <c r="C1010443" s="2"/>
      <c r="D1010443" s="2"/>
      <c r="E1010443" s="2"/>
      <c r="F1010443" s="2"/>
      <c r="G1010443" s="2"/>
      <c r="H1010443" s="2"/>
    </row>
    <row r="1010692" spans="3:8" ht="15.6" x14ac:dyDescent="0.25">
      <c r="C1010692" s="2"/>
      <c r="D1010692" s="2"/>
      <c r="E1010692" s="2"/>
      <c r="F1010692" s="2"/>
      <c r="G1010692" s="2"/>
      <c r="H1010692" s="2"/>
    </row>
    <row r="1010941" spans="3:8" ht="15.6" x14ac:dyDescent="0.25">
      <c r="C1010941" s="2"/>
      <c r="D1010941" s="2"/>
      <c r="E1010941" s="2"/>
      <c r="F1010941" s="2"/>
      <c r="G1010941" s="2"/>
      <c r="H1010941" s="2"/>
    </row>
    <row r="1011190" spans="3:8" ht="15.6" x14ac:dyDescent="0.25">
      <c r="C1011190" s="2"/>
      <c r="D1011190" s="2"/>
      <c r="E1011190" s="2"/>
      <c r="F1011190" s="2"/>
      <c r="G1011190" s="2"/>
      <c r="H1011190" s="2"/>
    </row>
    <row r="1011439" spans="3:8" ht="15.6" x14ac:dyDescent="0.25">
      <c r="C1011439" s="2"/>
      <c r="D1011439" s="2"/>
      <c r="E1011439" s="2"/>
      <c r="F1011439" s="2"/>
      <c r="G1011439" s="2"/>
      <c r="H1011439" s="2"/>
    </row>
    <row r="1011688" spans="3:8" ht="15.6" x14ac:dyDescent="0.25">
      <c r="C1011688" s="2"/>
      <c r="D1011688" s="2"/>
      <c r="E1011688" s="2"/>
      <c r="F1011688" s="2"/>
      <c r="G1011688" s="2"/>
      <c r="H1011688" s="2"/>
    </row>
    <row r="1011937" spans="3:8" ht="15.6" x14ac:dyDescent="0.25">
      <c r="C1011937" s="2"/>
      <c r="D1011937" s="2"/>
      <c r="E1011937" s="2"/>
      <c r="F1011937" s="2"/>
      <c r="G1011937" s="2"/>
      <c r="H1011937" s="2"/>
    </row>
    <row r="1012186" spans="3:8" ht="15.6" x14ac:dyDescent="0.25">
      <c r="C1012186" s="2"/>
      <c r="D1012186" s="2"/>
      <c r="E1012186" s="2"/>
      <c r="F1012186" s="2"/>
      <c r="G1012186" s="2"/>
      <c r="H1012186" s="2"/>
    </row>
    <row r="1012435" spans="3:8" ht="15.6" x14ac:dyDescent="0.25">
      <c r="C1012435" s="2"/>
      <c r="D1012435" s="2"/>
      <c r="E1012435" s="2"/>
      <c r="F1012435" s="2"/>
      <c r="G1012435" s="2"/>
      <c r="H1012435" s="2"/>
    </row>
    <row r="1012684" spans="3:8" ht="15.6" x14ac:dyDescent="0.25">
      <c r="C1012684" s="2"/>
      <c r="D1012684" s="2"/>
      <c r="E1012684" s="2"/>
      <c r="F1012684" s="2"/>
      <c r="G1012684" s="2"/>
      <c r="H1012684" s="2"/>
    </row>
    <row r="1012933" spans="3:8" ht="15.6" x14ac:dyDescent="0.25">
      <c r="C1012933" s="2"/>
      <c r="D1012933" s="2"/>
      <c r="E1012933" s="2"/>
      <c r="F1012933" s="2"/>
      <c r="G1012933" s="2"/>
      <c r="H1012933" s="2"/>
    </row>
    <row r="1013182" spans="3:8" ht="15.6" x14ac:dyDescent="0.25">
      <c r="C1013182" s="2"/>
      <c r="D1013182" s="2"/>
      <c r="E1013182" s="2"/>
      <c r="F1013182" s="2"/>
      <c r="G1013182" s="2"/>
      <c r="H1013182" s="2"/>
    </row>
    <row r="1013431" spans="3:8" ht="15.6" x14ac:dyDescent="0.25">
      <c r="C1013431" s="2"/>
      <c r="D1013431" s="2"/>
      <c r="E1013431" s="2"/>
      <c r="F1013431" s="2"/>
      <c r="G1013431" s="2"/>
      <c r="H1013431" s="2"/>
    </row>
    <row r="1013680" spans="3:8" ht="15.6" x14ac:dyDescent="0.25">
      <c r="C1013680" s="2"/>
      <c r="D1013680" s="2"/>
      <c r="E1013680" s="2"/>
      <c r="F1013680" s="2"/>
      <c r="G1013680" s="2"/>
      <c r="H1013680" s="2"/>
    </row>
    <row r="1013929" spans="3:8" ht="15.6" x14ac:dyDescent="0.25">
      <c r="C1013929" s="2"/>
      <c r="D1013929" s="2"/>
      <c r="E1013929" s="2"/>
      <c r="F1013929" s="2"/>
      <c r="G1013929" s="2"/>
      <c r="H1013929" s="2"/>
    </row>
    <row r="1014178" spans="3:8" ht="15.6" x14ac:dyDescent="0.25">
      <c r="C1014178" s="2"/>
      <c r="D1014178" s="2"/>
      <c r="E1014178" s="2"/>
      <c r="F1014178" s="2"/>
      <c r="G1014178" s="2"/>
      <c r="H1014178" s="2"/>
    </row>
    <row r="1014427" spans="3:8" ht="15.6" x14ac:dyDescent="0.25">
      <c r="C1014427" s="2"/>
      <c r="D1014427" s="2"/>
      <c r="E1014427" s="2"/>
      <c r="F1014427" s="2"/>
      <c r="G1014427" s="2"/>
      <c r="H1014427" s="2"/>
    </row>
    <row r="1014676" spans="3:8" ht="15.6" x14ac:dyDescent="0.25">
      <c r="C1014676" s="2"/>
      <c r="D1014676" s="2"/>
      <c r="E1014676" s="2"/>
      <c r="F1014676" s="2"/>
      <c r="G1014676" s="2"/>
      <c r="H1014676" s="2"/>
    </row>
    <row r="1014925" spans="3:8" ht="15.6" x14ac:dyDescent="0.25">
      <c r="C1014925" s="2"/>
      <c r="D1014925" s="2"/>
      <c r="E1014925" s="2"/>
      <c r="F1014925" s="2"/>
      <c r="G1014925" s="2"/>
      <c r="H1014925" s="2"/>
    </row>
    <row r="1015174" spans="3:8" ht="15.6" x14ac:dyDescent="0.25">
      <c r="C1015174" s="2"/>
      <c r="D1015174" s="2"/>
      <c r="E1015174" s="2"/>
      <c r="F1015174" s="2"/>
      <c r="G1015174" s="2"/>
      <c r="H1015174" s="2"/>
    </row>
    <row r="1015423" spans="3:8" ht="15.6" x14ac:dyDescent="0.25">
      <c r="C1015423" s="2"/>
      <c r="D1015423" s="2"/>
      <c r="E1015423" s="2"/>
      <c r="F1015423" s="2"/>
      <c r="G1015423" s="2"/>
      <c r="H1015423" s="2"/>
    </row>
    <row r="1015672" spans="3:8" ht="15.6" x14ac:dyDescent="0.25">
      <c r="C1015672" s="2"/>
      <c r="D1015672" s="2"/>
      <c r="E1015672" s="2"/>
      <c r="F1015672" s="2"/>
      <c r="G1015672" s="2"/>
      <c r="H1015672" s="2"/>
    </row>
    <row r="1015921" spans="3:8" ht="15.6" x14ac:dyDescent="0.25">
      <c r="C1015921" s="2"/>
      <c r="D1015921" s="2"/>
      <c r="E1015921" s="2"/>
      <c r="F1015921" s="2"/>
      <c r="G1015921" s="2"/>
      <c r="H1015921" s="2"/>
    </row>
    <row r="1016170" spans="3:8" ht="15.6" x14ac:dyDescent="0.25">
      <c r="C1016170" s="2"/>
      <c r="D1016170" s="2"/>
      <c r="E1016170" s="2"/>
      <c r="F1016170" s="2"/>
      <c r="G1016170" s="2"/>
      <c r="H1016170" s="2"/>
    </row>
    <row r="1016419" spans="3:8" ht="15.6" x14ac:dyDescent="0.25">
      <c r="C1016419" s="2"/>
      <c r="D1016419" s="2"/>
      <c r="E1016419" s="2"/>
      <c r="F1016419" s="2"/>
      <c r="G1016419" s="2"/>
      <c r="H1016419" s="2"/>
    </row>
    <row r="1016668" spans="3:8" ht="15.6" x14ac:dyDescent="0.25">
      <c r="C1016668" s="2"/>
      <c r="D1016668" s="2"/>
      <c r="E1016668" s="2"/>
      <c r="F1016668" s="2"/>
      <c r="G1016668" s="2"/>
      <c r="H1016668" s="2"/>
    </row>
    <row r="1016917" spans="3:8" ht="15.6" x14ac:dyDescent="0.25">
      <c r="C1016917" s="2"/>
      <c r="D1016917" s="2"/>
      <c r="E1016917" s="2"/>
      <c r="F1016917" s="2"/>
      <c r="G1016917" s="2"/>
      <c r="H1016917" s="2"/>
    </row>
    <row r="1017166" spans="3:8" ht="15.6" x14ac:dyDescent="0.25">
      <c r="C1017166" s="2"/>
      <c r="D1017166" s="2"/>
      <c r="E1017166" s="2"/>
      <c r="F1017166" s="2"/>
      <c r="G1017166" s="2"/>
      <c r="H1017166" s="2"/>
    </row>
    <row r="1017415" spans="3:8" ht="15.6" x14ac:dyDescent="0.25">
      <c r="C1017415" s="2"/>
      <c r="D1017415" s="2"/>
      <c r="E1017415" s="2"/>
      <c r="F1017415" s="2"/>
      <c r="G1017415" s="2"/>
      <c r="H1017415" s="2"/>
    </row>
    <row r="1017664" spans="3:8" ht="15.6" x14ac:dyDescent="0.25">
      <c r="C1017664" s="2"/>
      <c r="D1017664" s="2"/>
      <c r="E1017664" s="2"/>
      <c r="F1017664" s="2"/>
      <c r="G1017664" s="2"/>
      <c r="H1017664" s="2"/>
    </row>
    <row r="1017913" spans="3:8" ht="15.6" x14ac:dyDescent="0.25">
      <c r="C1017913" s="2"/>
      <c r="D1017913" s="2"/>
      <c r="E1017913" s="2"/>
      <c r="F1017913" s="2"/>
      <c r="G1017913" s="2"/>
      <c r="H1017913" s="2"/>
    </row>
    <row r="1018162" spans="3:8" ht="15.6" x14ac:dyDescent="0.25">
      <c r="C1018162" s="2"/>
      <c r="D1018162" s="2"/>
      <c r="E1018162" s="2"/>
      <c r="F1018162" s="2"/>
      <c r="G1018162" s="2"/>
      <c r="H1018162" s="2"/>
    </row>
    <row r="1018411" spans="3:8" ht="15.6" x14ac:dyDescent="0.25">
      <c r="C1018411" s="2"/>
      <c r="D1018411" s="2"/>
      <c r="E1018411" s="2"/>
      <c r="F1018411" s="2"/>
      <c r="G1018411" s="2"/>
      <c r="H1018411" s="2"/>
    </row>
    <row r="1018660" spans="3:8" ht="15.6" x14ac:dyDescent="0.25">
      <c r="C1018660" s="2"/>
      <c r="D1018660" s="2"/>
      <c r="E1018660" s="2"/>
      <c r="F1018660" s="2"/>
      <c r="G1018660" s="2"/>
      <c r="H1018660" s="2"/>
    </row>
    <row r="1018909" spans="3:8" ht="15.6" x14ac:dyDescent="0.25">
      <c r="C1018909" s="2"/>
      <c r="D1018909" s="2"/>
      <c r="E1018909" s="2"/>
      <c r="F1018909" s="2"/>
      <c r="G1018909" s="2"/>
      <c r="H1018909" s="2"/>
    </row>
    <row r="1019158" spans="3:8" ht="15.6" x14ac:dyDescent="0.25">
      <c r="C1019158" s="2"/>
      <c r="D1019158" s="2"/>
      <c r="E1019158" s="2"/>
      <c r="F1019158" s="2"/>
      <c r="G1019158" s="2"/>
      <c r="H1019158" s="2"/>
    </row>
    <row r="1019407" spans="3:8" ht="15.6" x14ac:dyDescent="0.25">
      <c r="C1019407" s="2"/>
      <c r="D1019407" s="2"/>
      <c r="E1019407" s="2"/>
      <c r="F1019407" s="2"/>
      <c r="G1019407" s="2"/>
      <c r="H1019407" s="2"/>
    </row>
    <row r="1019656" spans="3:8" ht="15.6" x14ac:dyDescent="0.25">
      <c r="C1019656" s="2"/>
      <c r="D1019656" s="2"/>
      <c r="E1019656" s="2"/>
      <c r="F1019656" s="2"/>
      <c r="G1019656" s="2"/>
      <c r="H1019656" s="2"/>
    </row>
    <row r="1019905" spans="3:8" ht="15.6" x14ac:dyDescent="0.25">
      <c r="C1019905" s="2"/>
      <c r="D1019905" s="2"/>
      <c r="E1019905" s="2"/>
      <c r="F1019905" s="2"/>
      <c r="G1019905" s="2"/>
      <c r="H1019905" s="2"/>
    </row>
    <row r="1020154" spans="3:8" ht="15.6" x14ac:dyDescent="0.25">
      <c r="C1020154" s="2"/>
      <c r="D1020154" s="2"/>
      <c r="E1020154" s="2"/>
      <c r="F1020154" s="2"/>
      <c r="G1020154" s="2"/>
      <c r="H1020154" s="2"/>
    </row>
    <row r="1020403" spans="3:8" ht="15.6" x14ac:dyDescent="0.25">
      <c r="C1020403" s="2"/>
      <c r="D1020403" s="2"/>
      <c r="E1020403" s="2"/>
      <c r="F1020403" s="2"/>
      <c r="G1020403" s="2"/>
      <c r="H1020403" s="2"/>
    </row>
    <row r="1020652" spans="3:8" ht="15.6" x14ac:dyDescent="0.25">
      <c r="C1020652" s="2"/>
      <c r="D1020652" s="2"/>
      <c r="E1020652" s="2"/>
      <c r="F1020652" s="2"/>
      <c r="G1020652" s="2"/>
      <c r="H1020652" s="2"/>
    </row>
    <row r="1020901" spans="3:8" ht="15.6" x14ac:dyDescent="0.25">
      <c r="C1020901" s="2"/>
      <c r="D1020901" s="2"/>
      <c r="E1020901" s="2"/>
      <c r="F1020901" s="2"/>
      <c r="G1020901" s="2"/>
      <c r="H1020901" s="2"/>
    </row>
    <row r="1021150" spans="3:8" ht="15.6" x14ac:dyDescent="0.25">
      <c r="C1021150" s="2"/>
      <c r="D1021150" s="2"/>
      <c r="E1021150" s="2"/>
      <c r="F1021150" s="2"/>
      <c r="G1021150" s="2"/>
      <c r="H1021150" s="2"/>
    </row>
    <row r="1021399" spans="3:8" ht="15.6" x14ac:dyDescent="0.25">
      <c r="C1021399" s="2"/>
      <c r="D1021399" s="2"/>
      <c r="E1021399" s="2"/>
      <c r="F1021399" s="2"/>
      <c r="G1021399" s="2"/>
      <c r="H1021399" s="2"/>
    </row>
    <row r="1021648" spans="3:8" ht="15.6" x14ac:dyDescent="0.25">
      <c r="C1021648" s="2"/>
      <c r="D1021648" s="2"/>
      <c r="E1021648" s="2"/>
      <c r="F1021648" s="2"/>
      <c r="G1021648" s="2"/>
      <c r="H1021648" s="2"/>
    </row>
    <row r="1021897" spans="3:8" ht="15.6" x14ac:dyDescent="0.25">
      <c r="C1021897" s="2"/>
      <c r="D1021897" s="2"/>
      <c r="E1021897" s="2"/>
      <c r="F1021897" s="2"/>
      <c r="G1021897" s="2"/>
      <c r="H1021897" s="2"/>
    </row>
    <row r="1022146" spans="3:8" ht="15.6" x14ac:dyDescent="0.25">
      <c r="C1022146" s="2"/>
      <c r="D1022146" s="2"/>
      <c r="E1022146" s="2"/>
      <c r="F1022146" s="2"/>
      <c r="G1022146" s="2"/>
      <c r="H1022146" s="2"/>
    </row>
    <row r="1022395" spans="3:8" ht="15.6" x14ac:dyDescent="0.25">
      <c r="C1022395" s="2"/>
      <c r="D1022395" s="2"/>
      <c r="E1022395" s="2"/>
      <c r="F1022395" s="2"/>
      <c r="G1022395" s="2"/>
      <c r="H1022395" s="2"/>
    </row>
    <row r="1022644" spans="3:8" ht="15.6" x14ac:dyDescent="0.25">
      <c r="C1022644" s="2"/>
      <c r="D1022644" s="2"/>
      <c r="E1022644" s="2"/>
      <c r="F1022644" s="2"/>
      <c r="G1022644" s="2"/>
      <c r="H1022644" s="2"/>
    </row>
    <row r="1022893" spans="3:8" ht="15.6" x14ac:dyDescent="0.25">
      <c r="C1022893" s="2"/>
      <c r="D1022893" s="2"/>
      <c r="E1022893" s="2"/>
      <c r="F1022893" s="2"/>
      <c r="G1022893" s="2"/>
      <c r="H1022893" s="2"/>
    </row>
    <row r="1023142" spans="3:8" ht="15.6" x14ac:dyDescent="0.25">
      <c r="C1023142" s="2"/>
      <c r="D1023142" s="2"/>
      <c r="E1023142" s="2"/>
      <c r="F1023142" s="2"/>
      <c r="G1023142" s="2"/>
      <c r="H1023142" s="2"/>
    </row>
    <row r="1023391" spans="3:8" ht="15.6" x14ac:dyDescent="0.25">
      <c r="C1023391" s="2"/>
      <c r="D1023391" s="2"/>
      <c r="E1023391" s="2"/>
      <c r="F1023391" s="2"/>
      <c r="G1023391" s="2"/>
      <c r="H1023391" s="2"/>
    </row>
    <row r="1023640" spans="3:8" ht="15.6" x14ac:dyDescent="0.25">
      <c r="C1023640" s="2"/>
      <c r="D1023640" s="2"/>
      <c r="E1023640" s="2"/>
      <c r="F1023640" s="2"/>
      <c r="G1023640" s="2"/>
      <c r="H1023640" s="2"/>
    </row>
    <row r="1023889" spans="3:8" ht="15.6" x14ac:dyDescent="0.25">
      <c r="C1023889" s="2"/>
      <c r="D1023889" s="2"/>
      <c r="E1023889" s="2"/>
      <c r="F1023889" s="2"/>
      <c r="G1023889" s="2"/>
      <c r="H1023889" s="2"/>
    </row>
    <row r="1024138" spans="3:8" ht="15.6" x14ac:dyDescent="0.25">
      <c r="C1024138" s="2"/>
      <c r="D1024138" s="2"/>
      <c r="E1024138" s="2"/>
      <c r="F1024138" s="2"/>
      <c r="G1024138" s="2"/>
      <c r="H1024138" s="2"/>
    </row>
    <row r="1024387" spans="3:8" ht="15.6" x14ac:dyDescent="0.25">
      <c r="C1024387" s="2"/>
      <c r="D1024387" s="2"/>
      <c r="E1024387" s="2"/>
      <c r="F1024387" s="2"/>
      <c r="G1024387" s="2"/>
      <c r="H1024387" s="2"/>
    </row>
    <row r="1024636" spans="3:8" ht="15.6" x14ac:dyDescent="0.25">
      <c r="C1024636" s="2"/>
      <c r="D1024636" s="2"/>
      <c r="E1024636" s="2"/>
      <c r="F1024636" s="2"/>
      <c r="G1024636" s="2"/>
      <c r="H1024636" s="2"/>
    </row>
    <row r="1024885" spans="3:8" ht="15.6" x14ac:dyDescent="0.25">
      <c r="C1024885" s="2"/>
      <c r="D1024885" s="2"/>
      <c r="E1024885" s="2"/>
      <c r="F1024885" s="2"/>
      <c r="G1024885" s="2"/>
      <c r="H1024885" s="2"/>
    </row>
    <row r="1025134" spans="3:8" ht="15.6" x14ac:dyDescent="0.25">
      <c r="C1025134" s="2"/>
      <c r="D1025134" s="2"/>
      <c r="E1025134" s="2"/>
      <c r="F1025134" s="2"/>
      <c r="G1025134" s="2"/>
      <c r="H1025134" s="2"/>
    </row>
    <row r="1025383" spans="3:8" ht="15.6" x14ac:dyDescent="0.25">
      <c r="C1025383" s="2"/>
      <c r="D1025383" s="2"/>
      <c r="E1025383" s="2"/>
      <c r="F1025383" s="2"/>
      <c r="G1025383" s="2"/>
      <c r="H1025383" s="2"/>
    </row>
    <row r="1025632" spans="3:8" ht="15.6" x14ac:dyDescent="0.25">
      <c r="C1025632" s="2"/>
      <c r="D1025632" s="2"/>
      <c r="E1025632" s="2"/>
      <c r="F1025632" s="2"/>
      <c r="G1025632" s="2"/>
      <c r="H1025632" s="2"/>
    </row>
    <row r="1025881" spans="3:8" ht="15.6" x14ac:dyDescent="0.25">
      <c r="C1025881" s="2"/>
      <c r="D1025881" s="2"/>
      <c r="E1025881" s="2"/>
      <c r="F1025881" s="2"/>
      <c r="G1025881" s="2"/>
      <c r="H1025881" s="2"/>
    </row>
    <row r="1026130" spans="3:8" ht="15.6" x14ac:dyDescent="0.25">
      <c r="C1026130" s="2"/>
      <c r="D1026130" s="2"/>
      <c r="E1026130" s="2"/>
      <c r="F1026130" s="2"/>
      <c r="G1026130" s="2"/>
      <c r="H1026130" s="2"/>
    </row>
    <row r="1026379" spans="3:8" ht="15.6" x14ac:dyDescent="0.25">
      <c r="C1026379" s="2"/>
      <c r="D1026379" s="2"/>
      <c r="E1026379" s="2"/>
      <c r="F1026379" s="2"/>
      <c r="G1026379" s="2"/>
      <c r="H1026379" s="2"/>
    </row>
    <row r="1026628" spans="3:8" ht="15.6" x14ac:dyDescent="0.25">
      <c r="C1026628" s="2"/>
      <c r="D1026628" s="2"/>
      <c r="E1026628" s="2"/>
      <c r="F1026628" s="2"/>
      <c r="G1026628" s="2"/>
      <c r="H1026628" s="2"/>
    </row>
    <row r="1026877" spans="3:8" ht="15.6" x14ac:dyDescent="0.25">
      <c r="C1026877" s="2"/>
      <c r="D1026877" s="2"/>
      <c r="E1026877" s="2"/>
      <c r="F1026877" s="2"/>
      <c r="G1026877" s="2"/>
      <c r="H1026877" s="2"/>
    </row>
    <row r="1027126" spans="3:8" ht="15.6" x14ac:dyDescent="0.25">
      <c r="C1027126" s="2"/>
      <c r="D1027126" s="2"/>
      <c r="E1027126" s="2"/>
      <c r="F1027126" s="2"/>
      <c r="G1027126" s="2"/>
      <c r="H1027126" s="2"/>
    </row>
    <row r="1027375" spans="3:8" ht="15.6" x14ac:dyDescent="0.25">
      <c r="C1027375" s="2"/>
      <c r="D1027375" s="2"/>
      <c r="E1027375" s="2"/>
      <c r="F1027375" s="2"/>
      <c r="G1027375" s="2"/>
      <c r="H1027375" s="2"/>
    </row>
    <row r="1027624" spans="3:8" ht="15.6" x14ac:dyDescent="0.25">
      <c r="C1027624" s="2"/>
      <c r="D1027624" s="2"/>
      <c r="E1027624" s="2"/>
      <c r="F1027624" s="2"/>
      <c r="G1027624" s="2"/>
      <c r="H1027624" s="2"/>
    </row>
    <row r="1027873" spans="3:8" ht="15.6" x14ac:dyDescent="0.25">
      <c r="C1027873" s="2"/>
      <c r="D1027873" s="2"/>
      <c r="E1027873" s="2"/>
      <c r="F1027873" s="2"/>
      <c r="G1027873" s="2"/>
      <c r="H1027873" s="2"/>
    </row>
    <row r="1028122" spans="3:8" ht="15.6" x14ac:dyDescent="0.25">
      <c r="C1028122" s="2"/>
      <c r="D1028122" s="2"/>
      <c r="E1028122" s="2"/>
      <c r="F1028122" s="2"/>
      <c r="G1028122" s="2"/>
      <c r="H1028122" s="2"/>
    </row>
    <row r="1028371" spans="3:8" ht="15.6" x14ac:dyDescent="0.25">
      <c r="C1028371" s="2"/>
      <c r="D1028371" s="2"/>
      <c r="E1028371" s="2"/>
      <c r="F1028371" s="2"/>
      <c r="G1028371" s="2"/>
      <c r="H1028371" s="2"/>
    </row>
    <row r="1028620" spans="3:8" ht="15.6" x14ac:dyDescent="0.25">
      <c r="C1028620" s="2"/>
      <c r="D1028620" s="2"/>
      <c r="E1028620" s="2"/>
      <c r="F1028620" s="2"/>
      <c r="G1028620" s="2"/>
      <c r="H1028620" s="2"/>
    </row>
    <row r="1028869" spans="3:8" ht="15.6" x14ac:dyDescent="0.25">
      <c r="C1028869" s="2"/>
      <c r="D1028869" s="2"/>
      <c r="E1028869" s="2"/>
      <c r="F1028869" s="2"/>
      <c r="G1028869" s="2"/>
      <c r="H1028869" s="2"/>
    </row>
    <row r="1029118" spans="3:8" ht="15.6" x14ac:dyDescent="0.25">
      <c r="C1029118" s="2"/>
      <c r="D1029118" s="2"/>
      <c r="E1029118" s="2"/>
      <c r="F1029118" s="2"/>
      <c r="G1029118" s="2"/>
      <c r="H1029118" s="2"/>
    </row>
    <row r="1029367" spans="3:8" ht="15.6" x14ac:dyDescent="0.25">
      <c r="C1029367" s="2"/>
      <c r="D1029367" s="2"/>
      <c r="E1029367" s="2"/>
      <c r="F1029367" s="2"/>
      <c r="G1029367" s="2"/>
      <c r="H1029367" s="2"/>
    </row>
    <row r="1029616" spans="3:8" ht="15.6" x14ac:dyDescent="0.25">
      <c r="C1029616" s="2"/>
      <c r="D1029616" s="2"/>
      <c r="E1029616" s="2"/>
      <c r="F1029616" s="2"/>
      <c r="G1029616" s="2"/>
      <c r="H1029616" s="2"/>
    </row>
    <row r="1029865" spans="3:8" ht="15.6" x14ac:dyDescent="0.25">
      <c r="C1029865" s="2"/>
      <c r="D1029865" s="2"/>
      <c r="E1029865" s="2"/>
      <c r="F1029865" s="2"/>
      <c r="G1029865" s="2"/>
      <c r="H1029865" s="2"/>
    </row>
    <row r="1030114" spans="3:8" ht="15.6" x14ac:dyDescent="0.25">
      <c r="C1030114" s="2"/>
      <c r="D1030114" s="2"/>
      <c r="E1030114" s="2"/>
      <c r="F1030114" s="2"/>
      <c r="G1030114" s="2"/>
      <c r="H1030114" s="2"/>
    </row>
    <row r="1030363" spans="3:8" ht="15.6" x14ac:dyDescent="0.25">
      <c r="C1030363" s="2"/>
      <c r="D1030363" s="2"/>
      <c r="E1030363" s="2"/>
      <c r="F1030363" s="2"/>
      <c r="G1030363" s="2"/>
      <c r="H1030363" s="2"/>
    </row>
    <row r="1030612" spans="3:8" ht="15.6" x14ac:dyDescent="0.25">
      <c r="C1030612" s="2"/>
      <c r="D1030612" s="2"/>
      <c r="E1030612" s="2"/>
      <c r="F1030612" s="2"/>
      <c r="G1030612" s="2"/>
      <c r="H1030612" s="2"/>
    </row>
    <row r="1030861" spans="3:8" ht="15.6" x14ac:dyDescent="0.25">
      <c r="C1030861" s="2"/>
      <c r="D1030861" s="2"/>
      <c r="E1030861" s="2"/>
      <c r="F1030861" s="2"/>
      <c r="G1030861" s="2"/>
      <c r="H1030861" s="2"/>
    </row>
    <row r="1031110" spans="3:8" ht="15.6" x14ac:dyDescent="0.25">
      <c r="C1031110" s="2"/>
      <c r="D1031110" s="2"/>
      <c r="E1031110" s="2"/>
      <c r="F1031110" s="2"/>
      <c r="G1031110" s="2"/>
      <c r="H1031110" s="2"/>
    </row>
    <row r="1031359" spans="3:8" ht="15.6" x14ac:dyDescent="0.25">
      <c r="C1031359" s="2"/>
      <c r="D1031359" s="2"/>
      <c r="E1031359" s="2"/>
      <c r="F1031359" s="2"/>
      <c r="G1031359" s="2"/>
      <c r="H1031359" s="2"/>
    </row>
    <row r="1031608" spans="3:8" ht="15.6" x14ac:dyDescent="0.25">
      <c r="C1031608" s="2"/>
      <c r="D1031608" s="2"/>
      <c r="E1031608" s="2"/>
      <c r="F1031608" s="2"/>
      <c r="G1031608" s="2"/>
      <c r="H1031608" s="2"/>
    </row>
    <row r="1031857" spans="3:8" ht="15.6" x14ac:dyDescent="0.25">
      <c r="C1031857" s="2"/>
      <c r="D1031857" s="2"/>
      <c r="E1031857" s="2"/>
      <c r="F1031857" s="2"/>
      <c r="G1031857" s="2"/>
      <c r="H1031857" s="2"/>
    </row>
    <row r="1032106" spans="3:8" ht="15.6" x14ac:dyDescent="0.25">
      <c r="C1032106" s="2"/>
      <c r="D1032106" s="2"/>
      <c r="E1032106" s="2"/>
      <c r="F1032106" s="2"/>
      <c r="G1032106" s="2"/>
      <c r="H1032106" s="2"/>
    </row>
    <row r="1032355" spans="3:8" ht="15.6" x14ac:dyDescent="0.25">
      <c r="C1032355" s="2"/>
      <c r="D1032355" s="2"/>
      <c r="E1032355" s="2"/>
      <c r="F1032355" s="2"/>
      <c r="G1032355" s="2"/>
      <c r="H1032355" s="2"/>
    </row>
    <row r="1032604" spans="3:8" ht="15.6" x14ac:dyDescent="0.25">
      <c r="C1032604" s="2"/>
      <c r="D1032604" s="2"/>
      <c r="E1032604" s="2"/>
      <c r="F1032604" s="2"/>
      <c r="G1032604" s="2"/>
      <c r="H1032604" s="2"/>
    </row>
    <row r="1032853" spans="3:8" ht="15.6" x14ac:dyDescent="0.25">
      <c r="C1032853" s="2"/>
      <c r="D1032853" s="2"/>
      <c r="E1032853" s="2"/>
      <c r="F1032853" s="2"/>
      <c r="G1032853" s="2"/>
      <c r="H1032853" s="2"/>
    </row>
    <row r="1033102" spans="3:8" ht="15.6" x14ac:dyDescent="0.25">
      <c r="C1033102" s="2"/>
      <c r="D1033102" s="2"/>
      <c r="E1033102" s="2"/>
      <c r="F1033102" s="2"/>
      <c r="G1033102" s="2"/>
      <c r="H1033102" s="2"/>
    </row>
    <row r="1033351" spans="3:8" ht="15.6" x14ac:dyDescent="0.25">
      <c r="C1033351" s="2"/>
      <c r="D1033351" s="2"/>
      <c r="E1033351" s="2"/>
      <c r="F1033351" s="2"/>
      <c r="G1033351" s="2"/>
      <c r="H1033351" s="2"/>
    </row>
    <row r="1033600" spans="3:8" ht="15.6" x14ac:dyDescent="0.25">
      <c r="C1033600" s="2"/>
      <c r="D1033600" s="2"/>
      <c r="E1033600" s="2"/>
      <c r="F1033600" s="2"/>
      <c r="G1033600" s="2"/>
      <c r="H1033600" s="2"/>
    </row>
    <row r="1033849" spans="3:8" ht="15.6" x14ac:dyDescent="0.25">
      <c r="C1033849" s="2"/>
      <c r="D1033849" s="2"/>
      <c r="E1033849" s="2"/>
      <c r="F1033849" s="2"/>
      <c r="G1033849" s="2"/>
      <c r="H1033849" s="2"/>
    </row>
    <row r="1034098" spans="3:8" ht="15.6" x14ac:dyDescent="0.25">
      <c r="C1034098" s="2"/>
      <c r="D1034098" s="2"/>
      <c r="E1034098" s="2"/>
      <c r="F1034098" s="2"/>
      <c r="G1034098" s="2"/>
      <c r="H1034098" s="2"/>
    </row>
    <row r="1034347" spans="3:8" ht="15.6" x14ac:dyDescent="0.25">
      <c r="C1034347" s="2"/>
      <c r="D1034347" s="2"/>
      <c r="E1034347" s="2"/>
      <c r="F1034347" s="2"/>
      <c r="G1034347" s="2"/>
      <c r="H1034347" s="2"/>
    </row>
    <row r="1034596" spans="3:8" ht="15.6" x14ac:dyDescent="0.25">
      <c r="C1034596" s="2"/>
      <c r="D1034596" s="2"/>
      <c r="E1034596" s="2"/>
      <c r="F1034596" s="2"/>
      <c r="G1034596" s="2"/>
      <c r="H1034596" s="2"/>
    </row>
    <row r="1034845" spans="3:8" ht="15.6" x14ac:dyDescent="0.25">
      <c r="C1034845" s="2"/>
      <c r="D1034845" s="2"/>
      <c r="E1034845" s="2"/>
      <c r="F1034845" s="2"/>
      <c r="G1034845" s="2"/>
      <c r="H1034845" s="2"/>
    </row>
    <row r="1035094" spans="3:8" ht="15.6" x14ac:dyDescent="0.25">
      <c r="C1035094" s="2"/>
      <c r="D1035094" s="2"/>
      <c r="E1035094" s="2"/>
      <c r="F1035094" s="2"/>
      <c r="G1035094" s="2"/>
      <c r="H1035094" s="2"/>
    </row>
    <row r="1035343" spans="3:8" ht="15.6" x14ac:dyDescent="0.25">
      <c r="C1035343" s="2"/>
      <c r="D1035343" s="2"/>
      <c r="E1035343" s="2"/>
      <c r="F1035343" s="2"/>
      <c r="G1035343" s="2"/>
      <c r="H1035343" s="2"/>
    </row>
    <row r="1035592" spans="3:8" ht="15.6" x14ac:dyDescent="0.25">
      <c r="C1035592" s="2"/>
      <c r="D1035592" s="2"/>
      <c r="E1035592" s="2"/>
      <c r="F1035592" s="2"/>
      <c r="G1035592" s="2"/>
      <c r="H1035592" s="2"/>
    </row>
    <row r="1035841" spans="3:8" ht="15.6" x14ac:dyDescent="0.25">
      <c r="C1035841" s="2"/>
      <c r="D1035841" s="2"/>
      <c r="E1035841" s="2"/>
      <c r="F1035841" s="2"/>
      <c r="G1035841" s="2"/>
      <c r="H1035841" s="2"/>
    </row>
    <row r="1036090" spans="3:8" ht="15.6" x14ac:dyDescent="0.25">
      <c r="C1036090" s="2"/>
      <c r="D1036090" s="2"/>
      <c r="E1036090" s="2"/>
      <c r="F1036090" s="2"/>
      <c r="G1036090" s="2"/>
      <c r="H1036090" s="2"/>
    </row>
    <row r="1036339" spans="3:8" ht="15.6" x14ac:dyDescent="0.25">
      <c r="C1036339" s="2"/>
      <c r="D1036339" s="2"/>
      <c r="E1036339" s="2"/>
      <c r="F1036339" s="2"/>
      <c r="G1036339" s="2"/>
      <c r="H1036339" s="2"/>
    </row>
    <row r="1036588" spans="3:8" ht="15.6" x14ac:dyDescent="0.25">
      <c r="C1036588" s="2"/>
      <c r="D1036588" s="2"/>
      <c r="E1036588" s="2"/>
      <c r="F1036588" s="2"/>
      <c r="G1036588" s="2"/>
      <c r="H1036588" s="2"/>
    </row>
    <row r="1036837" spans="3:8" ht="15.6" x14ac:dyDescent="0.25">
      <c r="C1036837" s="2"/>
      <c r="D1036837" s="2"/>
      <c r="E1036837" s="2"/>
      <c r="F1036837" s="2"/>
      <c r="G1036837" s="2"/>
      <c r="H1036837" s="2"/>
    </row>
    <row r="1037086" spans="3:8" ht="15.6" x14ac:dyDescent="0.25">
      <c r="C1037086" s="2"/>
      <c r="D1037086" s="2"/>
      <c r="E1037086" s="2"/>
      <c r="F1037086" s="2"/>
      <c r="G1037086" s="2"/>
      <c r="H1037086" s="2"/>
    </row>
    <row r="1037335" spans="3:8" ht="15.6" x14ac:dyDescent="0.25">
      <c r="C1037335" s="2"/>
      <c r="D1037335" s="2"/>
      <c r="E1037335" s="2"/>
      <c r="F1037335" s="2"/>
      <c r="G1037335" s="2"/>
      <c r="H1037335" s="2"/>
    </row>
    <row r="1037584" spans="3:8" ht="15.6" x14ac:dyDescent="0.25">
      <c r="C1037584" s="2"/>
      <c r="D1037584" s="2"/>
      <c r="E1037584" s="2"/>
      <c r="F1037584" s="2"/>
      <c r="G1037584" s="2"/>
      <c r="H1037584" s="2"/>
    </row>
    <row r="1037833" spans="3:8" ht="15.6" x14ac:dyDescent="0.25">
      <c r="C1037833" s="2"/>
      <c r="D1037833" s="2"/>
      <c r="E1037833" s="2"/>
      <c r="F1037833" s="2"/>
      <c r="G1037833" s="2"/>
      <c r="H1037833" s="2"/>
    </row>
    <row r="1038082" spans="3:8" ht="15.6" x14ac:dyDescent="0.25">
      <c r="C1038082" s="2"/>
      <c r="D1038082" s="2"/>
      <c r="E1038082" s="2"/>
      <c r="F1038082" s="2"/>
      <c r="G1038082" s="2"/>
      <c r="H1038082" s="2"/>
    </row>
    <row r="1038331" spans="3:8" ht="15.6" x14ac:dyDescent="0.25">
      <c r="C1038331" s="2"/>
      <c r="D1038331" s="2"/>
      <c r="E1038331" s="2"/>
      <c r="F1038331" s="2"/>
      <c r="G1038331" s="2"/>
      <c r="H1038331" s="2"/>
    </row>
    <row r="1038580" spans="3:8" ht="15.6" x14ac:dyDescent="0.25">
      <c r="C1038580" s="2"/>
      <c r="D1038580" s="2"/>
      <c r="E1038580" s="2"/>
      <c r="F1038580" s="2"/>
      <c r="G1038580" s="2"/>
      <c r="H1038580" s="2"/>
    </row>
    <row r="1038829" spans="3:8" ht="15.6" x14ac:dyDescent="0.25">
      <c r="C1038829" s="2"/>
      <c r="D1038829" s="2"/>
      <c r="E1038829" s="2"/>
      <c r="F1038829" s="2"/>
      <c r="G1038829" s="2"/>
      <c r="H1038829" s="2"/>
    </row>
    <row r="1039078" spans="3:8" ht="15.6" x14ac:dyDescent="0.25">
      <c r="C1039078" s="2"/>
      <c r="D1039078" s="2"/>
      <c r="E1039078" s="2"/>
      <c r="F1039078" s="2"/>
      <c r="G1039078" s="2"/>
      <c r="H1039078" s="2"/>
    </row>
    <row r="1039327" spans="3:8" ht="15.6" x14ac:dyDescent="0.25">
      <c r="C1039327" s="2"/>
      <c r="D1039327" s="2"/>
      <c r="E1039327" s="2"/>
      <c r="F1039327" s="2"/>
      <c r="G1039327" s="2"/>
      <c r="H1039327" s="2"/>
    </row>
    <row r="1039576" spans="3:8" ht="15.6" x14ac:dyDescent="0.25">
      <c r="C1039576" s="2"/>
      <c r="D1039576" s="2"/>
      <c r="E1039576" s="2"/>
      <c r="F1039576" s="2"/>
      <c r="G1039576" s="2"/>
      <c r="H1039576" s="2"/>
    </row>
    <row r="1039825" spans="3:8" ht="15.6" x14ac:dyDescent="0.25">
      <c r="C1039825" s="2"/>
      <c r="D1039825" s="2"/>
      <c r="E1039825" s="2"/>
      <c r="F1039825" s="2"/>
      <c r="G1039825" s="2"/>
      <c r="H1039825" s="2"/>
    </row>
    <row r="1040074" spans="3:8" ht="15.6" x14ac:dyDescent="0.25">
      <c r="C1040074" s="2"/>
      <c r="D1040074" s="2"/>
      <c r="E1040074" s="2"/>
      <c r="F1040074" s="2"/>
      <c r="G1040074" s="2"/>
      <c r="H1040074" s="2"/>
    </row>
    <row r="1040323" spans="3:8" ht="15.6" x14ac:dyDescent="0.25">
      <c r="C1040323" s="2"/>
      <c r="D1040323" s="2"/>
      <c r="E1040323" s="2"/>
      <c r="F1040323" s="2"/>
      <c r="G1040323" s="2"/>
      <c r="H1040323" s="2"/>
    </row>
    <row r="1040572" spans="3:8" ht="15.6" x14ac:dyDescent="0.25">
      <c r="C1040572" s="2"/>
      <c r="D1040572" s="2"/>
      <c r="E1040572" s="2"/>
      <c r="F1040572" s="2"/>
      <c r="G1040572" s="2"/>
      <c r="H1040572" s="2"/>
    </row>
    <row r="1040821" spans="3:8" ht="15.6" x14ac:dyDescent="0.25">
      <c r="C1040821" s="2"/>
      <c r="D1040821" s="2"/>
      <c r="E1040821" s="2"/>
      <c r="F1040821" s="2"/>
      <c r="G1040821" s="2"/>
      <c r="H1040821" s="2"/>
    </row>
    <row r="1041070" spans="3:8" ht="15.6" x14ac:dyDescent="0.25">
      <c r="C1041070" s="2"/>
      <c r="D1041070" s="2"/>
      <c r="E1041070" s="2"/>
      <c r="F1041070" s="2"/>
      <c r="G1041070" s="2"/>
      <c r="H1041070" s="2"/>
    </row>
    <row r="1041319" spans="3:8" ht="15.6" x14ac:dyDescent="0.25">
      <c r="C1041319" s="2"/>
      <c r="D1041319" s="2"/>
      <c r="E1041319" s="2"/>
      <c r="F1041319" s="2"/>
      <c r="G1041319" s="2"/>
      <c r="H1041319" s="2"/>
    </row>
    <row r="1041568" spans="3:8" ht="15.6" x14ac:dyDescent="0.25">
      <c r="C1041568" s="2"/>
      <c r="D1041568" s="2"/>
      <c r="E1041568" s="2"/>
      <c r="F1041568" s="2"/>
      <c r="G1041568" s="2"/>
      <c r="H1041568" s="2"/>
    </row>
    <row r="1041817" spans="3:8" ht="15.6" x14ac:dyDescent="0.25">
      <c r="C1041817" s="2"/>
      <c r="D1041817" s="2"/>
      <c r="E1041817" s="2"/>
      <c r="F1041817" s="2"/>
      <c r="G1041817" s="2"/>
      <c r="H1041817" s="2"/>
    </row>
    <row r="1042066" spans="3:8" ht="15.6" x14ac:dyDescent="0.25">
      <c r="C1042066" s="2"/>
      <c r="D1042066" s="2"/>
      <c r="E1042066" s="2"/>
      <c r="F1042066" s="2"/>
      <c r="G1042066" s="2"/>
      <c r="H1042066" s="2"/>
    </row>
    <row r="1042315" spans="3:8" ht="15.6" x14ac:dyDescent="0.25">
      <c r="C1042315" s="2"/>
      <c r="D1042315" s="2"/>
      <c r="E1042315" s="2"/>
      <c r="F1042315" s="2"/>
      <c r="G1042315" s="2"/>
      <c r="H1042315" s="2"/>
    </row>
    <row r="1042564" spans="3:8" ht="15.6" x14ac:dyDescent="0.25">
      <c r="C1042564" s="2"/>
      <c r="D1042564" s="2"/>
      <c r="E1042564" s="2"/>
      <c r="F1042564" s="2"/>
      <c r="G1042564" s="2"/>
      <c r="H1042564" s="2"/>
    </row>
    <row r="1042813" spans="3:8" ht="15.6" x14ac:dyDescent="0.25">
      <c r="C1042813" s="2"/>
      <c r="D1042813" s="2"/>
      <c r="E1042813" s="2"/>
      <c r="F1042813" s="2"/>
      <c r="G1042813" s="2"/>
      <c r="H1042813" s="2"/>
    </row>
    <row r="1043062" spans="3:8" ht="15.6" x14ac:dyDescent="0.25">
      <c r="C1043062" s="2"/>
      <c r="D1043062" s="2"/>
      <c r="E1043062" s="2"/>
      <c r="F1043062" s="2"/>
      <c r="G1043062" s="2"/>
      <c r="H1043062" s="2"/>
    </row>
    <row r="1043311" spans="3:8" ht="15.6" x14ac:dyDescent="0.25">
      <c r="C1043311" s="2"/>
      <c r="D1043311" s="2"/>
      <c r="E1043311" s="2"/>
      <c r="F1043311" s="2"/>
      <c r="G1043311" s="2"/>
      <c r="H1043311" s="2"/>
    </row>
    <row r="1043560" spans="3:8" ht="15.6" x14ac:dyDescent="0.25">
      <c r="C1043560" s="2"/>
      <c r="D1043560" s="2"/>
      <c r="E1043560" s="2"/>
      <c r="F1043560" s="2"/>
      <c r="G1043560" s="2"/>
      <c r="H1043560" s="2"/>
    </row>
    <row r="1043809" spans="3:8" ht="15.6" x14ac:dyDescent="0.25">
      <c r="C1043809" s="2"/>
      <c r="D1043809" s="2"/>
      <c r="E1043809" s="2"/>
      <c r="F1043809" s="2"/>
      <c r="G1043809" s="2"/>
      <c r="H1043809" s="2"/>
    </row>
    <row r="1044058" spans="3:8" ht="15.6" x14ac:dyDescent="0.25">
      <c r="C1044058" s="2"/>
      <c r="D1044058" s="2"/>
      <c r="E1044058" s="2"/>
      <c r="F1044058" s="2"/>
      <c r="G1044058" s="2"/>
      <c r="H1044058" s="2"/>
    </row>
    <row r="1044307" spans="3:8" ht="15.6" x14ac:dyDescent="0.25">
      <c r="C1044307" s="2"/>
      <c r="D1044307" s="2"/>
      <c r="E1044307" s="2"/>
      <c r="F1044307" s="2"/>
      <c r="G1044307" s="2"/>
      <c r="H1044307" s="2"/>
    </row>
    <row r="1044556" spans="3:8" ht="15.6" x14ac:dyDescent="0.25">
      <c r="C1044556" s="2"/>
      <c r="D1044556" s="2"/>
      <c r="E1044556" s="2"/>
      <c r="F1044556" s="2"/>
      <c r="G1044556" s="2"/>
      <c r="H1044556" s="2"/>
    </row>
    <row r="1044805" spans="3:8" ht="15.6" x14ac:dyDescent="0.25">
      <c r="C1044805" s="2"/>
      <c r="D1044805" s="2"/>
      <c r="E1044805" s="2"/>
      <c r="F1044805" s="2"/>
      <c r="G1044805" s="2"/>
      <c r="H1044805" s="2"/>
    </row>
    <row r="1045054" spans="3:8" ht="15.6" x14ac:dyDescent="0.25">
      <c r="C1045054" s="2"/>
      <c r="D1045054" s="2"/>
      <c r="E1045054" s="2"/>
      <c r="F1045054" s="2"/>
      <c r="G1045054" s="2"/>
      <c r="H1045054" s="2"/>
    </row>
    <row r="1045303" spans="3:8" ht="15.6" x14ac:dyDescent="0.25">
      <c r="C1045303" s="2"/>
      <c r="D1045303" s="2"/>
      <c r="E1045303" s="2"/>
      <c r="F1045303" s="2"/>
      <c r="G1045303" s="2"/>
      <c r="H1045303" s="2"/>
    </row>
    <row r="1045552" spans="3:8" ht="15.6" x14ac:dyDescent="0.25">
      <c r="C1045552" s="2"/>
      <c r="D1045552" s="2"/>
      <c r="E1045552" s="2"/>
      <c r="F1045552" s="2"/>
      <c r="G1045552" s="2"/>
      <c r="H1045552" s="2"/>
    </row>
    <row r="1045801" spans="3:8" ht="15.6" x14ac:dyDescent="0.25">
      <c r="C1045801" s="2"/>
      <c r="D1045801" s="2"/>
      <c r="E1045801" s="2"/>
      <c r="F1045801" s="2"/>
      <c r="G1045801" s="2"/>
      <c r="H1045801" s="2"/>
    </row>
    <row r="1046050" spans="3:8" ht="15.6" x14ac:dyDescent="0.25">
      <c r="C1046050" s="2"/>
      <c r="D1046050" s="2"/>
      <c r="E1046050" s="2"/>
      <c r="F1046050" s="2"/>
      <c r="G1046050" s="2"/>
      <c r="H1046050" s="2"/>
    </row>
    <row r="1046299" spans="3:8" ht="15.6" x14ac:dyDescent="0.25">
      <c r="C1046299" s="2"/>
      <c r="D1046299" s="2"/>
      <c r="E1046299" s="2"/>
      <c r="F1046299" s="2"/>
      <c r="G1046299" s="2"/>
      <c r="H1046299" s="2"/>
    </row>
    <row r="1046548" spans="3:8" ht="15.6" x14ac:dyDescent="0.25">
      <c r="C1046548" s="2"/>
      <c r="D1046548" s="2"/>
      <c r="E1046548" s="2"/>
      <c r="F1046548" s="2"/>
      <c r="G1046548" s="2"/>
      <c r="H1046548" s="2"/>
    </row>
    <row r="1046797" spans="3:8" ht="15.6" x14ac:dyDescent="0.25">
      <c r="C1046797" s="2"/>
      <c r="D1046797" s="2"/>
      <c r="E1046797" s="2"/>
      <c r="F1046797" s="2"/>
      <c r="G1046797" s="2"/>
      <c r="H1046797" s="2"/>
    </row>
    <row r="1047046" spans="3:8" ht="15.6" x14ac:dyDescent="0.25">
      <c r="C1047046" s="2"/>
      <c r="D1047046" s="2"/>
      <c r="E1047046" s="2"/>
      <c r="F1047046" s="2"/>
      <c r="G1047046" s="2"/>
      <c r="H1047046" s="2"/>
    </row>
    <row r="1047295" spans="3:8" ht="15.6" x14ac:dyDescent="0.25">
      <c r="C1047295" s="2"/>
      <c r="D1047295" s="2"/>
      <c r="E1047295" s="2"/>
      <c r="F1047295" s="2"/>
      <c r="G1047295" s="2"/>
      <c r="H1047295" s="2"/>
    </row>
    <row r="1047544" spans="3:8" ht="15.6" x14ac:dyDescent="0.25">
      <c r="C1047544" s="2"/>
      <c r="D1047544" s="2"/>
      <c r="E1047544" s="2"/>
      <c r="F1047544" s="2"/>
      <c r="G1047544" s="2"/>
      <c r="H1047544" s="2"/>
    </row>
    <row r="1047793" spans="3:8" ht="15.6" x14ac:dyDescent="0.25">
      <c r="C1047793" s="2"/>
      <c r="D1047793" s="2"/>
      <c r="E1047793" s="2"/>
      <c r="F1047793" s="2"/>
      <c r="G1047793" s="2"/>
      <c r="H1047793" s="2"/>
    </row>
    <row r="1048042" spans="3:8" ht="15.6" x14ac:dyDescent="0.25">
      <c r="C1048042" s="2"/>
      <c r="D1048042" s="2"/>
      <c r="E1048042" s="2"/>
      <c r="F1048042" s="2"/>
      <c r="G1048042" s="2"/>
      <c r="H1048042" s="2"/>
    </row>
    <row r="1048291" spans="3:8" ht="15.6" x14ac:dyDescent="0.25">
      <c r="C1048291" s="2"/>
      <c r="D1048291" s="2"/>
      <c r="E1048291" s="2"/>
      <c r="F1048291" s="2"/>
      <c r="G1048291" s="2"/>
      <c r="H1048291" s="2"/>
    </row>
    <row r="1048540" spans="3:8" ht="15.6" x14ac:dyDescent="0.25">
      <c r="C1048540" s="2"/>
      <c r="D1048540" s="2"/>
      <c r="E1048540" s="2"/>
      <c r="F1048540" s="2"/>
      <c r="G1048540" s="2"/>
      <c r="H1048540" s="2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aseemblack@outlook.com</cp:lastModifiedBy>
  <dcterms:created xsi:type="dcterms:W3CDTF">2017-01-30T13:02:27Z</dcterms:created>
  <dcterms:modified xsi:type="dcterms:W3CDTF">2023-09-18T08:52:27Z</dcterms:modified>
</cp:coreProperties>
</file>