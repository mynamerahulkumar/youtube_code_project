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240" yWindow="72" windowWidth="20112" windowHeight="7992"/>
  </bookViews>
  <sheets>
    <sheet name="Sheet1" sheetId="1" r:id="rId1"/>
  </sheets>
  <externalReferences>
    <externalReference r:id="rId2"/>
  </externalReferences>
  <definedNames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K16" i="1" l="1"/>
  <c r="F3" i="1"/>
  <c r="F28" i="1" l="1"/>
  <c r="G28" i="1" s="1"/>
  <c r="I28" i="1" s="1"/>
  <c r="H28" i="1"/>
  <c r="J28" i="1"/>
  <c r="F29" i="1"/>
  <c r="F30" i="1"/>
  <c r="H30" i="1" s="1"/>
  <c r="G30" i="1"/>
  <c r="F31" i="1"/>
  <c r="G31" i="1"/>
  <c r="H31" i="1"/>
  <c r="F32" i="1"/>
  <c r="G32" i="1"/>
  <c r="H32" i="1"/>
  <c r="F33" i="1"/>
  <c r="G33" i="1"/>
  <c r="H33" i="1"/>
  <c r="F34" i="1"/>
  <c r="G34" i="1" s="1"/>
  <c r="H34" i="1"/>
  <c r="F35" i="1"/>
  <c r="G35" i="1"/>
  <c r="H35" i="1"/>
  <c r="F36" i="1"/>
  <c r="G36" i="1" s="1"/>
  <c r="H36" i="1"/>
  <c r="F37" i="1"/>
  <c r="F38" i="1"/>
  <c r="H38" i="1" s="1"/>
  <c r="G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 s="1"/>
  <c r="H44" i="1"/>
  <c r="F45" i="1"/>
  <c r="F46" i="1"/>
  <c r="H46" i="1" s="1"/>
  <c r="G46" i="1"/>
  <c r="F47" i="1"/>
  <c r="G47" i="1"/>
  <c r="H47" i="1"/>
  <c r="F48" i="1"/>
  <c r="G48" i="1" s="1"/>
  <c r="H48" i="1"/>
  <c r="F49" i="1"/>
  <c r="G49" i="1"/>
  <c r="H49" i="1"/>
  <c r="F50" i="1"/>
  <c r="G50" i="1"/>
  <c r="H50" i="1"/>
  <c r="F51" i="1"/>
  <c r="G51" i="1"/>
  <c r="H51" i="1"/>
  <c r="F52" i="1"/>
  <c r="G52" i="1" s="1"/>
  <c r="H52" i="1"/>
  <c r="F53" i="1"/>
  <c r="F54" i="1"/>
  <c r="H54" i="1" s="1"/>
  <c r="G54" i="1"/>
  <c r="F55" i="1"/>
  <c r="G55" i="1"/>
  <c r="H55" i="1"/>
  <c r="F56" i="1"/>
  <c r="G56" i="1" s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F62" i="1"/>
  <c r="H62" i="1" s="1"/>
  <c r="G62" i="1"/>
  <c r="F63" i="1"/>
  <c r="G63" i="1"/>
  <c r="H63" i="1"/>
  <c r="F64" i="1"/>
  <c r="G64" i="1"/>
  <c r="H64" i="1"/>
  <c r="F65" i="1"/>
  <c r="G65" i="1"/>
  <c r="H65" i="1"/>
  <c r="F66" i="1"/>
  <c r="G66" i="1" s="1"/>
  <c r="H66" i="1"/>
  <c r="F67" i="1"/>
  <c r="G67" i="1"/>
  <c r="H67" i="1"/>
  <c r="F68" i="1"/>
  <c r="G68" i="1"/>
  <c r="H68" i="1"/>
  <c r="F69" i="1"/>
  <c r="F70" i="1"/>
  <c r="H70" i="1" s="1"/>
  <c r="G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F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F86" i="1"/>
  <c r="H86" i="1" s="1"/>
  <c r="G86" i="1"/>
  <c r="F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F94" i="1"/>
  <c r="H94" i="1" s="1"/>
  <c r="G94" i="1"/>
  <c r="F95" i="1"/>
  <c r="G95" i="1"/>
  <c r="H95" i="1"/>
  <c r="F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F102" i="1"/>
  <c r="H102" i="1" s="1"/>
  <c r="G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F110" i="1"/>
  <c r="H110" i="1" s="1"/>
  <c r="G110" i="1"/>
  <c r="F111" i="1"/>
  <c r="G111" i="1" s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F118" i="1"/>
  <c r="H118" i="1" s="1"/>
  <c r="F119" i="1"/>
  <c r="G119" i="1"/>
  <c r="H119" i="1"/>
  <c r="F120" i="1"/>
  <c r="G120" i="1"/>
  <c r="H120" i="1"/>
  <c r="F121" i="1"/>
  <c r="G121" i="1"/>
  <c r="H121" i="1"/>
  <c r="F122" i="1"/>
  <c r="F123" i="1"/>
  <c r="G123" i="1"/>
  <c r="H123" i="1"/>
  <c r="F124" i="1"/>
  <c r="G124" i="1"/>
  <c r="H124" i="1"/>
  <c r="F125" i="1"/>
  <c r="F126" i="1"/>
  <c r="H126" i="1" s="1"/>
  <c r="G126" i="1"/>
  <c r="F127" i="1"/>
  <c r="G127" i="1"/>
  <c r="H127" i="1"/>
  <c r="F128" i="1"/>
  <c r="G128" i="1"/>
  <c r="H128" i="1"/>
  <c r="F129" i="1"/>
  <c r="F130" i="1"/>
  <c r="G130" i="1"/>
  <c r="H130" i="1"/>
  <c r="F131" i="1"/>
  <c r="G131" i="1"/>
  <c r="H131" i="1"/>
  <c r="F132" i="1"/>
  <c r="G132" i="1"/>
  <c r="H132" i="1"/>
  <c r="F133" i="1"/>
  <c r="F134" i="1"/>
  <c r="H134" i="1" s="1"/>
  <c r="G134" i="1"/>
  <c r="F135" i="1"/>
  <c r="G135" i="1"/>
  <c r="H135" i="1"/>
  <c r="F136" i="1"/>
  <c r="F137" i="1"/>
  <c r="G137" i="1"/>
  <c r="H137" i="1"/>
  <c r="F138" i="1"/>
  <c r="G138" i="1"/>
  <c r="H138" i="1"/>
  <c r="F139" i="1"/>
  <c r="G139" i="1"/>
  <c r="H139" i="1"/>
  <c r="F140" i="1"/>
  <c r="G140" i="1" s="1"/>
  <c r="H140" i="1"/>
  <c r="F141" i="1"/>
  <c r="F142" i="1"/>
  <c r="G142" i="1"/>
  <c r="H142" i="1"/>
  <c r="F143" i="1"/>
  <c r="F144" i="1"/>
  <c r="H144" i="1" s="1"/>
  <c r="G144" i="1"/>
  <c r="F145" i="1"/>
  <c r="G145" i="1"/>
  <c r="H145" i="1"/>
  <c r="F146" i="1"/>
  <c r="G146" i="1"/>
  <c r="H146" i="1"/>
  <c r="F147" i="1"/>
  <c r="G147" i="1" s="1"/>
  <c r="F148" i="1"/>
  <c r="G148" i="1"/>
  <c r="H148" i="1"/>
  <c r="F149" i="1"/>
  <c r="G149" i="1"/>
  <c r="H149" i="1"/>
  <c r="F150" i="1"/>
  <c r="G150" i="1" s="1"/>
  <c r="H150" i="1"/>
  <c r="F151" i="1"/>
  <c r="F152" i="1"/>
  <c r="H152" i="1" s="1"/>
  <c r="G152" i="1"/>
  <c r="F153" i="1"/>
  <c r="G153" i="1"/>
  <c r="H153" i="1"/>
  <c r="F154" i="1"/>
  <c r="G154" i="1"/>
  <c r="H154" i="1"/>
  <c r="F155" i="1"/>
  <c r="G155" i="1" s="1"/>
  <c r="F156" i="1"/>
  <c r="G156" i="1"/>
  <c r="H156" i="1"/>
  <c r="F157" i="1"/>
  <c r="G157" i="1"/>
  <c r="H157" i="1"/>
  <c r="F158" i="1"/>
  <c r="G158" i="1" s="1"/>
  <c r="H158" i="1"/>
  <c r="F159" i="1"/>
  <c r="F160" i="1"/>
  <c r="H160" i="1" s="1"/>
  <c r="G160" i="1"/>
  <c r="F161" i="1"/>
  <c r="G161" i="1"/>
  <c r="H161" i="1"/>
  <c r="F162" i="1"/>
  <c r="G162" i="1"/>
  <c r="H162" i="1"/>
  <c r="F163" i="1"/>
  <c r="F164" i="1"/>
  <c r="H164" i="1" s="1"/>
  <c r="G164" i="1"/>
  <c r="F165" i="1"/>
  <c r="G165" i="1"/>
  <c r="H165" i="1"/>
  <c r="F166" i="1"/>
  <c r="G166" i="1" s="1"/>
  <c r="H166" i="1"/>
  <c r="F167" i="1"/>
  <c r="F168" i="1"/>
  <c r="H168" i="1" s="1"/>
  <c r="G168" i="1"/>
  <c r="F169" i="1"/>
  <c r="G169" i="1"/>
  <c r="H169" i="1"/>
  <c r="F170" i="1"/>
  <c r="G170" i="1"/>
  <c r="H170" i="1"/>
  <c r="F171" i="1"/>
  <c r="F172" i="1"/>
  <c r="H172" i="1" s="1"/>
  <c r="G172" i="1"/>
  <c r="F173" i="1"/>
  <c r="G173" i="1"/>
  <c r="H173" i="1"/>
  <c r="F174" i="1"/>
  <c r="G174" i="1" s="1"/>
  <c r="H174" i="1"/>
  <c r="F175" i="1"/>
  <c r="F176" i="1"/>
  <c r="H176" i="1" s="1"/>
  <c r="G176" i="1"/>
  <c r="F177" i="1"/>
  <c r="G177" i="1"/>
  <c r="H177" i="1"/>
  <c r="F178" i="1"/>
  <c r="G178" i="1"/>
  <c r="H178" i="1"/>
  <c r="F179" i="1"/>
  <c r="F180" i="1"/>
  <c r="H180" i="1" s="1"/>
  <c r="G180" i="1"/>
  <c r="F181" i="1"/>
  <c r="G181" i="1"/>
  <c r="H181" i="1"/>
  <c r="F182" i="1"/>
  <c r="G182" i="1"/>
  <c r="H182" i="1"/>
  <c r="F183" i="1"/>
  <c r="F184" i="1"/>
  <c r="H184" i="1" s="1"/>
  <c r="G184" i="1"/>
  <c r="F185" i="1"/>
  <c r="G185" i="1"/>
  <c r="H185" i="1"/>
  <c r="F186" i="1"/>
  <c r="G186" i="1"/>
  <c r="H186" i="1"/>
  <c r="F187" i="1"/>
  <c r="F188" i="1"/>
  <c r="H188" i="1" s="1"/>
  <c r="G188" i="1"/>
  <c r="F189" i="1"/>
  <c r="G189" i="1"/>
  <c r="H189" i="1"/>
  <c r="F190" i="1"/>
  <c r="G190" i="1"/>
  <c r="H190" i="1"/>
  <c r="F191" i="1"/>
  <c r="F192" i="1"/>
  <c r="H192" i="1" s="1"/>
  <c r="F193" i="1"/>
  <c r="G193" i="1"/>
  <c r="H193" i="1"/>
  <c r="F194" i="1"/>
  <c r="G194" i="1"/>
  <c r="H194" i="1"/>
  <c r="F195" i="1"/>
  <c r="F196" i="1"/>
  <c r="H196" i="1" s="1"/>
  <c r="G196" i="1"/>
  <c r="F197" i="1"/>
  <c r="G197" i="1"/>
  <c r="H197" i="1"/>
  <c r="F198" i="1"/>
  <c r="G198" i="1"/>
  <c r="H198" i="1"/>
  <c r="F199" i="1"/>
  <c r="F200" i="1"/>
  <c r="H200" i="1" s="1"/>
  <c r="G200" i="1"/>
  <c r="F201" i="1"/>
  <c r="G201" i="1" s="1"/>
  <c r="H201" i="1"/>
  <c r="F202" i="1"/>
  <c r="G202" i="1"/>
  <c r="H202" i="1"/>
  <c r="F203" i="1"/>
  <c r="G203" i="1" s="1"/>
  <c r="F204" i="1"/>
  <c r="H204" i="1" s="1"/>
  <c r="G204" i="1"/>
  <c r="F205" i="1"/>
  <c r="G205" i="1"/>
  <c r="H205" i="1"/>
  <c r="F206" i="1"/>
  <c r="G206" i="1"/>
  <c r="H206" i="1"/>
  <c r="F207" i="1"/>
  <c r="F208" i="1"/>
  <c r="H208" i="1" s="1"/>
  <c r="F209" i="1"/>
  <c r="G209" i="1"/>
  <c r="H209" i="1"/>
  <c r="F210" i="1"/>
  <c r="G210" i="1"/>
  <c r="H210" i="1"/>
  <c r="F211" i="1"/>
  <c r="G211" i="1" s="1"/>
  <c r="H211" i="1"/>
  <c r="F212" i="1"/>
  <c r="H212" i="1" s="1"/>
  <c r="F213" i="1"/>
  <c r="G213" i="1"/>
  <c r="H213" i="1"/>
  <c r="F214" i="1"/>
  <c r="G214" i="1" s="1"/>
  <c r="H214" i="1"/>
  <c r="F215" i="1"/>
  <c r="F216" i="1"/>
  <c r="H216" i="1" s="1"/>
  <c r="G216" i="1"/>
  <c r="F217" i="1"/>
  <c r="G217" i="1" s="1"/>
  <c r="F218" i="1"/>
  <c r="G218" i="1"/>
  <c r="H218" i="1"/>
  <c r="F219" i="1"/>
  <c r="G219" i="1" s="1"/>
  <c r="H219" i="1"/>
  <c r="F220" i="1"/>
  <c r="H220" i="1" s="1"/>
  <c r="G220" i="1"/>
  <c r="F221" i="1"/>
  <c r="G221" i="1"/>
  <c r="H221" i="1"/>
  <c r="F222" i="1"/>
  <c r="G222" i="1" s="1"/>
  <c r="H222" i="1"/>
  <c r="F223" i="1"/>
  <c r="F224" i="1"/>
  <c r="G224" i="1"/>
  <c r="H224" i="1"/>
  <c r="F225" i="1"/>
  <c r="G225" i="1" s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 s="1"/>
  <c r="F233" i="1"/>
  <c r="H233" i="1" s="1"/>
  <c r="G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 s="1"/>
  <c r="F241" i="1"/>
  <c r="H241" i="1" s="1"/>
  <c r="G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 s="1"/>
  <c r="F249" i="1"/>
  <c r="H249" i="1" s="1"/>
  <c r="G249" i="1"/>
  <c r="G179" i="1" l="1"/>
  <c r="H179" i="1"/>
  <c r="G183" i="1"/>
  <c r="H183" i="1"/>
  <c r="G223" i="1"/>
  <c r="H223" i="1"/>
  <c r="G207" i="1"/>
  <c r="H207" i="1"/>
  <c r="G191" i="1"/>
  <c r="H191" i="1"/>
  <c r="G171" i="1"/>
  <c r="H171" i="1"/>
  <c r="G187" i="1"/>
  <c r="H187" i="1"/>
  <c r="G163" i="1"/>
  <c r="H163" i="1"/>
  <c r="G129" i="1"/>
  <c r="H129" i="1"/>
  <c r="G159" i="1"/>
  <c r="H159" i="1"/>
  <c r="G199" i="1"/>
  <c r="H199" i="1"/>
  <c r="G215" i="1"/>
  <c r="H215" i="1"/>
  <c r="G195" i="1"/>
  <c r="H195" i="1"/>
  <c r="G143" i="1"/>
  <c r="H143" i="1"/>
  <c r="G122" i="1"/>
  <c r="H122" i="1"/>
  <c r="H248" i="1"/>
  <c r="H240" i="1"/>
  <c r="H232" i="1"/>
  <c r="H225" i="1"/>
  <c r="H217" i="1"/>
  <c r="G208" i="1"/>
  <c r="H203" i="1"/>
  <c r="G175" i="1"/>
  <c r="H175" i="1"/>
  <c r="G96" i="1"/>
  <c r="H96" i="1"/>
  <c r="H78" i="1"/>
  <c r="G78" i="1"/>
  <c r="G212" i="1"/>
  <c r="G192" i="1"/>
  <c r="G167" i="1"/>
  <c r="H167" i="1"/>
  <c r="G151" i="1"/>
  <c r="H151" i="1"/>
  <c r="G136" i="1"/>
  <c r="H136" i="1"/>
  <c r="G87" i="1"/>
  <c r="H87" i="1"/>
  <c r="G117" i="1"/>
  <c r="H117" i="1"/>
  <c r="G93" i="1"/>
  <c r="H93" i="1"/>
  <c r="G77" i="1"/>
  <c r="H77" i="1"/>
  <c r="H155" i="1"/>
  <c r="H147" i="1"/>
  <c r="G61" i="1"/>
  <c r="H61" i="1"/>
  <c r="G141" i="1"/>
  <c r="H141" i="1"/>
  <c r="G118" i="1"/>
  <c r="G125" i="1"/>
  <c r="H125" i="1"/>
  <c r="G101" i="1"/>
  <c r="H101" i="1"/>
  <c r="G85" i="1"/>
  <c r="H85" i="1"/>
  <c r="G29" i="1"/>
  <c r="H29" i="1"/>
  <c r="G45" i="1"/>
  <c r="H45" i="1"/>
  <c r="G37" i="1"/>
  <c r="H37" i="1"/>
  <c r="J29" i="1"/>
  <c r="G109" i="1"/>
  <c r="H109" i="1"/>
  <c r="G69" i="1"/>
  <c r="H69" i="1"/>
  <c r="G53" i="1"/>
  <c r="H53" i="1"/>
  <c r="G133" i="1"/>
  <c r="H133" i="1"/>
  <c r="I29" i="1"/>
  <c r="K28" i="1"/>
  <c r="L28" i="1" s="1"/>
  <c r="F27" i="1"/>
  <c r="F26" i="1"/>
  <c r="H26" i="1" s="1"/>
  <c r="F25" i="1"/>
  <c r="H25" i="1" s="1"/>
  <c r="F24" i="1"/>
  <c r="H24" i="1" s="1"/>
  <c r="F23" i="1"/>
  <c r="F22" i="1"/>
  <c r="H22" i="1" s="1"/>
  <c r="F21" i="1"/>
  <c r="H21" i="1" s="1"/>
  <c r="F20" i="1"/>
  <c r="H20" i="1" s="1"/>
  <c r="F19" i="1"/>
  <c r="F18" i="1"/>
  <c r="H18" i="1" s="1"/>
  <c r="F17" i="1"/>
  <c r="H17" i="1" s="1"/>
  <c r="F16" i="1"/>
  <c r="H16" i="1" s="1"/>
  <c r="F15" i="1"/>
  <c r="F14" i="1"/>
  <c r="F13" i="1"/>
  <c r="F12" i="1"/>
  <c r="F11" i="1"/>
  <c r="F10" i="1"/>
  <c r="F9" i="1"/>
  <c r="F8" i="1"/>
  <c r="F7" i="1"/>
  <c r="F6" i="1"/>
  <c r="F5" i="1"/>
  <c r="F4" i="1"/>
  <c r="I30" i="1" l="1"/>
  <c r="K29" i="1"/>
  <c r="J30" i="1"/>
  <c r="L29" i="1"/>
  <c r="G21" i="1"/>
  <c r="G17" i="1"/>
  <c r="G22" i="1"/>
  <c r="G25" i="1"/>
  <c r="G18" i="1"/>
  <c r="G26" i="1"/>
  <c r="H6" i="1"/>
  <c r="G6" i="1"/>
  <c r="G10" i="1"/>
  <c r="H10" i="1"/>
  <c r="H14" i="1"/>
  <c r="G14" i="1"/>
  <c r="G3" i="1"/>
  <c r="H3" i="1"/>
  <c r="G7" i="1"/>
  <c r="H7" i="1"/>
  <c r="H11" i="1"/>
  <c r="G11" i="1"/>
  <c r="G15" i="1"/>
  <c r="H15" i="1"/>
  <c r="H19" i="1"/>
  <c r="G19" i="1"/>
  <c r="H4" i="1"/>
  <c r="G4" i="1"/>
  <c r="H8" i="1"/>
  <c r="G8" i="1"/>
  <c r="G12" i="1"/>
  <c r="H12" i="1"/>
  <c r="H27" i="1"/>
  <c r="G27" i="1"/>
  <c r="G5" i="1"/>
  <c r="H5" i="1"/>
  <c r="H9" i="1"/>
  <c r="G9" i="1"/>
  <c r="G13" i="1"/>
  <c r="H13" i="1"/>
  <c r="G23" i="1"/>
  <c r="H23" i="1"/>
  <c r="G16" i="1"/>
  <c r="G20" i="1"/>
  <c r="G24" i="1"/>
  <c r="J31" i="1" l="1"/>
  <c r="I31" i="1"/>
  <c r="K30" i="1"/>
  <c r="L30" i="1" s="1"/>
  <c r="I16" i="1"/>
  <c r="J16" i="1"/>
  <c r="K31" i="1" l="1"/>
  <c r="I32" i="1"/>
  <c r="J32" i="1"/>
  <c r="L31" i="1"/>
  <c r="L16" i="1"/>
  <c r="I17" i="1"/>
  <c r="J17" i="1"/>
  <c r="J33" i="1" l="1"/>
  <c r="K32" i="1"/>
  <c r="L32" i="1" s="1"/>
  <c r="I33" i="1"/>
  <c r="J18" i="1"/>
  <c r="K17" i="1"/>
  <c r="L17" i="1" s="1"/>
  <c r="I18" i="1"/>
  <c r="K33" i="1" l="1"/>
  <c r="I34" i="1"/>
  <c r="L33" i="1"/>
  <c r="J34" i="1"/>
  <c r="J19" i="1"/>
  <c r="I19" i="1"/>
  <c r="K18" i="1"/>
  <c r="L18" i="1" s="1"/>
  <c r="J35" i="1" l="1"/>
  <c r="I35" i="1"/>
  <c r="K34" i="1"/>
  <c r="L34" i="1" s="1"/>
  <c r="K19" i="1"/>
  <c r="L19" i="1" s="1"/>
  <c r="I20" i="1"/>
  <c r="J20" i="1"/>
  <c r="J36" i="1" l="1"/>
  <c r="I36" i="1"/>
  <c r="K35" i="1"/>
  <c r="L35" i="1" s="1"/>
  <c r="J21" i="1"/>
  <c r="I21" i="1"/>
  <c r="K20" i="1"/>
  <c r="L20" i="1" s="1"/>
  <c r="I37" i="1" l="1"/>
  <c r="K36" i="1"/>
  <c r="J37" i="1"/>
  <c r="L36" i="1"/>
  <c r="K21" i="1"/>
  <c r="L21" i="1" s="1"/>
  <c r="I22" i="1"/>
  <c r="J22" i="1"/>
  <c r="J38" i="1" l="1"/>
  <c r="I38" i="1"/>
  <c r="K37" i="1"/>
  <c r="L37" i="1" s="1"/>
  <c r="J23" i="1"/>
  <c r="I23" i="1"/>
  <c r="K22" i="1"/>
  <c r="L22" i="1" s="1"/>
  <c r="I39" i="1" l="1"/>
  <c r="K38" i="1"/>
  <c r="J39" i="1"/>
  <c r="L38" i="1"/>
  <c r="K23" i="1"/>
  <c r="L23" i="1" s="1"/>
  <c r="I24" i="1"/>
  <c r="J24" i="1"/>
  <c r="J40" i="1" l="1"/>
  <c r="L39" i="1"/>
  <c r="K39" i="1"/>
  <c r="I40" i="1"/>
  <c r="J25" i="1"/>
  <c r="I25" i="1"/>
  <c r="K24" i="1"/>
  <c r="L24" i="1" s="1"/>
  <c r="K40" i="1" l="1"/>
  <c r="I41" i="1"/>
  <c r="L40" i="1"/>
  <c r="J41" i="1"/>
  <c r="K25" i="1"/>
  <c r="L25" i="1" s="1"/>
  <c r="I26" i="1"/>
  <c r="J26" i="1"/>
  <c r="J42" i="1" l="1"/>
  <c r="K41" i="1"/>
  <c r="L41" i="1" s="1"/>
  <c r="I42" i="1"/>
  <c r="J27" i="1"/>
  <c r="I27" i="1"/>
  <c r="K26" i="1"/>
  <c r="L26" i="1" s="1"/>
  <c r="I43" i="1" l="1"/>
  <c r="K42" i="1"/>
  <c r="L42" i="1"/>
  <c r="J43" i="1"/>
  <c r="K27" i="1"/>
  <c r="L27" i="1"/>
  <c r="J44" i="1" l="1"/>
  <c r="L43" i="1"/>
  <c r="I44" i="1"/>
  <c r="K43" i="1"/>
  <c r="J45" i="1" l="1"/>
  <c r="I45" i="1"/>
  <c r="K44" i="1"/>
  <c r="L44" i="1" s="1"/>
  <c r="I46" i="1" l="1"/>
  <c r="K45" i="1"/>
  <c r="J46" i="1"/>
  <c r="L45" i="1"/>
  <c r="J47" i="1" l="1"/>
  <c r="I47" i="1"/>
  <c r="K46" i="1"/>
  <c r="L46" i="1" s="1"/>
  <c r="K47" i="1" l="1"/>
  <c r="I48" i="1"/>
  <c r="J48" i="1"/>
  <c r="L47" i="1"/>
  <c r="K48" i="1" l="1"/>
  <c r="I49" i="1"/>
  <c r="L48" i="1"/>
  <c r="J49" i="1"/>
  <c r="K49" i="1" l="1"/>
  <c r="I50" i="1"/>
  <c r="L49" i="1"/>
  <c r="J50" i="1"/>
  <c r="J51" i="1" l="1"/>
  <c r="I51" i="1"/>
  <c r="K50" i="1"/>
  <c r="L50" i="1" s="1"/>
  <c r="I52" i="1" l="1"/>
  <c r="K51" i="1"/>
  <c r="J52" i="1"/>
  <c r="L51" i="1"/>
  <c r="J53" i="1" l="1"/>
  <c r="I53" i="1"/>
  <c r="K52" i="1"/>
  <c r="L52" i="1" s="1"/>
  <c r="I54" i="1" l="1"/>
  <c r="K53" i="1"/>
  <c r="J54" i="1"/>
  <c r="L53" i="1"/>
  <c r="J55" i="1" l="1"/>
  <c r="I55" i="1"/>
  <c r="K54" i="1"/>
  <c r="L54" i="1" s="1"/>
  <c r="K55" i="1" l="1"/>
  <c r="I56" i="1"/>
  <c r="J56" i="1"/>
  <c r="L55" i="1"/>
  <c r="J57" i="1" l="1"/>
  <c r="K56" i="1"/>
  <c r="L56" i="1" s="1"/>
  <c r="I57" i="1"/>
  <c r="J58" i="1" l="1"/>
  <c r="K57" i="1"/>
  <c r="L57" i="1" s="1"/>
  <c r="I58" i="1"/>
  <c r="J59" i="1" l="1"/>
  <c r="I59" i="1"/>
  <c r="K58" i="1"/>
  <c r="L58" i="1" s="1"/>
  <c r="J60" i="1" l="1"/>
  <c r="I60" i="1"/>
  <c r="K59" i="1"/>
  <c r="L59" i="1" s="1"/>
  <c r="I61" i="1" l="1"/>
  <c r="K60" i="1"/>
  <c r="J61" i="1"/>
  <c r="L60" i="1"/>
  <c r="J62" i="1" l="1"/>
  <c r="I62" i="1"/>
  <c r="K61" i="1"/>
  <c r="L61" i="1" s="1"/>
  <c r="I63" i="1" l="1"/>
  <c r="K62" i="1"/>
  <c r="J63" i="1"/>
  <c r="L62" i="1"/>
  <c r="J64" i="1" l="1"/>
  <c r="K63" i="1"/>
  <c r="L63" i="1" s="1"/>
  <c r="I64" i="1"/>
  <c r="K64" i="1" l="1"/>
  <c r="I65" i="1"/>
  <c r="L64" i="1"/>
  <c r="J65" i="1"/>
  <c r="J66" i="1" l="1"/>
  <c r="K65" i="1"/>
  <c r="L65" i="1" s="1"/>
  <c r="I66" i="1"/>
  <c r="I67" i="1" l="1"/>
  <c r="K66" i="1"/>
  <c r="L66" i="1"/>
  <c r="J67" i="1"/>
  <c r="J68" i="1" l="1"/>
  <c r="I68" i="1"/>
  <c r="K67" i="1"/>
  <c r="L67" i="1" s="1"/>
  <c r="I69" i="1" l="1"/>
  <c r="K68" i="1"/>
  <c r="J69" i="1"/>
  <c r="L68" i="1"/>
  <c r="J70" i="1" l="1"/>
  <c r="I70" i="1"/>
  <c r="K69" i="1"/>
  <c r="L69" i="1" s="1"/>
  <c r="I71" i="1" l="1"/>
  <c r="K70" i="1"/>
  <c r="J71" i="1"/>
  <c r="L70" i="1"/>
  <c r="J72" i="1" l="1"/>
  <c r="K71" i="1"/>
  <c r="L71" i="1" s="1"/>
  <c r="I72" i="1"/>
  <c r="K72" i="1" l="1"/>
  <c r="I73" i="1"/>
  <c r="L72" i="1"/>
  <c r="J73" i="1"/>
  <c r="J74" i="1" l="1"/>
  <c r="K73" i="1"/>
  <c r="L73" i="1" s="1"/>
  <c r="I74" i="1"/>
  <c r="I75" i="1" l="1"/>
  <c r="K74" i="1"/>
  <c r="L74" i="1"/>
  <c r="J75" i="1"/>
  <c r="J76" i="1" l="1"/>
  <c r="I76" i="1"/>
  <c r="K75" i="1"/>
  <c r="L75" i="1" s="1"/>
  <c r="I77" i="1" l="1"/>
  <c r="K76" i="1"/>
  <c r="J77" i="1"/>
  <c r="L76" i="1"/>
  <c r="J78" i="1" l="1"/>
  <c r="I78" i="1"/>
  <c r="K77" i="1"/>
  <c r="L77" i="1" s="1"/>
  <c r="I79" i="1" l="1"/>
  <c r="K78" i="1"/>
  <c r="J79" i="1"/>
  <c r="L78" i="1"/>
  <c r="J80" i="1" l="1"/>
  <c r="K79" i="1"/>
  <c r="L79" i="1" s="1"/>
  <c r="I80" i="1"/>
  <c r="K80" i="1" l="1"/>
  <c r="I81" i="1"/>
  <c r="L80" i="1"/>
  <c r="J81" i="1"/>
  <c r="J82" i="1" l="1"/>
  <c r="K81" i="1"/>
  <c r="L81" i="1" s="1"/>
  <c r="I82" i="1"/>
  <c r="J83" i="1" l="1"/>
  <c r="I83" i="1"/>
  <c r="K82" i="1"/>
  <c r="L82" i="1" s="1"/>
  <c r="J84" i="1" l="1"/>
  <c r="I84" i="1"/>
  <c r="K83" i="1"/>
  <c r="L83" i="1" s="1"/>
  <c r="I85" i="1" l="1"/>
  <c r="K84" i="1"/>
  <c r="J85" i="1"/>
  <c r="L84" i="1"/>
  <c r="J86" i="1" l="1"/>
  <c r="I86" i="1"/>
  <c r="K85" i="1"/>
  <c r="L85" i="1" s="1"/>
  <c r="I87" i="1" l="1"/>
  <c r="K86" i="1"/>
  <c r="J87" i="1"/>
  <c r="L86" i="1"/>
  <c r="J88" i="1" l="1"/>
  <c r="K87" i="1"/>
  <c r="L87" i="1" s="1"/>
  <c r="I88" i="1"/>
  <c r="K88" i="1" l="1"/>
  <c r="I89" i="1"/>
  <c r="L88" i="1"/>
  <c r="J89" i="1"/>
  <c r="L89" i="1" l="1"/>
  <c r="J90" i="1"/>
  <c r="K89" i="1"/>
  <c r="I90" i="1"/>
  <c r="K90" i="1" l="1"/>
  <c r="I91" i="1"/>
  <c r="L90" i="1"/>
  <c r="J91" i="1"/>
  <c r="J92" i="1" l="1"/>
  <c r="I92" i="1"/>
  <c r="K91" i="1"/>
  <c r="L91" i="1" s="1"/>
  <c r="I93" i="1" l="1"/>
  <c r="K92" i="1"/>
  <c r="J93" i="1"/>
  <c r="L92" i="1"/>
  <c r="J94" i="1" l="1"/>
  <c r="I94" i="1"/>
  <c r="K93" i="1"/>
  <c r="L93" i="1" s="1"/>
  <c r="I95" i="1" l="1"/>
  <c r="K94" i="1"/>
  <c r="J95" i="1"/>
  <c r="L94" i="1"/>
  <c r="J96" i="1" l="1"/>
  <c r="K95" i="1"/>
  <c r="L95" i="1" s="1"/>
  <c r="I96" i="1"/>
  <c r="K96" i="1" l="1"/>
  <c r="I97" i="1"/>
  <c r="L96" i="1"/>
  <c r="J97" i="1"/>
  <c r="J98" i="1" l="1"/>
  <c r="K97" i="1"/>
  <c r="L97" i="1" s="1"/>
  <c r="I98" i="1"/>
  <c r="I99" i="1" l="1"/>
  <c r="K98" i="1"/>
  <c r="L98" i="1"/>
  <c r="J99" i="1"/>
  <c r="J100" i="1" l="1"/>
  <c r="I100" i="1"/>
  <c r="K99" i="1"/>
  <c r="L99" i="1" s="1"/>
  <c r="I101" i="1" l="1"/>
  <c r="K100" i="1"/>
  <c r="J101" i="1"/>
  <c r="L100" i="1"/>
  <c r="J102" i="1" l="1"/>
  <c r="I102" i="1"/>
  <c r="K101" i="1"/>
  <c r="L101" i="1" s="1"/>
  <c r="I103" i="1" l="1"/>
  <c r="K102" i="1"/>
  <c r="J103" i="1"/>
  <c r="L102" i="1"/>
  <c r="J104" i="1" l="1"/>
  <c r="K103" i="1"/>
  <c r="L103" i="1" s="1"/>
  <c r="I104" i="1"/>
  <c r="L104" i="1" l="1"/>
  <c r="J105" i="1"/>
  <c r="K104" i="1"/>
  <c r="I105" i="1"/>
  <c r="K105" i="1" l="1"/>
  <c r="I106" i="1"/>
  <c r="L105" i="1"/>
  <c r="J106" i="1"/>
  <c r="J107" i="1" l="1"/>
  <c r="K106" i="1"/>
  <c r="L106" i="1" s="1"/>
  <c r="I107" i="1"/>
  <c r="K107" i="1" l="1"/>
  <c r="I108" i="1"/>
  <c r="L107" i="1"/>
  <c r="J108" i="1"/>
  <c r="L108" i="1" l="1"/>
  <c r="J109" i="1"/>
  <c r="I109" i="1"/>
  <c r="K108" i="1"/>
  <c r="I110" i="1" l="1"/>
  <c r="K109" i="1"/>
  <c r="J110" i="1"/>
  <c r="L109" i="1"/>
  <c r="J111" i="1" l="1"/>
  <c r="I111" i="1"/>
  <c r="K110" i="1"/>
  <c r="L110" i="1" s="1"/>
  <c r="I112" i="1" l="1"/>
  <c r="K111" i="1"/>
  <c r="J112" i="1"/>
  <c r="L111" i="1"/>
  <c r="J113" i="1" l="1"/>
  <c r="K112" i="1"/>
  <c r="L112" i="1" s="1"/>
  <c r="I113" i="1"/>
  <c r="K113" i="1" l="1"/>
  <c r="I114" i="1"/>
  <c r="L113" i="1"/>
  <c r="J114" i="1"/>
  <c r="J115" i="1" l="1"/>
  <c r="I115" i="1"/>
  <c r="K114" i="1"/>
  <c r="L114" i="1" s="1"/>
  <c r="I116" i="1" l="1"/>
  <c r="K115" i="1"/>
  <c r="J116" i="1"/>
  <c r="L115" i="1"/>
  <c r="J117" i="1" l="1"/>
  <c r="K116" i="1"/>
  <c r="L116" i="1" s="1"/>
  <c r="I117" i="1"/>
  <c r="I118" i="1" l="1"/>
  <c r="K117" i="1"/>
  <c r="L117" i="1"/>
  <c r="J118" i="1"/>
  <c r="J119" i="1" l="1"/>
  <c r="I119" i="1"/>
  <c r="K118" i="1"/>
  <c r="L118" i="1" s="1"/>
  <c r="I120" i="1" l="1"/>
  <c r="K119" i="1"/>
  <c r="J120" i="1"/>
  <c r="L119" i="1"/>
  <c r="J121" i="1" l="1"/>
  <c r="K120" i="1"/>
  <c r="L120" i="1" s="1"/>
  <c r="I121" i="1"/>
  <c r="K121" i="1" l="1"/>
  <c r="I122" i="1"/>
  <c r="L121" i="1"/>
  <c r="J122" i="1"/>
  <c r="J123" i="1" l="1"/>
  <c r="I123" i="1"/>
  <c r="K122" i="1"/>
  <c r="L122" i="1" s="1"/>
  <c r="J124" i="1" l="1"/>
  <c r="K123" i="1"/>
  <c r="L123" i="1" s="1"/>
  <c r="I124" i="1"/>
  <c r="K124" i="1" l="1"/>
  <c r="I125" i="1"/>
  <c r="L124" i="1"/>
  <c r="J125" i="1"/>
  <c r="J126" i="1" l="1"/>
  <c r="I126" i="1"/>
  <c r="K125" i="1"/>
  <c r="L125" i="1" s="1"/>
  <c r="I127" i="1" l="1"/>
  <c r="K126" i="1"/>
  <c r="J127" i="1"/>
  <c r="L126" i="1"/>
  <c r="J128" i="1" l="1"/>
  <c r="K127" i="1"/>
  <c r="L127" i="1" s="1"/>
  <c r="I128" i="1"/>
  <c r="K128" i="1" l="1"/>
  <c r="I129" i="1"/>
  <c r="J129" i="1"/>
  <c r="L128" i="1"/>
  <c r="K129" i="1" l="1"/>
  <c r="I130" i="1"/>
  <c r="L129" i="1"/>
  <c r="J130" i="1"/>
  <c r="K130" i="1" l="1"/>
  <c r="I131" i="1"/>
  <c r="L130" i="1"/>
  <c r="J131" i="1"/>
  <c r="J132" i="1" l="1"/>
  <c r="I132" i="1"/>
  <c r="K131" i="1"/>
  <c r="L131" i="1" s="1"/>
  <c r="I133" i="1" l="1"/>
  <c r="K132" i="1"/>
  <c r="J133" i="1"/>
  <c r="L132" i="1"/>
  <c r="J134" i="1" l="1"/>
  <c r="I134" i="1"/>
  <c r="K133" i="1"/>
  <c r="L133" i="1" s="1"/>
  <c r="I135" i="1" l="1"/>
  <c r="K134" i="1"/>
  <c r="J135" i="1"/>
  <c r="L134" i="1"/>
  <c r="J136" i="1" l="1"/>
  <c r="L135" i="1"/>
  <c r="I136" i="1"/>
  <c r="K135" i="1"/>
  <c r="K136" i="1" l="1"/>
  <c r="I137" i="1"/>
  <c r="J137" i="1"/>
  <c r="L136" i="1"/>
  <c r="K137" i="1" l="1"/>
  <c r="I138" i="1"/>
  <c r="L137" i="1"/>
  <c r="J138" i="1"/>
  <c r="J139" i="1" l="1"/>
  <c r="I139" i="1"/>
  <c r="K138" i="1"/>
  <c r="L138" i="1" s="1"/>
  <c r="I140" i="1" l="1"/>
  <c r="K139" i="1"/>
  <c r="J140" i="1"/>
  <c r="L139" i="1"/>
  <c r="J141" i="1" l="1"/>
  <c r="K140" i="1"/>
  <c r="L140" i="1" s="1"/>
  <c r="I141" i="1"/>
  <c r="I142" i="1" l="1"/>
  <c r="K141" i="1"/>
  <c r="L141" i="1"/>
  <c r="J142" i="1"/>
  <c r="J143" i="1" l="1"/>
  <c r="I143" i="1"/>
  <c r="K142" i="1"/>
  <c r="L142" i="1" s="1"/>
  <c r="I144" i="1" l="1"/>
  <c r="K143" i="1"/>
  <c r="J144" i="1"/>
  <c r="L143" i="1"/>
  <c r="J145" i="1" l="1"/>
  <c r="I145" i="1"/>
  <c r="K144" i="1"/>
  <c r="L144" i="1" s="1"/>
  <c r="K145" i="1" l="1"/>
  <c r="I146" i="1"/>
  <c r="J146" i="1"/>
  <c r="L145" i="1"/>
  <c r="J147" i="1" l="1"/>
  <c r="K146" i="1"/>
  <c r="L146" i="1" s="1"/>
  <c r="I147" i="1"/>
  <c r="K147" i="1" l="1"/>
  <c r="I148" i="1"/>
  <c r="L147" i="1"/>
  <c r="J148" i="1"/>
  <c r="I149" i="1" l="1"/>
  <c r="K148" i="1"/>
  <c r="L148" i="1"/>
  <c r="J149" i="1"/>
  <c r="J150" i="1" l="1"/>
  <c r="L149" i="1"/>
  <c r="I150" i="1"/>
  <c r="K149" i="1"/>
  <c r="I151" i="1" l="1"/>
  <c r="K150" i="1"/>
  <c r="J151" i="1"/>
  <c r="L150" i="1"/>
  <c r="J152" i="1" l="1"/>
  <c r="L151" i="1"/>
  <c r="I152" i="1"/>
  <c r="K151" i="1"/>
  <c r="J153" i="1" l="1"/>
  <c r="I153" i="1"/>
  <c r="K152" i="1"/>
  <c r="L152" i="1" s="1"/>
  <c r="K153" i="1" l="1"/>
  <c r="I154" i="1"/>
  <c r="J154" i="1"/>
  <c r="L153" i="1"/>
  <c r="K154" i="1" l="1"/>
  <c r="I155" i="1"/>
  <c r="L154" i="1"/>
  <c r="J155" i="1"/>
  <c r="J156" i="1" l="1"/>
  <c r="K155" i="1"/>
  <c r="L155" i="1" s="1"/>
  <c r="I156" i="1"/>
  <c r="I157" i="1" l="1"/>
  <c r="K156" i="1"/>
  <c r="L156" i="1"/>
  <c r="J157" i="1"/>
  <c r="J158" i="1" l="1"/>
  <c r="K157" i="1"/>
  <c r="L157" i="1" s="1"/>
  <c r="I158" i="1"/>
  <c r="I159" i="1" l="1"/>
  <c r="K158" i="1"/>
  <c r="L158" i="1"/>
  <c r="J159" i="1"/>
  <c r="J160" i="1" l="1"/>
  <c r="I160" i="1"/>
  <c r="K159" i="1"/>
  <c r="L159" i="1" s="1"/>
  <c r="I161" i="1" l="1"/>
  <c r="K160" i="1"/>
  <c r="J161" i="1"/>
  <c r="L160" i="1"/>
  <c r="J162" i="1" l="1"/>
  <c r="K161" i="1"/>
  <c r="L161" i="1" s="1"/>
  <c r="I162" i="1"/>
  <c r="K162" i="1" l="1"/>
  <c r="I163" i="1"/>
  <c r="L162" i="1"/>
  <c r="J163" i="1"/>
  <c r="J164" i="1" l="1"/>
  <c r="K163" i="1"/>
  <c r="L163" i="1" s="1"/>
  <c r="I164" i="1"/>
  <c r="I165" i="1" l="1"/>
  <c r="K164" i="1"/>
  <c r="L164" i="1"/>
  <c r="J165" i="1"/>
  <c r="J166" i="1" l="1"/>
  <c r="K165" i="1"/>
  <c r="L165" i="1" s="1"/>
  <c r="I166" i="1"/>
  <c r="I167" i="1" l="1"/>
  <c r="K166" i="1"/>
  <c r="L166" i="1"/>
  <c r="J167" i="1"/>
  <c r="J168" i="1" l="1"/>
  <c r="I168" i="1"/>
  <c r="K167" i="1"/>
  <c r="L167" i="1" s="1"/>
  <c r="I169" i="1" l="1"/>
  <c r="K168" i="1"/>
  <c r="J169" i="1"/>
  <c r="L168" i="1"/>
  <c r="J170" i="1" l="1"/>
  <c r="L169" i="1"/>
  <c r="K169" i="1"/>
  <c r="I170" i="1"/>
  <c r="K170" i="1" l="1"/>
  <c r="I171" i="1"/>
  <c r="L170" i="1"/>
  <c r="J171" i="1"/>
  <c r="K171" i="1" l="1"/>
  <c r="I172" i="1"/>
  <c r="L171" i="1"/>
  <c r="J172" i="1"/>
  <c r="J173" i="1" l="1"/>
  <c r="I173" i="1"/>
  <c r="K172" i="1"/>
  <c r="L172" i="1" s="1"/>
  <c r="K173" i="1" l="1"/>
  <c r="I174" i="1"/>
  <c r="J174" i="1"/>
  <c r="L173" i="1"/>
  <c r="J175" i="1" l="1"/>
  <c r="I175" i="1"/>
  <c r="K174" i="1"/>
  <c r="L174" i="1" s="1"/>
  <c r="J176" i="1" l="1"/>
  <c r="I176" i="1"/>
  <c r="K175" i="1"/>
  <c r="L175" i="1" s="1"/>
  <c r="J177" i="1" l="1"/>
  <c r="I177" i="1"/>
  <c r="K176" i="1"/>
  <c r="L176" i="1" s="1"/>
  <c r="K177" i="1" l="1"/>
  <c r="I178" i="1"/>
  <c r="J178" i="1"/>
  <c r="L177" i="1"/>
  <c r="J179" i="1" l="1"/>
  <c r="K178" i="1"/>
  <c r="L178" i="1" s="1"/>
  <c r="I179" i="1"/>
  <c r="J180" i="1" l="1"/>
  <c r="K179" i="1"/>
  <c r="L179" i="1" s="1"/>
  <c r="I180" i="1"/>
  <c r="I181" i="1" l="1"/>
  <c r="K180" i="1"/>
  <c r="L180" i="1"/>
  <c r="J181" i="1"/>
  <c r="J182" i="1" l="1"/>
  <c r="K181" i="1"/>
  <c r="L181" i="1" s="1"/>
  <c r="I182" i="1"/>
  <c r="I183" i="1" l="1"/>
  <c r="K182" i="1"/>
  <c r="J183" i="1"/>
  <c r="L182" i="1"/>
  <c r="J184" i="1" l="1"/>
  <c r="I184" i="1"/>
  <c r="K183" i="1"/>
  <c r="L183" i="1" s="1"/>
  <c r="I185" i="1" l="1"/>
  <c r="K184" i="1"/>
  <c r="J185" i="1"/>
  <c r="L184" i="1"/>
  <c r="J186" i="1" l="1"/>
  <c r="L185" i="1"/>
  <c r="K185" i="1"/>
  <c r="I186" i="1"/>
  <c r="K186" i="1" l="1"/>
  <c r="I187" i="1"/>
  <c r="L186" i="1"/>
  <c r="J187" i="1"/>
  <c r="J188" i="1" l="1"/>
  <c r="K187" i="1"/>
  <c r="L187" i="1" s="1"/>
  <c r="I188" i="1"/>
  <c r="I189" i="1" l="1"/>
  <c r="K188" i="1"/>
  <c r="L188" i="1"/>
  <c r="J189" i="1"/>
  <c r="J190" i="1" l="1"/>
  <c r="I190" i="1"/>
  <c r="K189" i="1"/>
  <c r="L189" i="1" s="1"/>
  <c r="I191" i="1" l="1"/>
  <c r="K190" i="1"/>
  <c r="L190" i="1"/>
  <c r="J191" i="1"/>
  <c r="J192" i="1" l="1"/>
  <c r="I192" i="1"/>
  <c r="K191" i="1"/>
  <c r="L191" i="1" s="1"/>
  <c r="I193" i="1" l="1"/>
  <c r="K192" i="1"/>
  <c r="J193" i="1"/>
  <c r="L192" i="1"/>
  <c r="J194" i="1" l="1"/>
  <c r="K193" i="1"/>
  <c r="L193" i="1" s="1"/>
  <c r="I194" i="1"/>
  <c r="K194" i="1" l="1"/>
  <c r="I195" i="1"/>
  <c r="L194" i="1"/>
  <c r="J195" i="1"/>
  <c r="K195" i="1" l="1"/>
  <c r="I196" i="1"/>
  <c r="L195" i="1"/>
  <c r="J196" i="1"/>
  <c r="J197" i="1" l="1"/>
  <c r="I197" i="1"/>
  <c r="K196" i="1"/>
  <c r="L196" i="1" s="1"/>
  <c r="I198" i="1" l="1"/>
  <c r="K197" i="1"/>
  <c r="J198" i="1"/>
  <c r="L197" i="1"/>
  <c r="J199" i="1" l="1"/>
  <c r="I199" i="1"/>
  <c r="K198" i="1"/>
  <c r="L198" i="1" s="1"/>
  <c r="I200" i="1" l="1"/>
  <c r="K199" i="1"/>
  <c r="J200" i="1"/>
  <c r="L199" i="1"/>
  <c r="J201" i="1" l="1"/>
  <c r="I201" i="1"/>
  <c r="K200" i="1"/>
  <c r="L200" i="1" s="1"/>
  <c r="K201" i="1" l="1"/>
  <c r="I202" i="1"/>
  <c r="J202" i="1"/>
  <c r="L201" i="1"/>
  <c r="L202" i="1" l="1"/>
  <c r="J203" i="1"/>
  <c r="K202" i="1"/>
  <c r="I203" i="1"/>
  <c r="K203" i="1" l="1"/>
  <c r="I204" i="1"/>
  <c r="L203" i="1"/>
  <c r="J204" i="1"/>
  <c r="J205" i="1" l="1"/>
  <c r="I205" i="1"/>
  <c r="K204" i="1"/>
  <c r="L204" i="1" s="1"/>
  <c r="J206" i="1" l="1"/>
  <c r="I206" i="1"/>
  <c r="K205" i="1"/>
  <c r="L205" i="1" s="1"/>
  <c r="I207" i="1" l="1"/>
  <c r="K206" i="1"/>
  <c r="L206" i="1" s="1"/>
  <c r="J207" i="1"/>
  <c r="J208" i="1" l="1"/>
  <c r="I208" i="1"/>
  <c r="K207" i="1"/>
  <c r="L207" i="1" s="1"/>
  <c r="I209" i="1" l="1"/>
  <c r="K208" i="1"/>
  <c r="J209" i="1"/>
  <c r="L208" i="1"/>
  <c r="J210" i="1" l="1"/>
  <c r="L209" i="1"/>
  <c r="K209" i="1"/>
  <c r="I210" i="1"/>
  <c r="K210" i="1" l="1"/>
  <c r="I211" i="1"/>
  <c r="L210" i="1"/>
  <c r="J211" i="1"/>
  <c r="J212" i="1" l="1"/>
  <c r="K211" i="1"/>
  <c r="L211" i="1" s="1"/>
  <c r="I212" i="1"/>
  <c r="J213" i="1" l="1"/>
  <c r="I213" i="1"/>
  <c r="K212" i="1"/>
  <c r="L212" i="1" s="1"/>
  <c r="K213" i="1" l="1"/>
  <c r="L213" i="1" s="1"/>
  <c r="I214" i="1"/>
  <c r="J214" i="1"/>
  <c r="J215" i="1" l="1"/>
  <c r="L214" i="1"/>
  <c r="I215" i="1"/>
  <c r="K214" i="1"/>
  <c r="I216" i="1" l="1"/>
  <c r="K215" i="1"/>
  <c r="L215" i="1" s="1"/>
  <c r="J216" i="1"/>
  <c r="J217" i="1" l="1"/>
  <c r="I217" i="1"/>
  <c r="K216" i="1"/>
  <c r="L216" i="1" s="1"/>
  <c r="K217" i="1" l="1"/>
  <c r="I218" i="1"/>
  <c r="J218" i="1"/>
  <c r="L217" i="1"/>
  <c r="J219" i="1" l="1"/>
  <c r="K218" i="1"/>
  <c r="L218" i="1" s="1"/>
  <c r="I219" i="1"/>
  <c r="K219" i="1" l="1"/>
  <c r="I220" i="1"/>
  <c r="L219" i="1"/>
  <c r="J220" i="1"/>
  <c r="J221" i="1" l="1"/>
  <c r="I221" i="1"/>
  <c r="K220" i="1"/>
  <c r="L220" i="1" s="1"/>
  <c r="J222" i="1" l="1"/>
  <c r="I222" i="1"/>
  <c r="K221" i="1"/>
  <c r="L221" i="1" s="1"/>
  <c r="K222" i="1" l="1"/>
  <c r="I223" i="1"/>
  <c r="J223" i="1"/>
  <c r="L222" i="1"/>
  <c r="J224" i="1" l="1"/>
  <c r="I224" i="1"/>
  <c r="K223" i="1"/>
  <c r="L223" i="1" s="1"/>
  <c r="J225" i="1" l="1"/>
  <c r="I225" i="1"/>
  <c r="K224" i="1"/>
  <c r="L224" i="1" s="1"/>
  <c r="I226" i="1" l="1"/>
  <c r="K225" i="1"/>
  <c r="J226" i="1"/>
  <c r="L225" i="1"/>
  <c r="J227" i="1" l="1"/>
  <c r="K226" i="1"/>
  <c r="L226" i="1" s="1"/>
  <c r="I227" i="1"/>
  <c r="K227" i="1" l="1"/>
  <c r="I228" i="1"/>
  <c r="L227" i="1"/>
  <c r="J228" i="1"/>
  <c r="J229" i="1" l="1"/>
  <c r="K228" i="1"/>
  <c r="L228" i="1" s="1"/>
  <c r="I229" i="1"/>
  <c r="I230" i="1" l="1"/>
  <c r="K229" i="1"/>
  <c r="L229" i="1"/>
  <c r="J230" i="1"/>
  <c r="J231" i="1" l="1"/>
  <c r="I231" i="1"/>
  <c r="K230" i="1"/>
  <c r="L230" i="1" s="1"/>
  <c r="K231" i="1" l="1"/>
  <c r="I232" i="1"/>
  <c r="J232" i="1"/>
  <c r="L231" i="1"/>
  <c r="J233" i="1" l="1"/>
  <c r="I233" i="1"/>
  <c r="K232" i="1"/>
  <c r="L232" i="1" s="1"/>
  <c r="I234" i="1" l="1"/>
  <c r="K233" i="1"/>
  <c r="J234" i="1"/>
  <c r="L233" i="1"/>
  <c r="J235" i="1" l="1"/>
  <c r="L234" i="1"/>
  <c r="K234" i="1"/>
  <c r="I235" i="1"/>
  <c r="K235" i="1" l="1"/>
  <c r="I236" i="1"/>
  <c r="J236" i="1"/>
  <c r="L235" i="1"/>
  <c r="J237" i="1" l="1"/>
  <c r="K236" i="1"/>
  <c r="L236" i="1" s="1"/>
  <c r="I237" i="1"/>
  <c r="K237" i="1" l="1"/>
  <c r="I238" i="1"/>
  <c r="L237" i="1"/>
  <c r="J238" i="1"/>
  <c r="J239" i="1" l="1"/>
  <c r="I239" i="1"/>
  <c r="K238" i="1"/>
  <c r="L238" i="1" s="1"/>
  <c r="I240" i="1" l="1"/>
  <c r="K239" i="1"/>
  <c r="L239" i="1"/>
  <c r="J240" i="1"/>
  <c r="J241" i="1" l="1"/>
  <c r="I241" i="1"/>
  <c r="K240" i="1"/>
  <c r="L240" i="1" s="1"/>
  <c r="I242" i="1" l="1"/>
  <c r="K241" i="1"/>
  <c r="J242" i="1"/>
  <c r="L241" i="1"/>
  <c r="J243" i="1" l="1"/>
  <c r="K242" i="1"/>
  <c r="L242" i="1" s="1"/>
  <c r="I243" i="1"/>
  <c r="K243" i="1" l="1"/>
  <c r="I244" i="1"/>
  <c r="L243" i="1"/>
  <c r="J244" i="1"/>
  <c r="J245" i="1" l="1"/>
  <c r="K244" i="1"/>
  <c r="L244" i="1" s="1"/>
  <c r="I245" i="1"/>
  <c r="K245" i="1" l="1"/>
  <c r="I246" i="1"/>
  <c r="L245" i="1"/>
  <c r="J246" i="1"/>
  <c r="J247" i="1" l="1"/>
  <c r="I247" i="1"/>
  <c r="K246" i="1"/>
  <c r="L246" i="1" s="1"/>
  <c r="I248" i="1" l="1"/>
  <c r="K247" i="1"/>
  <c r="J248" i="1"/>
  <c r="L247" i="1"/>
  <c r="J249" i="1" l="1"/>
  <c r="I249" i="1"/>
  <c r="K249" i="1" s="1"/>
  <c r="K248" i="1"/>
  <c r="L248" i="1" s="1"/>
  <c r="L249" i="1" l="1"/>
</calcChain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<sst xmlns="http://schemas.openxmlformats.org/spreadsheetml/2006/main" count="12" uniqueCount="12">
  <si>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</si>
  <si>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</si>
  <si>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</si>
  <si>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</si>
  <si>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</t>
  </si>
  <si>
    <t>Change</t>
  </si>
  <si>
    <t>Gain</t>
  </si>
  <si>
    <t>Loss</t>
  </si>
  <si>
    <t>Av Gain</t>
  </si>
  <si>
    <t>Av Loss</t>
  </si>
  <si>
    <t>RS</t>
  </si>
  <si>
    <t>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</si>
</sst>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0" formatCode="d\-mmm\-yy"/>
    </dxf>
    <dxf>
      <border outline="0">
        <top style="thin">
          <color theme="8" tint="0.5999938962981048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RSI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4453097808951726E-2"/>
          <c:y val="0.15826065942410339"/>
          <c:w val="0.91097063725068683"/>
          <c:h val="0.74317785307347928"/>
        </c:manualLayout>
      </c:layout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RSI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Sheet1!$A$16:$A$249</c:f>
              <c:numCache>
                <c:formatCode>d\-mmm\-yy</c:formatCode>
                <c:ptCount val="234"/>
                <c:pt idx="0">
                  <c:v>44838</c:v>
                </c:pt>
                <c:pt idx="1">
                  <c:v>44840</c:v>
                </c:pt>
                <c:pt idx="2">
                  <c:v>44841</c:v>
                </c:pt>
                <c:pt idx="3">
                  <c:v>44844</c:v>
                </c:pt>
                <c:pt idx="4">
                  <c:v>44845</c:v>
                </c:pt>
                <c:pt idx="5">
                  <c:v>44846</c:v>
                </c:pt>
                <c:pt idx="6">
                  <c:v>44847</c:v>
                </c:pt>
                <c:pt idx="7">
                  <c:v>44848</c:v>
                </c:pt>
                <c:pt idx="8">
                  <c:v>44851</c:v>
                </c:pt>
                <c:pt idx="9">
                  <c:v>44852</c:v>
                </c:pt>
                <c:pt idx="10">
                  <c:v>44853</c:v>
                </c:pt>
                <c:pt idx="11">
                  <c:v>44854</c:v>
                </c:pt>
                <c:pt idx="12">
                  <c:v>44855</c:v>
                </c:pt>
                <c:pt idx="13">
                  <c:v>44858</c:v>
                </c:pt>
                <c:pt idx="14">
                  <c:v>44859</c:v>
                </c:pt>
                <c:pt idx="15">
                  <c:v>44861</c:v>
                </c:pt>
                <c:pt idx="16">
                  <c:v>44862</c:v>
                </c:pt>
                <c:pt idx="17">
                  <c:v>44865</c:v>
                </c:pt>
                <c:pt idx="18">
                  <c:v>44866</c:v>
                </c:pt>
                <c:pt idx="19">
                  <c:v>44867</c:v>
                </c:pt>
                <c:pt idx="20">
                  <c:v>44868</c:v>
                </c:pt>
                <c:pt idx="21">
                  <c:v>44869</c:v>
                </c:pt>
                <c:pt idx="22">
                  <c:v>44872</c:v>
                </c:pt>
                <c:pt idx="23">
                  <c:v>44874</c:v>
                </c:pt>
                <c:pt idx="24">
                  <c:v>44875</c:v>
                </c:pt>
                <c:pt idx="25">
                  <c:v>44876</c:v>
                </c:pt>
                <c:pt idx="26">
                  <c:v>44880</c:v>
                </c:pt>
                <c:pt idx="27">
                  <c:v>44881</c:v>
                </c:pt>
                <c:pt idx="28">
                  <c:v>44882</c:v>
                </c:pt>
                <c:pt idx="29">
                  <c:v>44883</c:v>
                </c:pt>
                <c:pt idx="30">
                  <c:v>44886</c:v>
                </c:pt>
                <c:pt idx="31">
                  <c:v>44887</c:v>
                </c:pt>
                <c:pt idx="32">
                  <c:v>44888</c:v>
                </c:pt>
                <c:pt idx="33">
                  <c:v>44889</c:v>
                </c:pt>
                <c:pt idx="34">
                  <c:v>44890</c:v>
                </c:pt>
                <c:pt idx="35">
                  <c:v>44893</c:v>
                </c:pt>
                <c:pt idx="36">
                  <c:v>44894</c:v>
                </c:pt>
                <c:pt idx="37">
                  <c:v>44895</c:v>
                </c:pt>
                <c:pt idx="38">
                  <c:v>44896</c:v>
                </c:pt>
                <c:pt idx="39">
                  <c:v>44897</c:v>
                </c:pt>
                <c:pt idx="40">
                  <c:v>44900</c:v>
                </c:pt>
                <c:pt idx="41">
                  <c:v>44901</c:v>
                </c:pt>
                <c:pt idx="42">
                  <c:v>44902</c:v>
                </c:pt>
                <c:pt idx="43">
                  <c:v>44903</c:v>
                </c:pt>
                <c:pt idx="44">
                  <c:v>44904</c:v>
                </c:pt>
                <c:pt idx="45">
                  <c:v>44907</c:v>
                </c:pt>
                <c:pt idx="46">
                  <c:v>44908</c:v>
                </c:pt>
                <c:pt idx="47">
                  <c:v>44909</c:v>
                </c:pt>
                <c:pt idx="48">
                  <c:v>44910</c:v>
                </c:pt>
                <c:pt idx="49">
                  <c:v>44911</c:v>
                </c:pt>
                <c:pt idx="50">
                  <c:v>44914</c:v>
                </c:pt>
                <c:pt idx="51">
                  <c:v>44915</c:v>
                </c:pt>
                <c:pt idx="52">
                  <c:v>44916</c:v>
                </c:pt>
                <c:pt idx="53">
                  <c:v>44917</c:v>
                </c:pt>
                <c:pt idx="54">
                  <c:v>44918</c:v>
                </c:pt>
                <c:pt idx="55">
                  <c:v>44921</c:v>
                </c:pt>
                <c:pt idx="56">
                  <c:v>44922</c:v>
                </c:pt>
                <c:pt idx="57">
                  <c:v>44923</c:v>
                </c:pt>
                <c:pt idx="58">
                  <c:v>44924</c:v>
                </c:pt>
                <c:pt idx="59">
                  <c:v>44925</c:v>
                </c:pt>
                <c:pt idx="60">
                  <c:v>44928</c:v>
                </c:pt>
                <c:pt idx="61">
                  <c:v>44929</c:v>
                </c:pt>
                <c:pt idx="62">
                  <c:v>44930</c:v>
                </c:pt>
                <c:pt idx="63">
                  <c:v>44931</c:v>
                </c:pt>
                <c:pt idx="64">
                  <c:v>44932</c:v>
                </c:pt>
                <c:pt idx="65">
                  <c:v>44935</c:v>
                </c:pt>
                <c:pt idx="66">
                  <c:v>44936</c:v>
                </c:pt>
                <c:pt idx="67">
                  <c:v>44937</c:v>
                </c:pt>
                <c:pt idx="68">
                  <c:v>44938</c:v>
                </c:pt>
                <c:pt idx="69">
                  <c:v>44939</c:v>
                </c:pt>
                <c:pt idx="70">
                  <c:v>44942</c:v>
                </c:pt>
                <c:pt idx="71">
                  <c:v>44943</c:v>
                </c:pt>
                <c:pt idx="72">
                  <c:v>44944</c:v>
                </c:pt>
                <c:pt idx="73">
                  <c:v>44945</c:v>
                </c:pt>
                <c:pt idx="74">
                  <c:v>44946</c:v>
                </c:pt>
                <c:pt idx="75">
                  <c:v>44949</c:v>
                </c:pt>
                <c:pt idx="76">
                  <c:v>44950</c:v>
                </c:pt>
                <c:pt idx="77">
                  <c:v>44951</c:v>
                </c:pt>
                <c:pt idx="78">
                  <c:v>44953</c:v>
                </c:pt>
                <c:pt idx="79">
                  <c:v>44956</c:v>
                </c:pt>
                <c:pt idx="80">
                  <c:v>44957</c:v>
                </c:pt>
                <c:pt idx="81">
                  <c:v>44958</c:v>
                </c:pt>
                <c:pt idx="82">
                  <c:v>44959</c:v>
                </c:pt>
                <c:pt idx="83">
                  <c:v>44960</c:v>
                </c:pt>
                <c:pt idx="84">
                  <c:v>44963</c:v>
                </c:pt>
                <c:pt idx="85">
                  <c:v>44964</c:v>
                </c:pt>
                <c:pt idx="86">
                  <c:v>44965</c:v>
                </c:pt>
                <c:pt idx="87">
                  <c:v>44966</c:v>
                </c:pt>
                <c:pt idx="88">
                  <c:v>44967</c:v>
                </c:pt>
                <c:pt idx="89">
                  <c:v>44970</c:v>
                </c:pt>
                <c:pt idx="90">
                  <c:v>44971</c:v>
                </c:pt>
                <c:pt idx="91">
                  <c:v>44972</c:v>
                </c:pt>
                <c:pt idx="92">
                  <c:v>44973</c:v>
                </c:pt>
                <c:pt idx="93">
                  <c:v>44974</c:v>
                </c:pt>
                <c:pt idx="94">
                  <c:v>44977</c:v>
                </c:pt>
                <c:pt idx="95">
                  <c:v>44978</c:v>
                </c:pt>
                <c:pt idx="96">
                  <c:v>44979</c:v>
                </c:pt>
                <c:pt idx="97">
                  <c:v>44980</c:v>
                </c:pt>
                <c:pt idx="98">
                  <c:v>44981</c:v>
                </c:pt>
                <c:pt idx="99">
                  <c:v>44984</c:v>
                </c:pt>
                <c:pt idx="100">
                  <c:v>44985</c:v>
                </c:pt>
                <c:pt idx="101">
                  <c:v>44986</c:v>
                </c:pt>
                <c:pt idx="102">
                  <c:v>44987</c:v>
                </c:pt>
                <c:pt idx="103">
                  <c:v>44988</c:v>
                </c:pt>
                <c:pt idx="104">
                  <c:v>44991</c:v>
                </c:pt>
                <c:pt idx="105">
                  <c:v>44993</c:v>
                </c:pt>
                <c:pt idx="106">
                  <c:v>44994</c:v>
                </c:pt>
                <c:pt idx="107">
                  <c:v>44995</c:v>
                </c:pt>
                <c:pt idx="108">
                  <c:v>44998</c:v>
                </c:pt>
                <c:pt idx="109">
                  <c:v>44999</c:v>
                </c:pt>
                <c:pt idx="110">
                  <c:v>45000</c:v>
                </c:pt>
                <c:pt idx="111">
                  <c:v>45001</c:v>
                </c:pt>
                <c:pt idx="112">
                  <c:v>45002</c:v>
                </c:pt>
                <c:pt idx="113">
                  <c:v>45005</c:v>
                </c:pt>
                <c:pt idx="114">
                  <c:v>45006</c:v>
                </c:pt>
                <c:pt idx="115">
                  <c:v>45007</c:v>
                </c:pt>
                <c:pt idx="116">
                  <c:v>45008</c:v>
                </c:pt>
                <c:pt idx="117">
                  <c:v>45009</c:v>
                </c:pt>
                <c:pt idx="118">
                  <c:v>45012</c:v>
                </c:pt>
                <c:pt idx="119">
                  <c:v>45013</c:v>
                </c:pt>
                <c:pt idx="120">
                  <c:v>45014</c:v>
                </c:pt>
                <c:pt idx="121">
                  <c:v>45016</c:v>
                </c:pt>
                <c:pt idx="122">
                  <c:v>45019</c:v>
                </c:pt>
                <c:pt idx="123">
                  <c:v>45021</c:v>
                </c:pt>
                <c:pt idx="124">
                  <c:v>45022</c:v>
                </c:pt>
                <c:pt idx="125">
                  <c:v>45026</c:v>
                </c:pt>
                <c:pt idx="126">
                  <c:v>45027</c:v>
                </c:pt>
                <c:pt idx="127">
                  <c:v>45028</c:v>
                </c:pt>
                <c:pt idx="128">
                  <c:v>45029</c:v>
                </c:pt>
                <c:pt idx="129">
                  <c:v>45033</c:v>
                </c:pt>
                <c:pt idx="130">
                  <c:v>45034</c:v>
                </c:pt>
                <c:pt idx="131">
                  <c:v>45035</c:v>
                </c:pt>
                <c:pt idx="132">
                  <c:v>45036</c:v>
                </c:pt>
                <c:pt idx="133">
                  <c:v>45037</c:v>
                </c:pt>
                <c:pt idx="134">
                  <c:v>45040</c:v>
                </c:pt>
                <c:pt idx="135">
                  <c:v>45041</c:v>
                </c:pt>
                <c:pt idx="136">
                  <c:v>45042</c:v>
                </c:pt>
                <c:pt idx="137">
                  <c:v>45043</c:v>
                </c:pt>
                <c:pt idx="138">
                  <c:v>45044</c:v>
                </c:pt>
                <c:pt idx="139">
                  <c:v>45048</c:v>
                </c:pt>
                <c:pt idx="140">
                  <c:v>45049</c:v>
                </c:pt>
                <c:pt idx="141">
                  <c:v>45050</c:v>
                </c:pt>
                <c:pt idx="142">
                  <c:v>45051</c:v>
                </c:pt>
                <c:pt idx="143">
                  <c:v>45054</c:v>
                </c:pt>
                <c:pt idx="144">
                  <c:v>45055</c:v>
                </c:pt>
                <c:pt idx="145">
                  <c:v>45056</c:v>
                </c:pt>
                <c:pt idx="146">
                  <c:v>45057</c:v>
                </c:pt>
                <c:pt idx="147">
                  <c:v>45058</c:v>
                </c:pt>
                <c:pt idx="148">
                  <c:v>45061</c:v>
                </c:pt>
                <c:pt idx="149">
                  <c:v>45062</c:v>
                </c:pt>
                <c:pt idx="150">
                  <c:v>45063</c:v>
                </c:pt>
                <c:pt idx="151">
                  <c:v>45064</c:v>
                </c:pt>
                <c:pt idx="152">
                  <c:v>45065</c:v>
                </c:pt>
                <c:pt idx="153">
                  <c:v>45068</c:v>
                </c:pt>
                <c:pt idx="154">
                  <c:v>45069</c:v>
                </c:pt>
                <c:pt idx="155">
                  <c:v>45070</c:v>
                </c:pt>
                <c:pt idx="156">
                  <c:v>45071</c:v>
                </c:pt>
                <c:pt idx="157">
                  <c:v>45072</c:v>
                </c:pt>
                <c:pt idx="158">
                  <c:v>45075</c:v>
                </c:pt>
                <c:pt idx="159">
                  <c:v>45076</c:v>
                </c:pt>
                <c:pt idx="160">
                  <c:v>45077</c:v>
                </c:pt>
                <c:pt idx="161">
                  <c:v>45078</c:v>
                </c:pt>
                <c:pt idx="162">
                  <c:v>45079</c:v>
                </c:pt>
                <c:pt idx="163">
                  <c:v>45082</c:v>
                </c:pt>
                <c:pt idx="164">
                  <c:v>45083</c:v>
                </c:pt>
                <c:pt idx="165">
                  <c:v>45084</c:v>
                </c:pt>
                <c:pt idx="166">
                  <c:v>45085</c:v>
                </c:pt>
                <c:pt idx="167">
                  <c:v>45086</c:v>
                </c:pt>
                <c:pt idx="168">
                  <c:v>45089</c:v>
                </c:pt>
                <c:pt idx="169">
                  <c:v>45090</c:v>
                </c:pt>
                <c:pt idx="170">
                  <c:v>45091</c:v>
                </c:pt>
                <c:pt idx="171">
                  <c:v>45092</c:v>
                </c:pt>
                <c:pt idx="172">
                  <c:v>45093</c:v>
                </c:pt>
                <c:pt idx="173">
                  <c:v>45096</c:v>
                </c:pt>
                <c:pt idx="174">
                  <c:v>45097</c:v>
                </c:pt>
                <c:pt idx="175">
                  <c:v>45098</c:v>
                </c:pt>
                <c:pt idx="176">
                  <c:v>45099</c:v>
                </c:pt>
                <c:pt idx="177">
                  <c:v>45100</c:v>
                </c:pt>
                <c:pt idx="178">
                  <c:v>45103</c:v>
                </c:pt>
                <c:pt idx="179">
                  <c:v>45104</c:v>
                </c:pt>
                <c:pt idx="180">
                  <c:v>45105</c:v>
                </c:pt>
                <c:pt idx="181">
                  <c:v>45107</c:v>
                </c:pt>
                <c:pt idx="182">
                  <c:v>45110</c:v>
                </c:pt>
                <c:pt idx="183">
                  <c:v>45111</c:v>
                </c:pt>
                <c:pt idx="184">
                  <c:v>45112</c:v>
                </c:pt>
                <c:pt idx="185">
                  <c:v>45113</c:v>
                </c:pt>
                <c:pt idx="186">
                  <c:v>45114</c:v>
                </c:pt>
                <c:pt idx="187">
                  <c:v>45117</c:v>
                </c:pt>
                <c:pt idx="188">
                  <c:v>45118</c:v>
                </c:pt>
                <c:pt idx="189">
                  <c:v>45119</c:v>
                </c:pt>
                <c:pt idx="190">
                  <c:v>45120</c:v>
                </c:pt>
                <c:pt idx="191">
                  <c:v>45121</c:v>
                </c:pt>
                <c:pt idx="192">
                  <c:v>45124</c:v>
                </c:pt>
                <c:pt idx="193">
                  <c:v>45125</c:v>
                </c:pt>
                <c:pt idx="194">
                  <c:v>45126</c:v>
                </c:pt>
                <c:pt idx="195">
                  <c:v>45127</c:v>
                </c:pt>
                <c:pt idx="196">
                  <c:v>45128</c:v>
                </c:pt>
                <c:pt idx="197">
                  <c:v>45131</c:v>
                </c:pt>
                <c:pt idx="198">
                  <c:v>45132</c:v>
                </c:pt>
                <c:pt idx="199">
                  <c:v>45133</c:v>
                </c:pt>
                <c:pt idx="200">
                  <c:v>45134</c:v>
                </c:pt>
                <c:pt idx="201">
                  <c:v>45135</c:v>
                </c:pt>
                <c:pt idx="202">
                  <c:v>45138</c:v>
                </c:pt>
                <c:pt idx="203">
                  <c:v>45139</c:v>
                </c:pt>
                <c:pt idx="204">
                  <c:v>45140</c:v>
                </c:pt>
                <c:pt idx="205">
                  <c:v>45141</c:v>
                </c:pt>
                <c:pt idx="206">
                  <c:v>45142</c:v>
                </c:pt>
                <c:pt idx="207">
                  <c:v>45145</c:v>
                </c:pt>
                <c:pt idx="208">
                  <c:v>45146</c:v>
                </c:pt>
                <c:pt idx="209">
                  <c:v>45147</c:v>
                </c:pt>
                <c:pt idx="210">
                  <c:v>45148</c:v>
                </c:pt>
                <c:pt idx="211">
                  <c:v>45149</c:v>
                </c:pt>
                <c:pt idx="212">
                  <c:v>45152</c:v>
                </c:pt>
                <c:pt idx="213">
                  <c:v>45154</c:v>
                </c:pt>
                <c:pt idx="214">
                  <c:v>45155</c:v>
                </c:pt>
                <c:pt idx="215">
                  <c:v>45156</c:v>
                </c:pt>
                <c:pt idx="216">
                  <c:v>45159</c:v>
                </c:pt>
                <c:pt idx="217">
                  <c:v>45160</c:v>
                </c:pt>
                <c:pt idx="218">
                  <c:v>45161</c:v>
                </c:pt>
                <c:pt idx="219">
                  <c:v>45162</c:v>
                </c:pt>
                <c:pt idx="220">
                  <c:v>45163</c:v>
                </c:pt>
                <c:pt idx="221">
                  <c:v>45166</c:v>
                </c:pt>
                <c:pt idx="222">
                  <c:v>45167</c:v>
                </c:pt>
                <c:pt idx="223">
                  <c:v>45168</c:v>
                </c:pt>
                <c:pt idx="224">
                  <c:v>45169</c:v>
                </c:pt>
                <c:pt idx="225">
                  <c:v>45170</c:v>
                </c:pt>
                <c:pt idx="226">
                  <c:v>45173</c:v>
                </c:pt>
                <c:pt idx="227">
                  <c:v>45174</c:v>
                </c:pt>
                <c:pt idx="228">
                  <c:v>45175</c:v>
                </c:pt>
                <c:pt idx="229">
                  <c:v>45176</c:v>
                </c:pt>
                <c:pt idx="230">
                  <c:v>45177</c:v>
                </c:pt>
                <c:pt idx="231">
                  <c:v>45180</c:v>
                </c:pt>
                <c:pt idx="232">
                  <c:v>45181</c:v>
                </c:pt>
                <c:pt idx="233">
                  <c:v>45182</c:v>
                </c:pt>
              </c:numCache>
            </c:numRef>
          </c:cat>
          <c:val>
            <c:numRef>
              <c:f>Sheet1!$L$16:$L$249</c:f>
              <c:numCache>
                <c:formatCode>0.00</c:formatCode>
                <c:ptCount val="234"/>
                <c:pt idx="0">
                  <c:v>36.114442350522538</c:v>
                </c:pt>
                <c:pt idx="1">
                  <c:v>37.585851230778701</c:v>
                </c:pt>
                <c:pt idx="2">
                  <c:v>37.309834777142257</c:v>
                </c:pt>
                <c:pt idx="3">
                  <c:v>36.084309452922433</c:v>
                </c:pt>
                <c:pt idx="4">
                  <c:v>32.113399209203294</c:v>
                </c:pt>
                <c:pt idx="5">
                  <c:v>36.224876365214584</c:v>
                </c:pt>
                <c:pt idx="6">
                  <c:v>34.471031738787161</c:v>
                </c:pt>
                <c:pt idx="7">
                  <c:v>39.424702166400479</c:v>
                </c:pt>
                <c:pt idx="8">
                  <c:v>42.848715416761792</c:v>
                </c:pt>
                <c:pt idx="9">
                  <c:v>47.304206374019294</c:v>
                </c:pt>
                <c:pt idx="10">
                  <c:v>47.935607623966717</c:v>
                </c:pt>
                <c:pt idx="11">
                  <c:v>49.273193622860539</c:v>
                </c:pt>
                <c:pt idx="12">
                  <c:v>49.606250709487981</c:v>
                </c:pt>
                <c:pt idx="13">
                  <c:v>53.700403119407945</c:v>
                </c:pt>
                <c:pt idx="14">
                  <c:v>51.528672304983402</c:v>
                </c:pt>
                <c:pt idx="15">
                  <c:v>53.712598887569726</c:v>
                </c:pt>
                <c:pt idx="16">
                  <c:v>55.061217729060552</c:v>
                </c:pt>
                <c:pt idx="17">
                  <c:v>60.644676850506933</c:v>
                </c:pt>
                <c:pt idx="18">
                  <c:v>63.528512547411289</c:v>
                </c:pt>
                <c:pt idx="19">
                  <c:v>61.258434962872791</c:v>
                </c:pt>
                <c:pt idx="20">
                  <c:v>60.142854913300305</c:v>
                </c:pt>
                <c:pt idx="21">
                  <c:v>61.746563967553797</c:v>
                </c:pt>
                <c:pt idx="22">
                  <c:v>63.829441508475313</c:v>
                </c:pt>
                <c:pt idx="23">
                  <c:v>61.888874406952013</c:v>
                </c:pt>
                <c:pt idx="24">
                  <c:v>56.670890609191574</c:v>
                </c:pt>
                <c:pt idx="25">
                  <c:v>64.676639342464284</c:v>
                </c:pt>
                <c:pt idx="26">
                  <c:v>65.812860694513702</c:v>
                </c:pt>
                <c:pt idx="27">
                  <c:v>65.950140504683674</c:v>
                </c:pt>
                <c:pt idx="28">
                  <c:v>63.080424380334136</c:v>
                </c:pt>
                <c:pt idx="29">
                  <c:v>61.491742473001658</c:v>
                </c:pt>
                <c:pt idx="30">
                  <c:v>55.372550999401078</c:v>
                </c:pt>
                <c:pt idx="31">
                  <c:v>57.943449826129509</c:v>
                </c:pt>
                <c:pt idx="32">
                  <c:v>58.6453780133496</c:v>
                </c:pt>
                <c:pt idx="33">
                  <c:v>64.626825024823177</c:v>
                </c:pt>
                <c:pt idx="34">
                  <c:v>65.340103871224841</c:v>
                </c:pt>
                <c:pt idx="35">
                  <c:v>66.605679138970231</c:v>
                </c:pt>
                <c:pt idx="36">
                  <c:v>67.997503370091636</c:v>
                </c:pt>
                <c:pt idx="37">
                  <c:v>71.269224975708866</c:v>
                </c:pt>
                <c:pt idx="38">
                  <c:v>72.440319973098795</c:v>
                </c:pt>
                <c:pt idx="39">
                  <c:v>66.194284067576604</c:v>
                </c:pt>
                <c:pt idx="40">
                  <c:v>66.327249762456461</c:v>
                </c:pt>
                <c:pt idx="41">
                  <c:v>63.175538238900764</c:v>
                </c:pt>
                <c:pt idx="42">
                  <c:v>58.921692667186669</c:v>
                </c:pt>
                <c:pt idx="43">
                  <c:v>60.617772874853166</c:v>
                </c:pt>
                <c:pt idx="44">
                  <c:v>54.9756694982024</c:v>
                </c:pt>
                <c:pt idx="45">
                  <c:v>54.997673762314982</c:v>
                </c:pt>
                <c:pt idx="46">
                  <c:v>59.313532861880958</c:v>
                </c:pt>
                <c:pt idx="47">
                  <c:v>61.204003266949975</c:v>
                </c:pt>
                <c:pt idx="48">
                  <c:v>49.566372128565739</c:v>
                </c:pt>
                <c:pt idx="49">
                  <c:v>44.186855307482787</c:v>
                </c:pt>
                <c:pt idx="50">
                  <c:v>50.225775722635653</c:v>
                </c:pt>
                <c:pt idx="51">
                  <c:v>48.90325847053311</c:v>
                </c:pt>
                <c:pt idx="52">
                  <c:v>42.516618432900465</c:v>
                </c:pt>
                <c:pt idx="53">
                  <c:v>40.330874923734655</c:v>
                </c:pt>
                <c:pt idx="54">
                  <c:v>32.333436479900328</c:v>
                </c:pt>
                <c:pt idx="55">
                  <c:v>40.561798114596463</c:v>
                </c:pt>
                <c:pt idx="56">
                  <c:v>44.666160144589824</c:v>
                </c:pt>
                <c:pt idx="57">
                  <c:v>44.391299756184964</c:v>
                </c:pt>
                <c:pt idx="58">
                  <c:v>46.853142493804327</c:v>
                </c:pt>
                <c:pt idx="59">
                  <c:v>44.21578022231585</c:v>
                </c:pt>
                <c:pt idx="60">
                  <c:v>47.629419693717388</c:v>
                </c:pt>
                <c:pt idx="61">
                  <c:v>48.911818752454359</c:v>
                </c:pt>
                <c:pt idx="62">
                  <c:v>42.813225701029765</c:v>
                </c:pt>
                <c:pt idx="63">
                  <c:v>41.326421742802239</c:v>
                </c:pt>
                <c:pt idx="64">
                  <c:v>37.648400894810749</c:v>
                </c:pt>
                <c:pt idx="65">
                  <c:v>46.91714512936511</c:v>
                </c:pt>
                <c:pt idx="66">
                  <c:v>41.746239883869244</c:v>
                </c:pt>
                <c:pt idx="67">
                  <c:v>41.263157939810384</c:v>
                </c:pt>
                <c:pt idx="68">
                  <c:v>40.243810773638081</c:v>
                </c:pt>
                <c:pt idx="69">
                  <c:v>44.143096232692663</c:v>
                </c:pt>
                <c:pt idx="70">
                  <c:v>42.278650283625907</c:v>
                </c:pt>
                <c:pt idx="71">
                  <c:v>48.311480012225843</c:v>
                </c:pt>
                <c:pt idx="72">
                  <c:v>52.122330361861962</c:v>
                </c:pt>
                <c:pt idx="73">
                  <c:v>50.081775923598784</c:v>
                </c:pt>
                <c:pt idx="74">
                  <c:v>47.300274848322246</c:v>
                </c:pt>
                <c:pt idx="75">
                  <c:v>50.646041883727797</c:v>
                </c:pt>
                <c:pt idx="76">
                  <c:v>50.636520238196688</c:v>
                </c:pt>
                <c:pt idx="77">
                  <c:v>42.792185148523842</c:v>
                </c:pt>
                <c:pt idx="78">
                  <c:v>35.30780170645852</c:v>
                </c:pt>
                <c:pt idx="79">
                  <c:v>37.143792090961369</c:v>
                </c:pt>
                <c:pt idx="80">
                  <c:v>37.70727349644271</c:v>
                </c:pt>
                <c:pt idx="81">
                  <c:v>36.483835420151024</c:v>
                </c:pt>
                <c:pt idx="82">
                  <c:v>36.320527830823167</c:v>
                </c:pt>
                <c:pt idx="83">
                  <c:v>46.89259773391138</c:v>
                </c:pt>
                <c:pt idx="84">
                  <c:v>44.004222979948587</c:v>
                </c:pt>
                <c:pt idx="85">
                  <c:v>42.641330473684917</c:v>
                </c:pt>
                <c:pt idx="86">
                  <c:v>48.614257749367475</c:v>
                </c:pt>
                <c:pt idx="87">
                  <c:v>49.435382040985317</c:v>
                </c:pt>
                <c:pt idx="88">
                  <c:v>48.031180668580852</c:v>
                </c:pt>
                <c:pt idx="89">
                  <c:v>44.85266910351951</c:v>
                </c:pt>
                <c:pt idx="90">
                  <c:v>51.297653507534442</c:v>
                </c:pt>
                <c:pt idx="91">
                  <c:v>54.402639724410989</c:v>
                </c:pt>
                <c:pt idx="92">
                  <c:v>55.119255023117645</c:v>
                </c:pt>
                <c:pt idx="93">
                  <c:v>51.151948867669354</c:v>
                </c:pt>
                <c:pt idx="94">
                  <c:v>47.177821242206633</c:v>
                </c:pt>
                <c:pt idx="95">
                  <c:v>46.478922827145851</c:v>
                </c:pt>
                <c:pt idx="96">
                  <c:v>37.399121742328049</c:v>
                </c:pt>
                <c:pt idx="97">
                  <c:v>36.195672800438402</c:v>
                </c:pt>
                <c:pt idx="98">
                  <c:v>34.918166324786498</c:v>
                </c:pt>
                <c:pt idx="99">
                  <c:v>32.906498359589961</c:v>
                </c:pt>
                <c:pt idx="100">
                  <c:v>30.601437646037155</c:v>
                </c:pt>
                <c:pt idx="101">
                  <c:v>38.307286447109576</c:v>
                </c:pt>
                <c:pt idx="102">
                  <c:v>34.668095852094069</c:v>
                </c:pt>
                <c:pt idx="103">
                  <c:v>46.276433541065273</c:v>
                </c:pt>
                <c:pt idx="104">
                  <c:v>50.359058559578934</c:v>
                </c:pt>
                <c:pt idx="105">
                  <c:v>51.805701255859852</c:v>
                </c:pt>
                <c:pt idx="106">
                  <c:v>46.237735583643179</c:v>
                </c:pt>
                <c:pt idx="107">
                  <c:v>41.132998410162941</c:v>
                </c:pt>
                <c:pt idx="108">
                  <c:v>35.036574917257099</c:v>
                </c:pt>
                <c:pt idx="109">
                  <c:v>32.790075465127217</c:v>
                </c:pt>
                <c:pt idx="110">
                  <c:v>31.400268010393432</c:v>
                </c:pt>
                <c:pt idx="111">
                  <c:v>31.987129201301371</c:v>
                </c:pt>
                <c:pt idx="112">
                  <c:v>36.931422266272882</c:v>
                </c:pt>
                <c:pt idx="113">
                  <c:v>34.310984265907635</c:v>
                </c:pt>
                <c:pt idx="114">
                  <c:v>39.261807672339934</c:v>
                </c:pt>
                <c:pt idx="115">
                  <c:v>41.045649854783285</c:v>
                </c:pt>
                <c:pt idx="116">
                  <c:v>38.963939037969567</c:v>
                </c:pt>
                <c:pt idx="117">
                  <c:v>35.550425568258234</c:v>
                </c:pt>
                <c:pt idx="118">
                  <c:v>37.372103878548799</c:v>
                </c:pt>
                <c:pt idx="119">
                  <c:v>36.444241429625521</c:v>
                </c:pt>
                <c:pt idx="120">
                  <c:v>42.297848112703115</c:v>
                </c:pt>
                <c:pt idx="121">
                  <c:v>52.491251698757161</c:v>
                </c:pt>
                <c:pt idx="122">
                  <c:v>53.700200070704156</c:v>
                </c:pt>
                <c:pt idx="123">
                  <c:v>58.429554661920186</c:v>
                </c:pt>
                <c:pt idx="124">
                  <c:v>59.606098779556611</c:v>
                </c:pt>
                <c:pt idx="125">
                  <c:v>60.321388430162656</c:v>
                </c:pt>
                <c:pt idx="126">
                  <c:v>63.098111864635975</c:v>
                </c:pt>
                <c:pt idx="127">
                  <c:v>65.48360671142521</c:v>
                </c:pt>
                <c:pt idx="128">
                  <c:v>65.894696139926509</c:v>
                </c:pt>
                <c:pt idx="129">
                  <c:v>59.925622240993789</c:v>
                </c:pt>
                <c:pt idx="130">
                  <c:v>57.753843714484859</c:v>
                </c:pt>
                <c:pt idx="131">
                  <c:v>55.822410427505076</c:v>
                </c:pt>
                <c:pt idx="132">
                  <c:v>56.040388027639715</c:v>
                </c:pt>
                <c:pt idx="133">
                  <c:v>56.019498967993663</c:v>
                </c:pt>
                <c:pt idx="134">
                  <c:v>60.723792548416831</c:v>
                </c:pt>
                <c:pt idx="135">
                  <c:v>61.679850561428076</c:v>
                </c:pt>
                <c:pt idx="136">
                  <c:v>63.329127926670765</c:v>
                </c:pt>
                <c:pt idx="137">
                  <c:v>66.844455347402572</c:v>
                </c:pt>
                <c:pt idx="138">
                  <c:v>71.233856632289374</c:v>
                </c:pt>
                <c:pt idx="139">
                  <c:v>73.329696730643064</c:v>
                </c:pt>
                <c:pt idx="140">
                  <c:v>69.515294102508761</c:v>
                </c:pt>
                <c:pt idx="141">
                  <c:v>73.738986054057321</c:v>
                </c:pt>
                <c:pt idx="142">
                  <c:v>63.13509277749008</c:v>
                </c:pt>
                <c:pt idx="143">
                  <c:v>68.274459286901006</c:v>
                </c:pt>
                <c:pt idx="144">
                  <c:v>68.312197418163464</c:v>
                </c:pt>
                <c:pt idx="145">
                  <c:v>69.549134218328305</c:v>
                </c:pt>
                <c:pt idx="146">
                  <c:v>68.488867551415296</c:v>
                </c:pt>
                <c:pt idx="147">
                  <c:v>68.989544544918715</c:v>
                </c:pt>
                <c:pt idx="148">
                  <c:v>71.307792998694325</c:v>
                </c:pt>
                <c:pt idx="149">
                  <c:v>64.379597508150027</c:v>
                </c:pt>
                <c:pt idx="150">
                  <c:v>58.657295057439981</c:v>
                </c:pt>
                <c:pt idx="151">
                  <c:v>56.006236312537354</c:v>
                </c:pt>
                <c:pt idx="152">
                  <c:v>58.846452028678186</c:v>
                </c:pt>
                <c:pt idx="153">
                  <c:v>62.759307598534768</c:v>
                </c:pt>
                <c:pt idx="154">
                  <c:v>63.878871349623779</c:v>
                </c:pt>
                <c:pt idx="155">
                  <c:v>60.24498199552022</c:v>
                </c:pt>
                <c:pt idx="156">
                  <c:v>61.588854656330398</c:v>
                </c:pt>
                <c:pt idx="157">
                  <c:v>67.488426456208387</c:v>
                </c:pt>
                <c:pt idx="158">
                  <c:v>70.232130244249873</c:v>
                </c:pt>
                <c:pt idx="159">
                  <c:v>71.161212837409238</c:v>
                </c:pt>
                <c:pt idx="160">
                  <c:v>64.989618634458765</c:v>
                </c:pt>
                <c:pt idx="161">
                  <c:v>62.261849671597162</c:v>
                </c:pt>
                <c:pt idx="162">
                  <c:v>63.88383884526057</c:v>
                </c:pt>
                <c:pt idx="163">
                  <c:v>65.917469268955244</c:v>
                </c:pt>
                <c:pt idx="164">
                  <c:v>66.094680926089211</c:v>
                </c:pt>
                <c:pt idx="165">
                  <c:v>70.219787110201182</c:v>
                </c:pt>
                <c:pt idx="166">
                  <c:v>64.159124073650702</c:v>
                </c:pt>
                <c:pt idx="167">
                  <c:v>59.849849934445061</c:v>
                </c:pt>
                <c:pt idx="168">
                  <c:v>61.346994439873889</c:v>
                </c:pt>
                <c:pt idx="169">
                  <c:v>65.514248762870764</c:v>
                </c:pt>
                <c:pt idx="170">
                  <c:v>66.848736476217326</c:v>
                </c:pt>
                <c:pt idx="171">
                  <c:v>62.412413943836071</c:v>
                </c:pt>
                <c:pt idx="172">
                  <c:v>67.182772788940426</c:v>
                </c:pt>
                <c:pt idx="173">
                  <c:v>62.79211904674559</c:v>
                </c:pt>
                <c:pt idx="174">
                  <c:v>64.934724837080495</c:v>
                </c:pt>
                <c:pt idx="175">
                  <c:v>66.304482103611093</c:v>
                </c:pt>
                <c:pt idx="176">
                  <c:v>60.847160169655346</c:v>
                </c:pt>
                <c:pt idx="177">
                  <c:v>54.841792234567137</c:v>
                </c:pt>
                <c:pt idx="178">
                  <c:v>55.978889797528979</c:v>
                </c:pt>
                <c:pt idx="179">
                  <c:v>61.151883122459417</c:v>
                </c:pt>
                <c:pt idx="180">
                  <c:v>66.369060149708247</c:v>
                </c:pt>
                <c:pt idx="181">
                  <c:v>72.040019018929499</c:v>
                </c:pt>
                <c:pt idx="182">
                  <c:v>74.850339884708205</c:v>
                </c:pt>
                <c:pt idx="183">
                  <c:v>76.136096937958996</c:v>
                </c:pt>
                <c:pt idx="184">
                  <c:v>76.322467170058559</c:v>
                </c:pt>
                <c:pt idx="185">
                  <c:v>78.226931050682211</c:v>
                </c:pt>
                <c:pt idx="186">
                  <c:v>68.314604753823559</c:v>
                </c:pt>
                <c:pt idx="187">
                  <c:v>68.931962421951198</c:v>
                </c:pt>
                <c:pt idx="188">
                  <c:v>71.037522074820316</c:v>
                </c:pt>
                <c:pt idx="189">
                  <c:v>67.773425699932091</c:v>
                </c:pt>
                <c:pt idx="190">
                  <c:v>68.603793928152029</c:v>
                </c:pt>
                <c:pt idx="191">
                  <c:v>72.508684031602101</c:v>
                </c:pt>
                <c:pt idx="192">
                  <c:v>75.683571817578468</c:v>
                </c:pt>
                <c:pt idx="193">
                  <c:v>76.437384163625111</c:v>
                </c:pt>
                <c:pt idx="194">
                  <c:v>78.062922017614312</c:v>
                </c:pt>
                <c:pt idx="195">
                  <c:v>80.574370451649102</c:v>
                </c:pt>
                <c:pt idx="196">
                  <c:v>67.27259386031767</c:v>
                </c:pt>
                <c:pt idx="197">
                  <c:v>63.755710550784777</c:v>
                </c:pt>
                <c:pt idx="198">
                  <c:v>63.985957914526338</c:v>
                </c:pt>
                <c:pt idx="199">
                  <c:v>66.685060572265769</c:v>
                </c:pt>
                <c:pt idx="200">
                  <c:v>60.743641563941068</c:v>
                </c:pt>
                <c:pt idx="201">
                  <c:v>60.069427390961764</c:v>
                </c:pt>
                <c:pt idx="202">
                  <c:v>63.466755452660777</c:v>
                </c:pt>
                <c:pt idx="203">
                  <c:v>62.392380350711669</c:v>
                </c:pt>
                <c:pt idx="204">
                  <c:v>52.591688127915468</c:v>
                </c:pt>
                <c:pt idx="205">
                  <c:v>47.023397164265525</c:v>
                </c:pt>
                <c:pt idx="206">
                  <c:v>52.122681043999101</c:v>
                </c:pt>
                <c:pt idx="207">
                  <c:v>54.896495099582815</c:v>
                </c:pt>
                <c:pt idx="208">
                  <c:v>53.791012140448956</c:v>
                </c:pt>
                <c:pt idx="209">
                  <c:v>56.016091108852699</c:v>
                </c:pt>
                <c:pt idx="210">
                  <c:v>52.0992973585196</c:v>
                </c:pt>
                <c:pt idx="211">
                  <c:v>47.508043798626019</c:v>
                </c:pt>
                <c:pt idx="212">
                  <c:v>47.777865479665238</c:v>
                </c:pt>
                <c:pt idx="213">
                  <c:v>49.149293566466639</c:v>
                </c:pt>
                <c:pt idx="214">
                  <c:v>44.98188252365437</c:v>
                </c:pt>
                <c:pt idx="215">
                  <c:v>42.821956192379119</c:v>
                </c:pt>
                <c:pt idx="216">
                  <c:v>46.974777435931621</c:v>
                </c:pt>
                <c:pt idx="217">
                  <c:v>47.116044551427088</c:v>
                </c:pt>
                <c:pt idx="218">
                  <c:v>49.531873096311124</c:v>
                </c:pt>
                <c:pt idx="219">
                  <c:v>46.759806454293191</c:v>
                </c:pt>
                <c:pt idx="220">
                  <c:v>41.484355123164995</c:v>
                </c:pt>
                <c:pt idx="221">
                  <c:v>43.759254803217715</c:v>
                </c:pt>
                <c:pt idx="222">
                  <c:v>45.821851406020222</c:v>
                </c:pt>
                <c:pt idx="223">
                  <c:v>46.101034103979956</c:v>
                </c:pt>
                <c:pt idx="224">
                  <c:v>41.597225445343568</c:v>
                </c:pt>
                <c:pt idx="225">
                  <c:v>51.488788351585086</c:v>
                </c:pt>
                <c:pt idx="226">
                  <c:v>55.655477356462754</c:v>
                </c:pt>
                <c:pt idx="227">
                  <c:v>57.589648222329714</c:v>
                </c:pt>
                <c:pt idx="228">
                  <c:v>59.096288686874708</c:v>
                </c:pt>
                <c:pt idx="229">
                  <c:v>63.568746363700654</c:v>
                </c:pt>
                <c:pt idx="230">
                  <c:v>66.708260353755662</c:v>
                </c:pt>
                <c:pt idx="231">
                  <c:v>71.695998990633854</c:v>
                </c:pt>
                <c:pt idx="232">
                  <c:v>71.490026456434393</c:v>
                </c:pt>
                <c:pt idx="233">
                  <c:v>73.489722619925985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087304"/>
        <c:axId val="225801920"/>
      </c:lineChart>
      <c:catAx>
        <c:axId val="226087304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txPr>
          <a:bodyPr rot="5400000"/>
          <a:lstStyle/>
          <a:p>
            <a:pPr>
              <a:defRPr/>
            </a:pPr>
            <a:endParaRPr lang="en-US"/>
          </a:p>
        </c:txPr>
        <c:crossAx val="225801920"/>
        <c:crosses val="autoZero"/>
        <c:auto val="0"/>
        <c:lblAlgn val="ctr"/>
        <c:lblOffset val="100"/>
        <c:noMultiLvlLbl val="0"/>
      </c:catAx>
      <c:valAx>
        <c:axId val="2258019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  <a:alpha val="3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crossAx val="226087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9519331718150615"/>
          <c:y val="0.16301690480964209"/>
          <c:w val="0.23086588935998381"/>
          <c:h val="0.20403848471826649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21</xdr:col>
      <xdr:colOff>176434</xdr:colOff>
      <xdr:row>27</xdr:row>
      <xdr:rowOff>67195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A1:L249" totalsRowShown="0" headerRowDxfId="6" tableBorderDxfId="5">
  <autoFilter ref="A1:L249"/>
  <tableColumns count="12">
    <tableColumn id="1" name="Date" dataDxfId="4"/>
    <tableColumn id="2" name="Open"/>
    <tableColumn id="3" name="High"/>
    <tableColumn id="4" name="Low"/>
    <tableColumn id="5" name="Close"/>
    <tableColumn id="6" name="Change">
      <calculatedColumnFormula>E2-E1</calculatedColumnFormula>
    </tableColumn>
    <tableColumn id="7" name="Gain">
      <calculatedColumnFormula>IF(F2&gt;0,F2,0)</calculatedColumnFormula>
    </tableColumn>
    <tableColumn id="8" name="Loss">
      <calculatedColumnFormula>IF(F2&lt;0,ABS(F2),0)</calculatedColumnFormula>
    </tableColumn>
    <tableColumn id="9" name="Av Gain" dataDxfId="3">
      <calculatedColumnFormula>(I1*13+G2 )/14</calculatedColumnFormula>
    </tableColumn>
    <tableColumn id="10" name="Av Loss" dataDxfId="2">
      <calculatedColumnFormula>(J1*13+H2 )/14</calculatedColumnFormula>
    </tableColumn>
    <tableColumn id="11" name="RS" dataDxfId="1">
      <calculatedColumnFormula>I2/J2</calculatedColumnFormula>
    </tableColumn>
    <tableColumn id="12" name="RSI" dataDxfId="0">
      <calculatedColumnFormula>IF(J2=0,100,100-(100/(1+K2)))</calculatedColumnFormula>
    </tableColumn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9"/>
  <sheetViews>
    <sheetView tabSelected="1" topLeftCell="F1" zoomScaleNormal="100" workbookViewId="0">
      <pane ySplit="1" topLeftCell="A2" activePane="bottomLeft" state="frozen"/>
      <selection pane="bottomLeft" activeCell="R4" sqref="R4"/>
    </sheetView>
  </sheetViews>
  <sheetFormatPr defaultRowHeight="13.8" x14ac:dyDescent="0.25"/>
  <cols>
    <col min="1" max="5" width="12.59765625" customWidth="1"/>
    <col min="6" max="6" width="9.796875" customWidth="1"/>
    <col min="9" max="10" width="11.8984375" customWidth="1"/>
    <col min="11" max="11" width="12.3984375" bestFit="1" customWidth="1"/>
    <col min="12" max="12" width="13.5" bestFit="1" customWidth="1"/>
  </cols>
  <sheetData>
    <row r="1" spans="1:12" ht="15.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>
        <v>44818</v>
      </c>
      <c r="B2">
        <v>17771.150000000001</v>
      </c>
      <c r="C2">
        <v>18091.55</v>
      </c>
      <c r="D2">
        <v>17771.150000000001</v>
      </c>
      <c r="E2">
        <v>18003.75</v>
      </c>
    </row>
    <row r="3" spans="1:12" x14ac:dyDescent="0.25">
      <c r="A3" s="1">
        <v>44819</v>
      </c>
      <c r="B3">
        <v>18046.349999999999</v>
      </c>
      <c r="C3">
        <v>18096.150000000001</v>
      </c>
      <c r="D3">
        <v>17861.5</v>
      </c>
      <c r="E3">
        <v>17877.400000000001</v>
      </c>
      <c r="F3">
        <f>E3-E2</f>
        <v>-126.34999999999854</v>
      </c>
      <c r="G3">
        <f t="shared" ref="G3:G66" si="0">IF(F3&gt;0,F3,0)</f>
        <v>0</v>
      </c>
      <c r="H3">
        <f t="shared" ref="H3:H27" si="1">IF(F3&lt;0,ABS(F3),0)</f>
        <v>126.34999999999854</v>
      </c>
    </row>
    <row r="4" spans="1:12" x14ac:dyDescent="0.25">
      <c r="A4" s="1">
        <v>44820</v>
      </c>
      <c r="B4">
        <v>17796.8</v>
      </c>
      <c r="C4">
        <v>17820.05</v>
      </c>
      <c r="D4">
        <v>17497.25</v>
      </c>
      <c r="E4">
        <v>17530.849999999999</v>
      </c>
      <c r="F4">
        <f t="shared" ref="F4:F27" si="2">E4-E3</f>
        <v>-346.55000000000291</v>
      </c>
      <c r="G4">
        <f t="shared" si="0"/>
        <v>0</v>
      </c>
      <c r="H4">
        <f t="shared" si="1"/>
        <v>346.55000000000291</v>
      </c>
    </row>
    <row r="5" spans="1:12" x14ac:dyDescent="0.25">
      <c r="A5" s="1">
        <v>44823</v>
      </c>
      <c r="B5">
        <v>17540.650000000001</v>
      </c>
      <c r="C5">
        <v>17667.2</v>
      </c>
      <c r="D5">
        <v>17429.7</v>
      </c>
      <c r="E5">
        <v>17622.25</v>
      </c>
      <c r="F5">
        <f t="shared" si="2"/>
        <v>91.400000000001455</v>
      </c>
      <c r="G5">
        <f t="shared" si="0"/>
        <v>91.400000000001455</v>
      </c>
      <c r="H5">
        <f t="shared" si="1"/>
        <v>0</v>
      </c>
    </row>
    <row r="6" spans="1:12" x14ac:dyDescent="0.25">
      <c r="A6" s="1">
        <v>44824</v>
      </c>
      <c r="B6">
        <v>17770.400000000001</v>
      </c>
      <c r="C6">
        <v>17919.3</v>
      </c>
      <c r="D6">
        <v>17744.400000000001</v>
      </c>
      <c r="E6">
        <v>17816.25</v>
      </c>
      <c r="F6">
        <f t="shared" si="2"/>
        <v>194</v>
      </c>
      <c r="G6">
        <f t="shared" si="0"/>
        <v>194</v>
      </c>
      <c r="H6">
        <f t="shared" si="1"/>
        <v>0</v>
      </c>
    </row>
    <row r="7" spans="1:12" x14ac:dyDescent="0.25">
      <c r="A7" s="1">
        <v>44825</v>
      </c>
      <c r="B7">
        <v>17766.349999999999</v>
      </c>
      <c r="C7">
        <v>17838.7</v>
      </c>
      <c r="D7">
        <v>17663.599999999999</v>
      </c>
      <c r="E7">
        <v>17718.349999999999</v>
      </c>
      <c r="F7">
        <f t="shared" si="2"/>
        <v>-97.900000000001455</v>
      </c>
      <c r="G7">
        <f t="shared" si="0"/>
        <v>0</v>
      </c>
      <c r="H7">
        <f t="shared" si="1"/>
        <v>97.900000000001455</v>
      </c>
    </row>
    <row r="8" spans="1:12" x14ac:dyDescent="0.25">
      <c r="A8" s="1">
        <v>44826</v>
      </c>
      <c r="B8">
        <v>17609.650000000001</v>
      </c>
      <c r="C8">
        <v>17722.75</v>
      </c>
      <c r="D8">
        <v>17532.45</v>
      </c>
      <c r="E8">
        <v>17629.8</v>
      </c>
      <c r="F8">
        <f t="shared" si="2"/>
        <v>-88.549999999999272</v>
      </c>
      <c r="G8">
        <f t="shared" si="0"/>
        <v>0</v>
      </c>
      <c r="H8">
        <f t="shared" si="1"/>
        <v>88.549999999999272</v>
      </c>
    </row>
    <row r="9" spans="1:12" x14ac:dyDescent="0.25">
      <c r="A9" s="1">
        <v>44827</v>
      </c>
      <c r="B9">
        <v>17593.849999999999</v>
      </c>
      <c r="C9">
        <v>17642.150000000001</v>
      </c>
      <c r="D9">
        <v>17291.650000000001</v>
      </c>
      <c r="E9">
        <v>17327.349999999999</v>
      </c>
      <c r="F9">
        <f t="shared" si="2"/>
        <v>-302.45000000000073</v>
      </c>
      <c r="G9">
        <f t="shared" si="0"/>
        <v>0</v>
      </c>
      <c r="H9">
        <f t="shared" si="1"/>
        <v>302.45000000000073</v>
      </c>
    </row>
    <row r="10" spans="1:12" x14ac:dyDescent="0.25">
      <c r="A10" s="1">
        <v>44830</v>
      </c>
      <c r="B10">
        <v>17156.3</v>
      </c>
      <c r="C10">
        <v>17196.400000000001</v>
      </c>
      <c r="D10">
        <v>16978.3</v>
      </c>
      <c r="E10">
        <v>17016.3</v>
      </c>
      <c r="F10">
        <f t="shared" si="2"/>
        <v>-311.04999999999927</v>
      </c>
      <c r="G10">
        <f t="shared" si="0"/>
        <v>0</v>
      </c>
      <c r="H10">
        <f t="shared" si="1"/>
        <v>311.04999999999927</v>
      </c>
    </row>
    <row r="11" spans="1:12" x14ac:dyDescent="0.25">
      <c r="A11" s="1">
        <v>44831</v>
      </c>
      <c r="B11">
        <v>17110.900000000001</v>
      </c>
      <c r="C11">
        <v>17176.45</v>
      </c>
      <c r="D11">
        <v>16942.349999999999</v>
      </c>
      <c r="E11">
        <v>17007.400000000001</v>
      </c>
      <c r="F11">
        <f t="shared" si="2"/>
        <v>-8.8999999999978172</v>
      </c>
      <c r="G11">
        <f t="shared" si="0"/>
        <v>0</v>
      </c>
      <c r="H11">
        <f t="shared" si="1"/>
        <v>8.8999999999978172</v>
      </c>
    </row>
    <row r="12" spans="1:12" x14ac:dyDescent="0.25">
      <c r="A12" s="1">
        <v>44832</v>
      </c>
      <c r="B12">
        <v>16870.55</v>
      </c>
      <c r="C12">
        <v>17037.599999999999</v>
      </c>
      <c r="D12">
        <v>16820.400000000001</v>
      </c>
      <c r="E12">
        <v>16858.599999999999</v>
      </c>
      <c r="F12">
        <f t="shared" si="2"/>
        <v>-148.80000000000291</v>
      </c>
      <c r="G12">
        <f t="shared" si="0"/>
        <v>0</v>
      </c>
      <c r="H12">
        <f t="shared" si="1"/>
        <v>148.80000000000291</v>
      </c>
    </row>
    <row r="13" spans="1:12" x14ac:dyDescent="0.25">
      <c r="A13" s="1">
        <v>44833</v>
      </c>
      <c r="B13">
        <v>16993.599999999999</v>
      </c>
      <c r="C13">
        <v>17026.05</v>
      </c>
      <c r="D13">
        <v>16788.599999999999</v>
      </c>
      <c r="E13">
        <v>16818.099999999999</v>
      </c>
      <c r="F13">
        <f t="shared" si="2"/>
        <v>-40.5</v>
      </c>
      <c r="G13">
        <f t="shared" si="0"/>
        <v>0</v>
      </c>
      <c r="H13">
        <f t="shared" si="1"/>
        <v>40.5</v>
      </c>
    </row>
    <row r="14" spans="1:12" x14ac:dyDescent="0.25">
      <c r="A14" s="1">
        <v>44834</v>
      </c>
      <c r="B14">
        <v>16798.05</v>
      </c>
      <c r="C14">
        <v>17187.099999999999</v>
      </c>
      <c r="D14">
        <v>16747.7</v>
      </c>
      <c r="E14">
        <v>17094.349999999999</v>
      </c>
      <c r="F14">
        <f t="shared" si="2"/>
        <v>276.25</v>
      </c>
      <c r="G14">
        <f t="shared" si="0"/>
        <v>276.25</v>
      </c>
      <c r="H14">
        <f t="shared" si="1"/>
        <v>0</v>
      </c>
    </row>
    <row r="15" spans="1:12" x14ac:dyDescent="0.25">
      <c r="A15" s="1">
        <v>44837</v>
      </c>
      <c r="B15">
        <v>17102.099999999999</v>
      </c>
      <c r="C15">
        <v>17114.650000000001</v>
      </c>
      <c r="D15">
        <v>16855.55</v>
      </c>
      <c r="E15">
        <v>16887.349999999999</v>
      </c>
      <c r="F15">
        <f t="shared" si="2"/>
        <v>-207</v>
      </c>
      <c r="G15">
        <f t="shared" si="0"/>
        <v>0</v>
      </c>
      <c r="H15">
        <f t="shared" si="1"/>
        <v>207</v>
      </c>
    </row>
    <row r="16" spans="1:12" x14ac:dyDescent="0.25">
      <c r="A16" s="1">
        <v>44838</v>
      </c>
      <c r="B16">
        <v>17147.45</v>
      </c>
      <c r="C16">
        <v>17287.3</v>
      </c>
      <c r="D16">
        <v>17117.3</v>
      </c>
      <c r="E16">
        <v>17274.3</v>
      </c>
      <c r="F16">
        <f t="shared" si="2"/>
        <v>386.95000000000073</v>
      </c>
      <c r="G16">
        <f t="shared" si="0"/>
        <v>386.95000000000073</v>
      </c>
      <c r="H16">
        <f t="shared" si="1"/>
        <v>0</v>
      </c>
      <c r="I16" s="2">
        <f>AVERAGE(G3:G16)</f>
        <v>67.757142857143009</v>
      </c>
      <c r="J16" s="2">
        <f>AVERAGE(H3:H16)</f>
        <v>119.86071428571449</v>
      </c>
      <c r="K16" s="2">
        <f>I16/J16</f>
        <v>0.56529900777688413</v>
      </c>
      <c r="L16" s="2">
        <f t="shared" ref="L16:L27" si="3">IF(J16=0,100,100-(100/(1+K16)))</f>
        <v>36.114442350522538</v>
      </c>
    </row>
    <row r="17" spans="1:12" x14ac:dyDescent="0.25">
      <c r="A17" s="1">
        <v>44840</v>
      </c>
      <c r="B17">
        <v>17379.25</v>
      </c>
      <c r="C17">
        <v>17428.8</v>
      </c>
      <c r="D17">
        <v>17315.650000000001</v>
      </c>
      <c r="E17">
        <v>17331.8</v>
      </c>
      <c r="F17">
        <f t="shared" si="2"/>
        <v>57.5</v>
      </c>
      <c r="G17">
        <f t="shared" si="0"/>
        <v>57.5</v>
      </c>
      <c r="H17">
        <f t="shared" si="1"/>
        <v>0</v>
      </c>
      <c r="I17" s="2">
        <f t="shared" ref="I17:J27" si="4">(I16*13+G17 )/14</f>
        <v>67.024489795918512</v>
      </c>
      <c r="J17" s="2">
        <f t="shared" si="4"/>
        <v>111.29923469387775</v>
      </c>
      <c r="K17" s="2">
        <f t="shared" ref="K17:K27" si="5">I17/J17</f>
        <v>0.60220081459019537</v>
      </c>
      <c r="L17" s="2">
        <f t="shared" si="3"/>
        <v>37.585851230778701</v>
      </c>
    </row>
    <row r="18" spans="1:12" x14ac:dyDescent="0.25">
      <c r="A18" s="1">
        <v>44841</v>
      </c>
      <c r="B18">
        <v>17287.2</v>
      </c>
      <c r="C18">
        <v>17337.349999999999</v>
      </c>
      <c r="D18">
        <v>17216.95</v>
      </c>
      <c r="E18">
        <v>17314.650000000001</v>
      </c>
      <c r="F18">
        <f t="shared" si="2"/>
        <v>-17.149999999997817</v>
      </c>
      <c r="G18">
        <f t="shared" si="0"/>
        <v>0</v>
      </c>
      <c r="H18">
        <f t="shared" si="1"/>
        <v>17.149999999997817</v>
      </c>
      <c r="I18" s="2">
        <f t="shared" si="4"/>
        <v>62.237026239067191</v>
      </c>
      <c r="J18" s="2">
        <f t="shared" si="4"/>
        <v>104.57428935860061</v>
      </c>
      <c r="K18" s="2">
        <f t="shared" si="5"/>
        <v>0.59514653765083003</v>
      </c>
      <c r="L18" s="2">
        <f t="shared" si="3"/>
        <v>37.309834777142257</v>
      </c>
    </row>
    <row r="19" spans="1:12" x14ac:dyDescent="0.25">
      <c r="A19" s="1">
        <v>44844</v>
      </c>
      <c r="B19">
        <v>17094.349999999999</v>
      </c>
      <c r="C19">
        <v>17280.150000000001</v>
      </c>
      <c r="D19">
        <v>17064.7</v>
      </c>
      <c r="E19">
        <v>17241</v>
      </c>
      <c r="F19">
        <f t="shared" si="2"/>
        <v>-73.650000000001455</v>
      </c>
      <c r="G19">
        <f t="shared" si="0"/>
        <v>0</v>
      </c>
      <c r="H19">
        <f t="shared" si="1"/>
        <v>73.650000000001455</v>
      </c>
      <c r="I19" s="2">
        <f t="shared" si="4"/>
        <v>57.791524364848108</v>
      </c>
      <c r="J19" s="2">
        <f t="shared" si="4"/>
        <v>102.36541154727209</v>
      </c>
      <c r="K19" s="2">
        <f t="shared" si="5"/>
        <v>0.56456105134848333</v>
      </c>
      <c r="L19" s="2">
        <f t="shared" si="3"/>
        <v>36.084309452922433</v>
      </c>
    </row>
    <row r="20" spans="1:12" x14ac:dyDescent="0.25">
      <c r="A20" s="1">
        <v>44845</v>
      </c>
      <c r="B20">
        <v>17256.05</v>
      </c>
      <c r="C20">
        <v>17261.8</v>
      </c>
      <c r="D20">
        <v>16950.3</v>
      </c>
      <c r="E20">
        <v>16983.55</v>
      </c>
      <c r="F20">
        <f t="shared" si="2"/>
        <v>-257.45000000000073</v>
      </c>
      <c r="G20">
        <f t="shared" si="0"/>
        <v>0</v>
      </c>
      <c r="H20">
        <f t="shared" si="1"/>
        <v>257.45000000000073</v>
      </c>
      <c r="I20" s="2">
        <f t="shared" si="4"/>
        <v>53.663558338787531</v>
      </c>
      <c r="J20" s="2">
        <f t="shared" si="4"/>
        <v>113.44288215103843</v>
      </c>
      <c r="K20" s="2">
        <f t="shared" si="5"/>
        <v>0.47304473688652937</v>
      </c>
      <c r="L20" s="2">
        <f t="shared" si="3"/>
        <v>32.113399209203294</v>
      </c>
    </row>
    <row r="21" spans="1:12" x14ac:dyDescent="0.25">
      <c r="A21" s="1">
        <v>44846</v>
      </c>
      <c r="B21">
        <v>17025.55</v>
      </c>
      <c r="C21">
        <v>17142.349999999999</v>
      </c>
      <c r="D21">
        <v>16960.05</v>
      </c>
      <c r="E21">
        <v>17123.599999999999</v>
      </c>
      <c r="F21">
        <f t="shared" si="2"/>
        <v>140.04999999999927</v>
      </c>
      <c r="G21">
        <f t="shared" si="0"/>
        <v>140.04999999999927</v>
      </c>
      <c r="H21">
        <f t="shared" si="1"/>
        <v>0</v>
      </c>
      <c r="I21" s="2">
        <f t="shared" si="4"/>
        <v>59.834018457445509</v>
      </c>
      <c r="J21" s="2">
        <f t="shared" si="4"/>
        <v>105.33981914024999</v>
      </c>
      <c r="K21" s="2">
        <f t="shared" si="5"/>
        <v>0.56800950434310304</v>
      </c>
      <c r="L21" s="2">
        <f t="shared" si="3"/>
        <v>36.224876365214584</v>
      </c>
    </row>
    <row r="22" spans="1:12" x14ac:dyDescent="0.25">
      <c r="A22" s="1">
        <v>44847</v>
      </c>
      <c r="B22">
        <v>17087.349999999999</v>
      </c>
      <c r="C22">
        <v>17112.349999999999</v>
      </c>
      <c r="D22">
        <v>16956.95</v>
      </c>
      <c r="E22">
        <v>17014.349999999999</v>
      </c>
      <c r="F22">
        <f t="shared" si="2"/>
        <v>-109.25</v>
      </c>
      <c r="G22">
        <f t="shared" si="0"/>
        <v>0</v>
      </c>
      <c r="H22">
        <f t="shared" si="1"/>
        <v>109.25</v>
      </c>
      <c r="I22" s="2">
        <f t="shared" si="4"/>
        <v>55.560159996199403</v>
      </c>
      <c r="J22" s="2">
        <f t="shared" si="4"/>
        <v>105.61911777308929</v>
      </c>
      <c r="K22" s="2">
        <f t="shared" si="5"/>
        <v>0.5260426442451841</v>
      </c>
      <c r="L22" s="2">
        <f t="shared" si="3"/>
        <v>34.471031738787161</v>
      </c>
    </row>
    <row r="23" spans="1:12" x14ac:dyDescent="0.25">
      <c r="A23" s="1">
        <v>44848</v>
      </c>
      <c r="B23">
        <v>17322.3</v>
      </c>
      <c r="C23">
        <v>17348.55</v>
      </c>
      <c r="D23">
        <v>17169.75</v>
      </c>
      <c r="E23">
        <v>17185.7</v>
      </c>
      <c r="F23">
        <f t="shared" si="2"/>
        <v>171.35000000000218</v>
      </c>
      <c r="G23">
        <f t="shared" si="0"/>
        <v>171.35000000000218</v>
      </c>
      <c r="H23">
        <f t="shared" si="1"/>
        <v>0</v>
      </c>
      <c r="I23" s="2">
        <f t="shared" si="4"/>
        <v>63.830862853613887</v>
      </c>
      <c r="J23" s="2">
        <f t="shared" si="4"/>
        <v>98.074895075011483</v>
      </c>
      <c r="K23" s="2">
        <f t="shared" si="5"/>
        <v>0.65083794180757026</v>
      </c>
      <c r="L23" s="2">
        <f t="shared" si="3"/>
        <v>39.424702166400479</v>
      </c>
    </row>
    <row r="24" spans="1:12" x14ac:dyDescent="0.25">
      <c r="A24" s="1">
        <v>44851</v>
      </c>
      <c r="B24">
        <v>17144.8</v>
      </c>
      <c r="C24">
        <v>17328.55</v>
      </c>
      <c r="D24">
        <v>17098.55</v>
      </c>
      <c r="E24">
        <v>17311.8</v>
      </c>
      <c r="F24">
        <f t="shared" si="2"/>
        <v>126.09999999999854</v>
      </c>
      <c r="G24">
        <f t="shared" si="0"/>
        <v>126.09999999999854</v>
      </c>
      <c r="H24">
        <f t="shared" si="1"/>
        <v>0</v>
      </c>
      <c r="I24" s="2">
        <f t="shared" si="4"/>
        <v>68.278658364069926</v>
      </c>
      <c r="J24" s="2">
        <f t="shared" si="4"/>
        <v>91.069545426796381</v>
      </c>
      <c r="K24" s="2">
        <f t="shared" si="5"/>
        <v>0.74974194769593694</v>
      </c>
      <c r="L24" s="2">
        <f t="shared" si="3"/>
        <v>42.848715416761792</v>
      </c>
    </row>
    <row r="25" spans="1:12" x14ac:dyDescent="0.25">
      <c r="A25" s="1">
        <v>44852</v>
      </c>
      <c r="B25">
        <v>17438.75</v>
      </c>
      <c r="C25">
        <v>17527.8</v>
      </c>
      <c r="D25">
        <v>17434.05</v>
      </c>
      <c r="E25">
        <v>17486.95</v>
      </c>
      <c r="F25">
        <f t="shared" si="2"/>
        <v>175.15000000000146</v>
      </c>
      <c r="G25">
        <f t="shared" si="0"/>
        <v>175.15000000000146</v>
      </c>
      <c r="H25">
        <f t="shared" si="1"/>
        <v>0</v>
      </c>
      <c r="I25" s="2">
        <f t="shared" si="4"/>
        <v>75.912325623779324</v>
      </c>
      <c r="J25" s="2">
        <f t="shared" si="4"/>
        <v>84.564577896310922</v>
      </c>
      <c r="K25" s="2">
        <f t="shared" si="5"/>
        <v>0.89768467498128379</v>
      </c>
      <c r="L25" s="2">
        <f t="shared" si="3"/>
        <v>47.304206374019294</v>
      </c>
    </row>
    <row r="26" spans="1:12" x14ac:dyDescent="0.25">
      <c r="A26" s="1">
        <v>44853</v>
      </c>
      <c r="B26">
        <v>17568.150000000001</v>
      </c>
      <c r="C26">
        <v>17607.599999999999</v>
      </c>
      <c r="D26">
        <v>17472.849999999999</v>
      </c>
      <c r="E26">
        <v>17512.25</v>
      </c>
      <c r="F26">
        <f t="shared" si="2"/>
        <v>25.299999999999272</v>
      </c>
      <c r="G26">
        <f t="shared" si="0"/>
        <v>25.299999999999272</v>
      </c>
      <c r="H26">
        <f t="shared" si="1"/>
        <v>0</v>
      </c>
      <c r="I26" s="2">
        <f t="shared" si="4"/>
        <v>72.29715950779503</v>
      </c>
      <c r="J26" s="2">
        <f t="shared" si="4"/>
        <v>78.524250903717288</v>
      </c>
      <c r="K26" s="2">
        <f t="shared" si="5"/>
        <v>0.9206984934685003</v>
      </c>
      <c r="L26" s="2">
        <f t="shared" si="3"/>
        <v>47.935607623966717</v>
      </c>
    </row>
    <row r="27" spans="1:12" x14ac:dyDescent="0.25">
      <c r="A27" s="1">
        <v>44854</v>
      </c>
      <c r="B27">
        <v>17423.099999999999</v>
      </c>
      <c r="C27">
        <v>17584.150000000001</v>
      </c>
      <c r="D27">
        <v>17421</v>
      </c>
      <c r="E27">
        <v>17563.95</v>
      </c>
      <c r="F27">
        <f t="shared" si="2"/>
        <v>51.700000000000728</v>
      </c>
      <c r="G27">
        <f t="shared" si="0"/>
        <v>51.700000000000728</v>
      </c>
      <c r="H27">
        <f t="shared" si="1"/>
        <v>0</v>
      </c>
      <c r="I27" s="2">
        <f t="shared" si="4"/>
        <v>70.825933828666862</v>
      </c>
      <c r="J27" s="2">
        <f t="shared" si="4"/>
        <v>72.915375839166046</v>
      </c>
      <c r="K27" s="2">
        <f t="shared" si="5"/>
        <v>0.97134428799889894</v>
      </c>
      <c r="L27" s="2">
        <f t="shared" si="3"/>
        <v>49.273193622860539</v>
      </c>
    </row>
    <row r="28" spans="1:12" x14ac:dyDescent="0.25">
      <c r="A28" s="1">
        <v>44855</v>
      </c>
      <c r="B28">
        <v>17622.849999999999</v>
      </c>
      <c r="C28">
        <v>17670.150000000001</v>
      </c>
      <c r="D28">
        <v>17520.75</v>
      </c>
      <c r="E28">
        <v>17576.3</v>
      </c>
      <c r="F28">
        <f t="shared" ref="F28:F91" si="6">E28-E27</f>
        <v>12.349999999998545</v>
      </c>
      <c r="G28">
        <f t="shared" si="0"/>
        <v>12.349999999998545</v>
      </c>
      <c r="H28">
        <f t="shared" ref="H28:H91" si="7">IF(F28&lt;0,ABS(F28),0)</f>
        <v>0</v>
      </c>
      <c r="I28" s="2">
        <f t="shared" ref="I28:I91" si="8">(I27*13+G28 )/14</f>
        <v>66.649081412333416</v>
      </c>
      <c r="J28" s="2">
        <f t="shared" ref="J28:J91" si="9">(J27*13+H28 )/14</f>
        <v>67.707134707797039</v>
      </c>
      <c r="K28" s="2">
        <f t="shared" ref="K28:K91" si="10">I28/J28</f>
        <v>0.98437309007344864</v>
      </c>
      <c r="L28" s="2">
        <f t="shared" ref="L28:L91" si="11">IF(J28=0,100,100-(100/(1+K28)))</f>
        <v>49.606250709487981</v>
      </c>
    </row>
    <row r="29" spans="1:12" x14ac:dyDescent="0.25">
      <c r="A29" s="1">
        <v>44858</v>
      </c>
      <c r="B29">
        <v>17736.349999999999</v>
      </c>
      <c r="C29">
        <v>17777.55</v>
      </c>
      <c r="D29">
        <v>17707.400000000001</v>
      </c>
      <c r="E29">
        <v>17730.75</v>
      </c>
      <c r="F29">
        <f t="shared" si="6"/>
        <v>154.45000000000073</v>
      </c>
      <c r="G29">
        <f t="shared" si="0"/>
        <v>154.45000000000073</v>
      </c>
      <c r="H29">
        <f t="shared" si="7"/>
        <v>0</v>
      </c>
      <c r="I29" s="2">
        <f t="shared" si="8"/>
        <v>72.920575597166788</v>
      </c>
      <c r="J29" s="2">
        <f t="shared" si="9"/>
        <v>62.870910800097249</v>
      </c>
      <c r="K29" s="2">
        <f t="shared" si="10"/>
        <v>1.1598460189168118</v>
      </c>
      <c r="L29" s="2">
        <f t="shared" si="11"/>
        <v>53.700403119407945</v>
      </c>
    </row>
    <row r="30" spans="1:12" x14ac:dyDescent="0.25">
      <c r="A30" s="1">
        <v>44859</v>
      </c>
      <c r="B30">
        <v>17808.3</v>
      </c>
      <c r="C30">
        <v>17811.5</v>
      </c>
      <c r="D30">
        <v>17637</v>
      </c>
      <c r="E30">
        <v>17656.349999999999</v>
      </c>
      <c r="F30">
        <f t="shared" si="6"/>
        <v>-74.400000000001455</v>
      </c>
      <c r="G30">
        <f t="shared" si="0"/>
        <v>0</v>
      </c>
      <c r="H30">
        <f t="shared" si="7"/>
        <v>74.400000000001455</v>
      </c>
      <c r="I30" s="2">
        <f t="shared" si="8"/>
        <v>67.711963054512026</v>
      </c>
      <c r="J30" s="2">
        <f t="shared" si="9"/>
        <v>63.694417171518978</v>
      </c>
      <c r="K30" s="2">
        <f t="shared" si="10"/>
        <v>1.0630753221616651</v>
      </c>
      <c r="L30" s="2">
        <f t="shared" si="11"/>
        <v>51.528672304983402</v>
      </c>
    </row>
    <row r="31" spans="1:12" x14ac:dyDescent="0.25">
      <c r="A31" s="1">
        <v>44861</v>
      </c>
      <c r="B31">
        <v>17771.400000000001</v>
      </c>
      <c r="C31">
        <v>17783.900000000001</v>
      </c>
      <c r="D31">
        <v>17654.5</v>
      </c>
      <c r="E31">
        <v>17736.95</v>
      </c>
      <c r="F31">
        <f t="shared" si="6"/>
        <v>80.600000000002183</v>
      </c>
      <c r="G31">
        <f t="shared" si="0"/>
        <v>80.600000000002183</v>
      </c>
      <c r="H31">
        <f t="shared" si="7"/>
        <v>0</v>
      </c>
      <c r="I31" s="2">
        <f t="shared" si="8"/>
        <v>68.63253712204704</v>
      </c>
      <c r="J31" s="2">
        <f t="shared" si="9"/>
        <v>59.144815944981914</v>
      </c>
      <c r="K31" s="2">
        <f t="shared" si="10"/>
        <v>1.1604150934528372</v>
      </c>
      <c r="L31" s="2">
        <f t="shared" si="11"/>
        <v>53.712598887569726</v>
      </c>
    </row>
    <row r="32" spans="1:12" x14ac:dyDescent="0.25">
      <c r="A32" s="1">
        <v>44862</v>
      </c>
      <c r="B32">
        <v>17756.400000000001</v>
      </c>
      <c r="C32">
        <v>17838.900000000001</v>
      </c>
      <c r="D32">
        <v>17723.7</v>
      </c>
      <c r="E32">
        <v>17786.8</v>
      </c>
      <c r="F32">
        <f t="shared" si="6"/>
        <v>49.849999999998545</v>
      </c>
      <c r="G32">
        <f t="shared" si="0"/>
        <v>49.849999999998545</v>
      </c>
      <c r="H32">
        <f t="shared" si="7"/>
        <v>0</v>
      </c>
      <c r="I32" s="2">
        <f t="shared" si="8"/>
        <v>67.290927327615009</v>
      </c>
      <c r="J32" s="2">
        <f t="shared" si="9"/>
        <v>54.920186234626058</v>
      </c>
      <c r="K32" s="2">
        <f t="shared" si="10"/>
        <v>1.225249438159943</v>
      </c>
      <c r="L32" s="2">
        <f t="shared" si="11"/>
        <v>55.061217729060552</v>
      </c>
    </row>
    <row r="33" spans="1:12" x14ac:dyDescent="0.25">
      <c r="A33" s="1">
        <v>44865</v>
      </c>
      <c r="B33">
        <v>17910.2</v>
      </c>
      <c r="C33">
        <v>18022.8</v>
      </c>
      <c r="D33">
        <v>17899.900000000001</v>
      </c>
      <c r="E33">
        <v>18012.2</v>
      </c>
      <c r="F33">
        <f t="shared" si="6"/>
        <v>225.40000000000146</v>
      </c>
      <c r="G33">
        <f t="shared" si="0"/>
        <v>225.40000000000146</v>
      </c>
      <c r="H33">
        <f t="shared" si="7"/>
        <v>0</v>
      </c>
      <c r="I33" s="2">
        <f t="shared" si="8"/>
        <v>78.584432518499753</v>
      </c>
      <c r="J33" s="2">
        <f t="shared" si="9"/>
        <v>50.997315789295627</v>
      </c>
      <c r="K33" s="2">
        <f t="shared" si="10"/>
        <v>1.5409523286124538</v>
      </c>
      <c r="L33" s="2">
        <f t="shared" si="11"/>
        <v>60.644676850506933</v>
      </c>
    </row>
    <row r="34" spans="1:12" x14ac:dyDescent="0.25">
      <c r="A34" s="1">
        <v>44866</v>
      </c>
      <c r="B34">
        <v>18130.7</v>
      </c>
      <c r="C34">
        <v>18175.8</v>
      </c>
      <c r="D34">
        <v>18060.150000000001</v>
      </c>
      <c r="E34">
        <v>18145.400000000001</v>
      </c>
      <c r="F34">
        <f t="shared" si="6"/>
        <v>133.20000000000073</v>
      </c>
      <c r="G34">
        <f t="shared" si="0"/>
        <v>133.20000000000073</v>
      </c>
      <c r="H34">
        <f t="shared" si="7"/>
        <v>0</v>
      </c>
      <c r="I34" s="2">
        <f t="shared" si="8"/>
        <v>82.485544481464103</v>
      </c>
      <c r="J34" s="2">
        <f t="shared" si="9"/>
        <v>47.354650375774511</v>
      </c>
      <c r="K34" s="2">
        <f t="shared" si="10"/>
        <v>1.7418678804914522</v>
      </c>
      <c r="L34" s="2">
        <f t="shared" si="11"/>
        <v>63.528512547411289</v>
      </c>
    </row>
    <row r="35" spans="1:12" x14ac:dyDescent="0.25">
      <c r="A35" s="1">
        <v>44867</v>
      </c>
      <c r="B35">
        <v>18177.900000000001</v>
      </c>
      <c r="C35">
        <v>18178.75</v>
      </c>
      <c r="D35">
        <v>18048.650000000001</v>
      </c>
      <c r="E35">
        <v>18082.849999999999</v>
      </c>
      <c r="F35">
        <f t="shared" si="6"/>
        <v>-62.55000000000291</v>
      </c>
      <c r="G35">
        <f t="shared" si="0"/>
        <v>0</v>
      </c>
      <c r="H35">
        <f t="shared" si="7"/>
        <v>62.55000000000291</v>
      </c>
      <c r="I35" s="2">
        <f t="shared" si="8"/>
        <v>76.593719875645235</v>
      </c>
      <c r="J35" s="2">
        <f t="shared" si="9"/>
        <v>48.440032491790824</v>
      </c>
      <c r="K35" s="2">
        <f t="shared" si="10"/>
        <v>1.5812070293021716</v>
      </c>
      <c r="L35" s="2">
        <f t="shared" si="11"/>
        <v>61.258434962872791</v>
      </c>
    </row>
    <row r="36" spans="1:12" x14ac:dyDescent="0.25">
      <c r="A36" s="1">
        <v>44868</v>
      </c>
      <c r="B36">
        <v>17968.349999999999</v>
      </c>
      <c r="C36">
        <v>18106.3</v>
      </c>
      <c r="D36">
        <v>17959.2</v>
      </c>
      <c r="E36">
        <v>18052.7</v>
      </c>
      <c r="F36">
        <f t="shared" si="6"/>
        <v>-30.149999999997817</v>
      </c>
      <c r="G36">
        <f t="shared" si="0"/>
        <v>0</v>
      </c>
      <c r="H36">
        <f t="shared" si="7"/>
        <v>30.149999999997817</v>
      </c>
      <c r="I36" s="2">
        <f t="shared" si="8"/>
        <v>71.122739884527718</v>
      </c>
      <c r="J36" s="2">
        <f t="shared" si="9"/>
        <v>47.133601599519899</v>
      </c>
      <c r="K36" s="2">
        <f t="shared" si="10"/>
        <v>1.5089604331287123</v>
      </c>
      <c r="L36" s="2">
        <f t="shared" si="11"/>
        <v>60.142854913300305</v>
      </c>
    </row>
    <row r="37" spans="1:12" x14ac:dyDescent="0.25">
      <c r="A37" s="1">
        <v>44869</v>
      </c>
      <c r="B37">
        <v>18053.400000000001</v>
      </c>
      <c r="C37">
        <v>18135.099999999999</v>
      </c>
      <c r="D37">
        <v>18017.150000000001</v>
      </c>
      <c r="E37">
        <v>18117.150000000001</v>
      </c>
      <c r="F37">
        <f t="shared" si="6"/>
        <v>64.450000000000728</v>
      </c>
      <c r="G37">
        <f t="shared" si="0"/>
        <v>64.450000000000728</v>
      </c>
      <c r="H37">
        <f t="shared" si="7"/>
        <v>0</v>
      </c>
      <c r="I37" s="2">
        <f t="shared" si="8"/>
        <v>70.646115607061503</v>
      </c>
      <c r="J37" s="2">
        <f t="shared" si="9"/>
        <v>43.76691577098277</v>
      </c>
      <c r="K37" s="2">
        <f t="shared" si="10"/>
        <v>1.6141442540006326</v>
      </c>
      <c r="L37" s="2">
        <f t="shared" si="11"/>
        <v>61.746563967553797</v>
      </c>
    </row>
    <row r="38" spans="1:12" x14ac:dyDescent="0.25">
      <c r="A38" s="1">
        <v>44872</v>
      </c>
      <c r="B38">
        <v>18211.75</v>
      </c>
      <c r="C38">
        <v>18255.5</v>
      </c>
      <c r="D38">
        <v>18064.75</v>
      </c>
      <c r="E38">
        <v>18202.8</v>
      </c>
      <c r="F38">
        <f t="shared" si="6"/>
        <v>85.649999999997817</v>
      </c>
      <c r="G38">
        <f t="shared" si="0"/>
        <v>85.649999999997817</v>
      </c>
      <c r="H38">
        <f t="shared" si="7"/>
        <v>0</v>
      </c>
      <c r="I38" s="2">
        <f t="shared" si="8"/>
        <v>71.717821635128388</v>
      </c>
      <c r="J38" s="2">
        <f t="shared" si="9"/>
        <v>40.640707501626864</v>
      </c>
      <c r="K38" s="2">
        <f t="shared" si="10"/>
        <v>1.7646794567308528</v>
      </c>
      <c r="L38" s="2">
        <f t="shared" si="11"/>
        <v>63.829441508475313</v>
      </c>
    </row>
    <row r="39" spans="1:12" x14ac:dyDescent="0.25">
      <c r="A39" s="1">
        <v>44874</v>
      </c>
      <c r="B39">
        <v>18288.25</v>
      </c>
      <c r="C39">
        <v>18296.400000000001</v>
      </c>
      <c r="D39">
        <v>18117.5</v>
      </c>
      <c r="E39">
        <v>18157</v>
      </c>
      <c r="F39">
        <f t="shared" si="6"/>
        <v>-45.799999999999272</v>
      </c>
      <c r="G39">
        <f t="shared" si="0"/>
        <v>0</v>
      </c>
      <c r="H39">
        <f t="shared" si="7"/>
        <v>45.799999999999272</v>
      </c>
      <c r="I39" s="2">
        <f t="shared" si="8"/>
        <v>66.595120089762077</v>
      </c>
      <c r="J39" s="2">
        <f t="shared" si="9"/>
        <v>41.009228394367753</v>
      </c>
      <c r="K39" s="2">
        <f t="shared" si="10"/>
        <v>1.6239057084748347</v>
      </c>
      <c r="L39" s="2">
        <f t="shared" si="11"/>
        <v>61.888874406952013</v>
      </c>
    </row>
    <row r="40" spans="1:12" x14ac:dyDescent="0.25">
      <c r="A40" s="1">
        <v>44875</v>
      </c>
      <c r="B40">
        <v>18044.349999999999</v>
      </c>
      <c r="C40">
        <v>18103.099999999999</v>
      </c>
      <c r="D40">
        <v>17969.400000000001</v>
      </c>
      <c r="E40">
        <v>18028.2</v>
      </c>
      <c r="F40">
        <f t="shared" si="6"/>
        <v>-128.79999999999927</v>
      </c>
      <c r="G40">
        <f t="shared" si="0"/>
        <v>0</v>
      </c>
      <c r="H40">
        <f t="shared" si="7"/>
        <v>128.79999999999927</v>
      </c>
      <c r="I40" s="2">
        <f t="shared" si="8"/>
        <v>61.838325797636216</v>
      </c>
      <c r="J40" s="2">
        <f t="shared" si="9"/>
        <v>47.279997794770004</v>
      </c>
      <c r="K40" s="2">
        <f t="shared" si="10"/>
        <v>1.3079172733057238</v>
      </c>
      <c r="L40" s="2">
        <f t="shared" si="11"/>
        <v>56.670890609191574</v>
      </c>
    </row>
    <row r="41" spans="1:12" x14ac:dyDescent="0.25">
      <c r="A41" s="1">
        <v>44876</v>
      </c>
      <c r="B41">
        <v>18272.349999999999</v>
      </c>
      <c r="C41">
        <v>18362.3</v>
      </c>
      <c r="D41">
        <v>18259.349999999999</v>
      </c>
      <c r="E41">
        <v>18349.7</v>
      </c>
      <c r="F41">
        <f t="shared" si="6"/>
        <v>321.5</v>
      </c>
      <c r="G41">
        <f t="shared" si="0"/>
        <v>321.5</v>
      </c>
      <c r="H41">
        <f t="shared" si="7"/>
        <v>0</v>
      </c>
      <c r="I41" s="2">
        <f t="shared" si="8"/>
        <v>80.385588240662202</v>
      </c>
      <c r="J41" s="2">
        <f t="shared" si="9"/>
        <v>43.902855095143579</v>
      </c>
      <c r="K41" s="2">
        <f t="shared" si="10"/>
        <v>1.8309877129051284</v>
      </c>
      <c r="L41" s="2">
        <f t="shared" si="11"/>
        <v>64.676639342464284</v>
      </c>
    </row>
    <row r="42" spans="1:12" x14ac:dyDescent="0.25">
      <c r="A42" s="1">
        <v>44880</v>
      </c>
      <c r="B42">
        <v>18362.75</v>
      </c>
      <c r="C42">
        <v>18427.95</v>
      </c>
      <c r="D42">
        <v>18282</v>
      </c>
      <c r="E42">
        <v>18403.400000000001</v>
      </c>
      <c r="F42">
        <f t="shared" si="6"/>
        <v>53.700000000000728</v>
      </c>
      <c r="G42">
        <f t="shared" si="0"/>
        <v>53.700000000000728</v>
      </c>
      <c r="H42">
        <f t="shared" si="7"/>
        <v>0</v>
      </c>
      <c r="I42" s="2">
        <f t="shared" si="8"/>
        <v>78.479474794900668</v>
      </c>
      <c r="J42" s="2">
        <f t="shared" si="9"/>
        <v>40.766936874061898</v>
      </c>
      <c r="K42" s="2">
        <f t="shared" si="10"/>
        <v>1.9250765647990957</v>
      </c>
      <c r="L42" s="2">
        <f t="shared" si="11"/>
        <v>65.812860694513702</v>
      </c>
    </row>
    <row r="43" spans="1:12" x14ac:dyDescent="0.25">
      <c r="A43" s="1">
        <v>44881</v>
      </c>
      <c r="B43">
        <v>18398.25</v>
      </c>
      <c r="C43">
        <v>18442.150000000001</v>
      </c>
      <c r="D43">
        <v>18344.150000000001</v>
      </c>
      <c r="E43">
        <v>18409.650000000001</v>
      </c>
      <c r="F43">
        <f t="shared" si="6"/>
        <v>6.25</v>
      </c>
      <c r="G43">
        <f t="shared" si="0"/>
        <v>6.25</v>
      </c>
      <c r="H43">
        <f t="shared" si="7"/>
        <v>0</v>
      </c>
      <c r="I43" s="2">
        <f t="shared" si="8"/>
        <v>73.320226595264913</v>
      </c>
      <c r="J43" s="2">
        <f t="shared" si="9"/>
        <v>37.855012811628903</v>
      </c>
      <c r="K43" s="2">
        <f t="shared" si="10"/>
        <v>1.936869681173143</v>
      </c>
      <c r="L43" s="2">
        <f t="shared" si="11"/>
        <v>65.950140504683674</v>
      </c>
    </row>
    <row r="44" spans="1:12" x14ac:dyDescent="0.25">
      <c r="A44" s="1">
        <v>44882</v>
      </c>
      <c r="B44">
        <v>18358.7</v>
      </c>
      <c r="C44">
        <v>18417.599999999999</v>
      </c>
      <c r="D44">
        <v>18312.95</v>
      </c>
      <c r="E44">
        <v>18343.900000000001</v>
      </c>
      <c r="F44">
        <f t="shared" si="6"/>
        <v>-65.75</v>
      </c>
      <c r="G44">
        <f t="shared" si="0"/>
        <v>0</v>
      </c>
      <c r="H44">
        <f t="shared" si="7"/>
        <v>65.75</v>
      </c>
      <c r="I44" s="2">
        <f t="shared" si="8"/>
        <v>68.083067552745987</v>
      </c>
      <c r="J44" s="2">
        <f t="shared" si="9"/>
        <v>39.84751189651255</v>
      </c>
      <c r="K44" s="2">
        <f t="shared" si="10"/>
        <v>1.7085901807260546</v>
      </c>
      <c r="L44" s="2">
        <f t="shared" si="11"/>
        <v>63.080424380334136</v>
      </c>
    </row>
    <row r="45" spans="1:12" x14ac:dyDescent="0.25">
      <c r="A45" s="1">
        <v>44883</v>
      </c>
      <c r="B45">
        <v>18382.95</v>
      </c>
      <c r="C45">
        <v>18394.599999999999</v>
      </c>
      <c r="D45">
        <v>18209.8</v>
      </c>
      <c r="E45">
        <v>18307.650000000001</v>
      </c>
      <c r="F45">
        <f t="shared" si="6"/>
        <v>-36.25</v>
      </c>
      <c r="G45">
        <f t="shared" si="0"/>
        <v>0</v>
      </c>
      <c r="H45">
        <f t="shared" si="7"/>
        <v>36.25</v>
      </c>
      <c r="I45" s="2">
        <f t="shared" si="8"/>
        <v>63.219991298978414</v>
      </c>
      <c r="J45" s="2">
        <f t="shared" si="9"/>
        <v>39.590546761047371</v>
      </c>
      <c r="K45" s="2">
        <f t="shared" si="10"/>
        <v>1.5968456227833596</v>
      </c>
      <c r="L45" s="2">
        <f t="shared" si="11"/>
        <v>61.491742473001658</v>
      </c>
    </row>
    <row r="46" spans="1:12" x14ac:dyDescent="0.25">
      <c r="A46" s="1">
        <v>44886</v>
      </c>
      <c r="B46">
        <v>18246.400000000001</v>
      </c>
      <c r="C46">
        <v>18262.3</v>
      </c>
      <c r="D46">
        <v>18133.349999999999</v>
      </c>
      <c r="E46">
        <v>18159.95</v>
      </c>
      <c r="F46">
        <f t="shared" si="6"/>
        <v>-147.70000000000073</v>
      </c>
      <c r="G46">
        <f t="shared" si="0"/>
        <v>0</v>
      </c>
      <c r="H46">
        <f t="shared" si="7"/>
        <v>147.70000000000073</v>
      </c>
      <c r="I46" s="2">
        <f t="shared" si="8"/>
        <v>58.704277634765667</v>
      </c>
      <c r="J46" s="2">
        <f t="shared" si="9"/>
        <v>47.312650563829756</v>
      </c>
      <c r="K46" s="2">
        <f t="shared" si="10"/>
        <v>1.2407733858741945</v>
      </c>
      <c r="L46" s="2">
        <f t="shared" si="11"/>
        <v>55.372550999401078</v>
      </c>
    </row>
    <row r="47" spans="1:12" x14ac:dyDescent="0.25">
      <c r="A47" s="1">
        <v>44887</v>
      </c>
      <c r="B47">
        <v>18179.150000000001</v>
      </c>
      <c r="C47">
        <v>18261.849999999999</v>
      </c>
      <c r="D47">
        <v>18137.7</v>
      </c>
      <c r="E47">
        <v>18244.2</v>
      </c>
      <c r="F47">
        <f t="shared" si="6"/>
        <v>84.25</v>
      </c>
      <c r="G47">
        <f t="shared" si="0"/>
        <v>84.25</v>
      </c>
      <c r="H47">
        <f t="shared" si="7"/>
        <v>0</v>
      </c>
      <c r="I47" s="2">
        <f t="shared" si="8"/>
        <v>60.528972089425267</v>
      </c>
      <c r="J47" s="2">
        <f t="shared" si="9"/>
        <v>43.933175523556201</v>
      </c>
      <c r="K47" s="2">
        <f t="shared" si="10"/>
        <v>1.3777508993623893</v>
      </c>
      <c r="L47" s="2">
        <f t="shared" si="11"/>
        <v>57.943449826129509</v>
      </c>
    </row>
    <row r="48" spans="1:12" x14ac:dyDescent="0.25">
      <c r="A48" s="1">
        <v>44888</v>
      </c>
      <c r="B48">
        <v>18325.2</v>
      </c>
      <c r="C48">
        <v>18325.400000000001</v>
      </c>
      <c r="D48">
        <v>18246</v>
      </c>
      <c r="E48">
        <v>18267.25</v>
      </c>
      <c r="F48">
        <f t="shared" si="6"/>
        <v>23.049999999999272</v>
      </c>
      <c r="G48">
        <f t="shared" si="0"/>
        <v>23.049999999999272</v>
      </c>
      <c r="H48">
        <f t="shared" si="7"/>
        <v>0</v>
      </c>
      <c r="I48" s="2">
        <f t="shared" si="8"/>
        <v>57.851902654466265</v>
      </c>
      <c r="J48" s="2">
        <f t="shared" si="9"/>
        <v>40.795091557587902</v>
      </c>
      <c r="K48" s="2">
        <f t="shared" si="10"/>
        <v>1.4181093961463556</v>
      </c>
      <c r="L48" s="2">
        <f t="shared" si="11"/>
        <v>58.6453780133496</v>
      </c>
    </row>
    <row r="49" spans="1:12" x14ac:dyDescent="0.25">
      <c r="A49" s="1">
        <v>44889</v>
      </c>
      <c r="B49">
        <v>18326.099999999999</v>
      </c>
      <c r="C49">
        <v>18529.7</v>
      </c>
      <c r="D49">
        <v>18294.25</v>
      </c>
      <c r="E49">
        <v>18484.099999999999</v>
      </c>
      <c r="F49">
        <f t="shared" si="6"/>
        <v>216.84999999999854</v>
      </c>
      <c r="G49">
        <f t="shared" si="0"/>
        <v>216.84999999999854</v>
      </c>
      <c r="H49">
        <f t="shared" si="7"/>
        <v>0</v>
      </c>
      <c r="I49" s="2">
        <f t="shared" si="8"/>
        <v>69.208909607718567</v>
      </c>
      <c r="J49" s="2">
        <f t="shared" si="9"/>
        <v>37.881156446331623</v>
      </c>
      <c r="K49" s="2">
        <f t="shared" si="10"/>
        <v>1.8270009709384334</v>
      </c>
      <c r="L49" s="2">
        <f t="shared" si="11"/>
        <v>64.626825024823177</v>
      </c>
    </row>
    <row r="50" spans="1:12" x14ac:dyDescent="0.25">
      <c r="A50" s="1">
        <v>44890</v>
      </c>
      <c r="B50">
        <v>18528.45</v>
      </c>
      <c r="C50">
        <v>18534.900000000001</v>
      </c>
      <c r="D50">
        <v>18445.099999999999</v>
      </c>
      <c r="E50">
        <v>18512.75</v>
      </c>
      <c r="F50">
        <f t="shared" si="6"/>
        <v>28.650000000001455</v>
      </c>
      <c r="G50">
        <f t="shared" si="0"/>
        <v>28.650000000001455</v>
      </c>
      <c r="H50">
        <f t="shared" si="7"/>
        <v>0</v>
      </c>
      <c r="I50" s="2">
        <f t="shared" si="8"/>
        <v>66.31184463573878</v>
      </c>
      <c r="J50" s="2">
        <f t="shared" si="9"/>
        <v>35.175359557307935</v>
      </c>
      <c r="K50" s="2">
        <f t="shared" si="10"/>
        <v>1.8851788715251956</v>
      </c>
      <c r="L50" s="2">
        <f t="shared" si="11"/>
        <v>65.340103871224841</v>
      </c>
    </row>
    <row r="51" spans="1:12" x14ac:dyDescent="0.25">
      <c r="A51" s="1">
        <v>44893</v>
      </c>
      <c r="B51">
        <v>18430.55</v>
      </c>
      <c r="C51">
        <v>18614.25</v>
      </c>
      <c r="D51">
        <v>18365.599999999999</v>
      </c>
      <c r="E51">
        <v>18562.75</v>
      </c>
      <c r="F51">
        <f t="shared" si="6"/>
        <v>50</v>
      </c>
      <c r="G51">
        <f t="shared" si="0"/>
        <v>50</v>
      </c>
      <c r="H51">
        <f t="shared" si="7"/>
        <v>0</v>
      </c>
      <c r="I51" s="2">
        <f t="shared" si="8"/>
        <v>65.146712876043154</v>
      </c>
      <c r="J51" s="2">
        <f t="shared" si="9"/>
        <v>32.662833874643084</v>
      </c>
      <c r="K51" s="2">
        <f t="shared" si="10"/>
        <v>1.9945211467587343</v>
      </c>
      <c r="L51" s="2">
        <f t="shared" si="11"/>
        <v>66.605679138970231</v>
      </c>
    </row>
    <row r="52" spans="1:12" x14ac:dyDescent="0.25">
      <c r="A52" s="1">
        <v>44894</v>
      </c>
      <c r="B52">
        <v>18552.45</v>
      </c>
      <c r="C52">
        <v>18678.099999999999</v>
      </c>
      <c r="D52">
        <v>18552.150000000001</v>
      </c>
      <c r="E52">
        <v>18618.05</v>
      </c>
      <c r="F52">
        <f t="shared" si="6"/>
        <v>55.299999999999272</v>
      </c>
      <c r="G52">
        <f t="shared" si="0"/>
        <v>55.299999999999272</v>
      </c>
      <c r="H52">
        <f t="shared" si="7"/>
        <v>0</v>
      </c>
      <c r="I52" s="2">
        <f t="shared" si="8"/>
        <v>64.443376242040017</v>
      </c>
      <c r="J52" s="2">
        <f t="shared" si="9"/>
        <v>30.329774312168578</v>
      </c>
      <c r="K52" s="2">
        <f t="shared" si="10"/>
        <v>2.1247562075061257</v>
      </c>
      <c r="L52" s="2">
        <f t="shared" si="11"/>
        <v>67.997503370091636</v>
      </c>
    </row>
    <row r="53" spans="1:12" x14ac:dyDescent="0.25">
      <c r="A53" s="1">
        <v>44895</v>
      </c>
      <c r="B53">
        <v>18625.7</v>
      </c>
      <c r="C53">
        <v>18816.05</v>
      </c>
      <c r="D53">
        <v>18616.55</v>
      </c>
      <c r="E53">
        <v>18758.349999999999</v>
      </c>
      <c r="F53">
        <f t="shared" si="6"/>
        <v>140.29999999999927</v>
      </c>
      <c r="G53">
        <f t="shared" si="0"/>
        <v>140.29999999999927</v>
      </c>
      <c r="H53">
        <f t="shared" si="7"/>
        <v>0</v>
      </c>
      <c r="I53" s="2">
        <f t="shared" si="8"/>
        <v>69.86170651046568</v>
      </c>
      <c r="J53" s="2">
        <f t="shared" si="9"/>
        <v>28.163361861299393</v>
      </c>
      <c r="K53" s="2">
        <f t="shared" si="10"/>
        <v>2.4805883209016306</v>
      </c>
      <c r="L53" s="2">
        <f t="shared" si="11"/>
        <v>71.269224975708866</v>
      </c>
    </row>
    <row r="54" spans="1:12" x14ac:dyDescent="0.25">
      <c r="A54" s="1">
        <v>44896</v>
      </c>
      <c r="B54">
        <v>18871.95</v>
      </c>
      <c r="C54">
        <v>18887.599999999999</v>
      </c>
      <c r="D54">
        <v>18778.2</v>
      </c>
      <c r="E54">
        <v>18812.5</v>
      </c>
      <c r="F54">
        <f t="shared" si="6"/>
        <v>54.150000000001455</v>
      </c>
      <c r="G54">
        <f t="shared" si="0"/>
        <v>54.150000000001455</v>
      </c>
      <c r="H54">
        <f t="shared" si="7"/>
        <v>0</v>
      </c>
      <c r="I54" s="2">
        <f t="shared" si="8"/>
        <v>68.739441759718233</v>
      </c>
      <c r="J54" s="2">
        <f t="shared" si="9"/>
        <v>26.151693156920864</v>
      </c>
      <c r="K54" s="2">
        <f t="shared" si="10"/>
        <v>2.6284891516298177</v>
      </c>
      <c r="L54" s="2">
        <f t="shared" si="11"/>
        <v>72.440319973098795</v>
      </c>
    </row>
    <row r="55" spans="1:12" x14ac:dyDescent="0.25">
      <c r="A55" s="1">
        <v>44897</v>
      </c>
      <c r="B55">
        <v>18752.400000000001</v>
      </c>
      <c r="C55">
        <v>18781.95</v>
      </c>
      <c r="D55">
        <v>18639.2</v>
      </c>
      <c r="E55">
        <v>18696.099999999999</v>
      </c>
      <c r="F55">
        <f t="shared" si="6"/>
        <v>-116.40000000000146</v>
      </c>
      <c r="G55">
        <f t="shared" si="0"/>
        <v>0</v>
      </c>
      <c r="H55">
        <f t="shared" si="7"/>
        <v>116.40000000000146</v>
      </c>
      <c r="I55" s="2">
        <f t="shared" si="8"/>
        <v>63.829481634024077</v>
      </c>
      <c r="J55" s="2">
        <f t="shared" si="9"/>
        <v>32.598000788569479</v>
      </c>
      <c r="K55" s="2">
        <f t="shared" si="10"/>
        <v>1.9580796395466666</v>
      </c>
      <c r="L55" s="2">
        <f t="shared" si="11"/>
        <v>66.194284067576604</v>
      </c>
    </row>
    <row r="56" spans="1:12" x14ac:dyDescent="0.25">
      <c r="A56" s="1">
        <v>44900</v>
      </c>
      <c r="B56">
        <v>18719.55</v>
      </c>
      <c r="C56">
        <v>18728.599999999999</v>
      </c>
      <c r="D56">
        <v>18591.349999999999</v>
      </c>
      <c r="E56">
        <v>18701.05</v>
      </c>
      <c r="F56">
        <f t="shared" si="6"/>
        <v>4.9500000000007276</v>
      </c>
      <c r="G56">
        <f t="shared" si="0"/>
        <v>4.9500000000007276</v>
      </c>
      <c r="H56">
        <f t="shared" si="7"/>
        <v>0</v>
      </c>
      <c r="I56" s="2">
        <f t="shared" si="8"/>
        <v>59.623804374450977</v>
      </c>
      <c r="J56" s="2">
        <f t="shared" si="9"/>
        <v>30.269572160814516</v>
      </c>
      <c r="K56" s="2">
        <f t="shared" si="10"/>
        <v>1.9697603936284567</v>
      </c>
      <c r="L56" s="2">
        <f t="shared" si="11"/>
        <v>66.327249762456461</v>
      </c>
    </row>
    <row r="57" spans="1:12" x14ac:dyDescent="0.25">
      <c r="A57" s="1">
        <v>44901</v>
      </c>
      <c r="B57">
        <v>18600.650000000001</v>
      </c>
      <c r="C57">
        <v>18654.900000000001</v>
      </c>
      <c r="D57">
        <v>18577.900000000001</v>
      </c>
      <c r="E57">
        <v>18642.75</v>
      </c>
      <c r="F57">
        <f t="shared" si="6"/>
        <v>-58.299999999999272</v>
      </c>
      <c r="G57">
        <f t="shared" si="0"/>
        <v>0</v>
      </c>
      <c r="H57">
        <f t="shared" si="7"/>
        <v>58.299999999999272</v>
      </c>
      <c r="I57" s="2">
        <f t="shared" si="8"/>
        <v>55.36496120484734</v>
      </c>
      <c r="J57" s="2">
        <f t="shared" si="9"/>
        <v>32.271745577899139</v>
      </c>
      <c r="K57" s="2">
        <f t="shared" si="10"/>
        <v>1.7155861950883522</v>
      </c>
      <c r="L57" s="2">
        <f t="shared" si="11"/>
        <v>63.175538238900764</v>
      </c>
    </row>
    <row r="58" spans="1:12" x14ac:dyDescent="0.25">
      <c r="A58" s="1">
        <v>44902</v>
      </c>
      <c r="B58">
        <v>18638.849999999999</v>
      </c>
      <c r="C58">
        <v>18668.3</v>
      </c>
      <c r="D58">
        <v>18528.400000000001</v>
      </c>
      <c r="E58">
        <v>18560.5</v>
      </c>
      <c r="F58">
        <f t="shared" si="6"/>
        <v>-82.25</v>
      </c>
      <c r="G58">
        <f t="shared" si="0"/>
        <v>0</v>
      </c>
      <c r="H58">
        <f t="shared" si="7"/>
        <v>82.25</v>
      </c>
      <c r="I58" s="2">
        <f t="shared" si="8"/>
        <v>51.410321118786818</v>
      </c>
      <c r="J58" s="2">
        <f t="shared" si="9"/>
        <v>35.841620893763483</v>
      </c>
      <c r="K58" s="2">
        <f t="shared" si="10"/>
        <v>1.4343748925633082</v>
      </c>
      <c r="L58" s="2">
        <f t="shared" si="11"/>
        <v>58.921692667186669</v>
      </c>
    </row>
    <row r="59" spans="1:12" x14ac:dyDescent="0.25">
      <c r="A59" s="1">
        <v>44903</v>
      </c>
      <c r="B59">
        <v>18570.849999999999</v>
      </c>
      <c r="C59">
        <v>18625</v>
      </c>
      <c r="D59">
        <v>18536.95</v>
      </c>
      <c r="E59">
        <v>18609.349999999999</v>
      </c>
      <c r="F59">
        <f t="shared" si="6"/>
        <v>48.849999999998545</v>
      </c>
      <c r="G59">
        <f t="shared" si="0"/>
        <v>48.849999999998545</v>
      </c>
      <c r="H59">
        <f t="shared" si="7"/>
        <v>0</v>
      </c>
      <c r="I59" s="2">
        <f t="shared" si="8"/>
        <v>51.227441038873373</v>
      </c>
      <c r="J59" s="2">
        <f t="shared" si="9"/>
        <v>33.281505115637522</v>
      </c>
      <c r="K59" s="2">
        <f t="shared" si="10"/>
        <v>1.5392164765650529</v>
      </c>
      <c r="L59" s="2">
        <f t="shared" si="11"/>
        <v>60.617772874853166</v>
      </c>
    </row>
    <row r="60" spans="1:12" x14ac:dyDescent="0.25">
      <c r="A60" s="1">
        <v>44904</v>
      </c>
      <c r="B60">
        <v>18662.400000000001</v>
      </c>
      <c r="C60">
        <v>18664.7</v>
      </c>
      <c r="D60">
        <v>18410.099999999999</v>
      </c>
      <c r="E60">
        <v>18496.599999999999</v>
      </c>
      <c r="F60">
        <f t="shared" si="6"/>
        <v>-112.75</v>
      </c>
      <c r="G60">
        <f t="shared" si="0"/>
        <v>0</v>
      </c>
      <c r="H60">
        <f t="shared" si="7"/>
        <v>112.75</v>
      </c>
      <c r="I60" s="2">
        <f t="shared" si="8"/>
        <v>47.568338107525278</v>
      </c>
      <c r="J60" s="2">
        <f t="shared" si="9"/>
        <v>38.957826178806272</v>
      </c>
      <c r="K60" s="2">
        <f t="shared" si="10"/>
        <v>1.2210213652373467</v>
      </c>
      <c r="L60" s="2">
        <f t="shared" si="11"/>
        <v>54.9756694982024</v>
      </c>
    </row>
    <row r="61" spans="1:12" x14ac:dyDescent="0.25">
      <c r="A61" s="1">
        <v>44907</v>
      </c>
      <c r="B61">
        <v>18402.150000000001</v>
      </c>
      <c r="C61">
        <v>18521.55</v>
      </c>
      <c r="D61">
        <v>18345.7</v>
      </c>
      <c r="E61">
        <v>18497.150000000001</v>
      </c>
      <c r="F61">
        <f t="shared" si="6"/>
        <v>0.55000000000291038</v>
      </c>
      <c r="G61">
        <f t="shared" si="0"/>
        <v>0.55000000000291038</v>
      </c>
      <c r="H61">
        <f t="shared" si="7"/>
        <v>0</v>
      </c>
      <c r="I61" s="2">
        <f t="shared" si="8"/>
        <v>44.209885385559396</v>
      </c>
      <c r="J61" s="2">
        <f t="shared" si="9"/>
        <v>36.17512430889154</v>
      </c>
      <c r="K61" s="2">
        <f t="shared" si="10"/>
        <v>1.2221073522252688</v>
      </c>
      <c r="L61" s="2">
        <f t="shared" si="11"/>
        <v>54.997673762314982</v>
      </c>
    </row>
    <row r="62" spans="1:12" x14ac:dyDescent="0.25">
      <c r="A62" s="1">
        <v>44908</v>
      </c>
      <c r="B62">
        <v>18524.400000000001</v>
      </c>
      <c r="C62">
        <v>18617.25</v>
      </c>
      <c r="D62">
        <v>18490.2</v>
      </c>
      <c r="E62">
        <v>18608</v>
      </c>
      <c r="F62">
        <f t="shared" si="6"/>
        <v>110.84999999999854</v>
      </c>
      <c r="G62">
        <f t="shared" si="0"/>
        <v>110.84999999999854</v>
      </c>
      <c r="H62">
        <f t="shared" si="7"/>
        <v>0</v>
      </c>
      <c r="I62" s="2">
        <f t="shared" si="8"/>
        <v>48.969893572305054</v>
      </c>
      <c r="J62" s="2">
        <f t="shared" si="9"/>
        <v>33.591186858256428</v>
      </c>
      <c r="K62" s="2">
        <f t="shared" si="10"/>
        <v>1.4578196888053294</v>
      </c>
      <c r="L62" s="2">
        <f t="shared" si="11"/>
        <v>59.313532861880958</v>
      </c>
    </row>
    <row r="63" spans="1:12" x14ac:dyDescent="0.25">
      <c r="A63" s="1">
        <v>44909</v>
      </c>
      <c r="B63">
        <v>18671.25</v>
      </c>
      <c r="C63">
        <v>18696.099999999999</v>
      </c>
      <c r="D63">
        <v>18632.900000000001</v>
      </c>
      <c r="E63">
        <v>18660.3</v>
      </c>
      <c r="F63">
        <f t="shared" si="6"/>
        <v>52.299999999999272</v>
      </c>
      <c r="G63">
        <f t="shared" si="0"/>
        <v>52.299999999999272</v>
      </c>
      <c r="H63">
        <f t="shared" si="7"/>
        <v>0</v>
      </c>
      <c r="I63" s="2">
        <f t="shared" si="8"/>
        <v>49.207758317140353</v>
      </c>
      <c r="J63" s="2">
        <f t="shared" si="9"/>
        <v>31.191816368380966</v>
      </c>
      <c r="K63" s="2">
        <f t="shared" si="10"/>
        <v>1.5775855351284411</v>
      </c>
      <c r="L63" s="2">
        <f t="shared" si="11"/>
        <v>61.204003266949975</v>
      </c>
    </row>
    <row r="64" spans="1:12" x14ac:dyDescent="0.25">
      <c r="A64" s="1">
        <v>44910</v>
      </c>
      <c r="B64">
        <v>18614.400000000001</v>
      </c>
      <c r="C64">
        <v>18652.900000000001</v>
      </c>
      <c r="D64">
        <v>18387.7</v>
      </c>
      <c r="E64">
        <v>18414.900000000001</v>
      </c>
      <c r="F64">
        <f t="shared" si="6"/>
        <v>-245.39999999999782</v>
      </c>
      <c r="G64">
        <f t="shared" si="0"/>
        <v>0</v>
      </c>
      <c r="H64">
        <f t="shared" si="7"/>
        <v>245.39999999999782</v>
      </c>
      <c r="I64" s="2">
        <f t="shared" si="8"/>
        <v>45.692918437344609</v>
      </c>
      <c r="J64" s="2">
        <f t="shared" si="9"/>
        <v>46.492400913496454</v>
      </c>
      <c r="K64" s="2">
        <f t="shared" si="10"/>
        <v>0.982804018281625</v>
      </c>
      <c r="L64" s="2">
        <f t="shared" si="11"/>
        <v>49.566372128565739</v>
      </c>
    </row>
    <row r="65" spans="1:12" x14ac:dyDescent="0.25">
      <c r="A65" s="1">
        <v>44911</v>
      </c>
      <c r="B65">
        <v>18319.099999999999</v>
      </c>
      <c r="C65">
        <v>18440.95</v>
      </c>
      <c r="D65">
        <v>18255.150000000001</v>
      </c>
      <c r="E65">
        <v>18269</v>
      </c>
      <c r="F65">
        <f t="shared" si="6"/>
        <v>-145.90000000000146</v>
      </c>
      <c r="G65">
        <f t="shared" si="0"/>
        <v>0</v>
      </c>
      <c r="H65">
        <f t="shared" si="7"/>
        <v>145.90000000000146</v>
      </c>
      <c r="I65" s="2">
        <f t="shared" si="8"/>
        <v>42.429138548962847</v>
      </c>
      <c r="J65" s="2">
        <f t="shared" si="9"/>
        <v>53.592943705389665</v>
      </c>
      <c r="K65" s="2">
        <f t="shared" si="10"/>
        <v>0.79169262995150402</v>
      </c>
      <c r="L65" s="2">
        <f t="shared" si="11"/>
        <v>44.186855307482787</v>
      </c>
    </row>
    <row r="66" spans="1:12" x14ac:dyDescent="0.25">
      <c r="A66" s="1">
        <v>44914</v>
      </c>
      <c r="B66">
        <v>18288.099999999999</v>
      </c>
      <c r="C66">
        <v>18431.650000000001</v>
      </c>
      <c r="D66">
        <v>18244.55</v>
      </c>
      <c r="E66">
        <v>18420.45</v>
      </c>
      <c r="F66">
        <f t="shared" si="6"/>
        <v>151.45000000000073</v>
      </c>
      <c r="G66">
        <f t="shared" si="0"/>
        <v>151.45000000000073</v>
      </c>
      <c r="H66">
        <f t="shared" si="7"/>
        <v>0</v>
      </c>
      <c r="I66" s="2">
        <f t="shared" si="8"/>
        <v>50.21634293832269</v>
      </c>
      <c r="J66" s="2">
        <f t="shared" si="9"/>
        <v>49.764876297861825</v>
      </c>
      <c r="K66" s="2">
        <f t="shared" si="10"/>
        <v>1.0090719936237491</v>
      </c>
      <c r="L66" s="2">
        <f t="shared" si="11"/>
        <v>50.225775722635653</v>
      </c>
    </row>
    <row r="67" spans="1:12" x14ac:dyDescent="0.25">
      <c r="A67" s="1">
        <v>44915</v>
      </c>
      <c r="B67">
        <v>18340.3</v>
      </c>
      <c r="C67">
        <v>18404.900000000001</v>
      </c>
      <c r="D67">
        <v>18202.650000000001</v>
      </c>
      <c r="E67">
        <v>18385.3</v>
      </c>
      <c r="F67">
        <f t="shared" si="6"/>
        <v>-35.150000000001455</v>
      </c>
      <c r="G67">
        <f t="shared" ref="G67:G130" si="12">IF(F67&gt;0,F67,0)</f>
        <v>0</v>
      </c>
      <c r="H67">
        <f t="shared" si="7"/>
        <v>35.150000000001455</v>
      </c>
      <c r="I67" s="2">
        <f t="shared" si="8"/>
        <v>46.629461299871068</v>
      </c>
      <c r="J67" s="2">
        <f t="shared" si="9"/>
        <v>48.720956562300373</v>
      </c>
      <c r="K67" s="2">
        <f t="shared" si="10"/>
        <v>0.95707195814690393</v>
      </c>
      <c r="L67" s="2">
        <f t="shared" si="11"/>
        <v>48.90325847053311</v>
      </c>
    </row>
    <row r="68" spans="1:12" x14ac:dyDescent="0.25">
      <c r="A68" s="1">
        <v>44916</v>
      </c>
      <c r="B68">
        <v>18435.150000000001</v>
      </c>
      <c r="C68">
        <v>18473.349999999999</v>
      </c>
      <c r="D68">
        <v>18162.75</v>
      </c>
      <c r="E68">
        <v>18199.099999999999</v>
      </c>
      <c r="F68">
        <f t="shared" si="6"/>
        <v>-186.20000000000073</v>
      </c>
      <c r="G68">
        <f t="shared" si="12"/>
        <v>0</v>
      </c>
      <c r="H68">
        <f t="shared" si="7"/>
        <v>186.20000000000073</v>
      </c>
      <c r="I68" s="2">
        <f t="shared" si="8"/>
        <v>43.298785492737416</v>
      </c>
      <c r="J68" s="2">
        <f t="shared" si="9"/>
        <v>58.540888236421829</v>
      </c>
      <c r="K68" s="2">
        <f t="shared" si="10"/>
        <v>0.73963321700675222</v>
      </c>
      <c r="L68" s="2">
        <f t="shared" si="11"/>
        <v>42.516618432900465</v>
      </c>
    </row>
    <row r="69" spans="1:12" x14ac:dyDescent="0.25">
      <c r="A69" s="1">
        <v>44917</v>
      </c>
      <c r="B69">
        <v>18288.8</v>
      </c>
      <c r="C69">
        <v>18318.75</v>
      </c>
      <c r="D69">
        <v>18068.599999999999</v>
      </c>
      <c r="E69">
        <v>18127.349999999999</v>
      </c>
      <c r="F69">
        <f t="shared" si="6"/>
        <v>-71.75</v>
      </c>
      <c r="G69">
        <f t="shared" si="12"/>
        <v>0</v>
      </c>
      <c r="H69">
        <f t="shared" si="7"/>
        <v>71.75</v>
      </c>
      <c r="I69" s="2">
        <f t="shared" si="8"/>
        <v>40.206015100399028</v>
      </c>
      <c r="J69" s="2">
        <f t="shared" si="9"/>
        <v>59.48439621953456</v>
      </c>
      <c r="K69" s="2">
        <f t="shared" si="10"/>
        <v>0.6759086021822216</v>
      </c>
      <c r="L69" s="2">
        <f t="shared" si="11"/>
        <v>40.330874923734655</v>
      </c>
    </row>
    <row r="70" spans="1:12" x14ac:dyDescent="0.25">
      <c r="A70" s="1">
        <v>44918</v>
      </c>
      <c r="B70">
        <v>17977.650000000001</v>
      </c>
      <c r="C70">
        <v>18050.45</v>
      </c>
      <c r="D70">
        <v>17779.5</v>
      </c>
      <c r="E70">
        <v>17806.8</v>
      </c>
      <c r="F70">
        <f t="shared" si="6"/>
        <v>-320.54999999999927</v>
      </c>
      <c r="G70">
        <f t="shared" si="12"/>
        <v>0</v>
      </c>
      <c r="H70">
        <f t="shared" si="7"/>
        <v>320.54999999999927</v>
      </c>
      <c r="I70" s="2">
        <f t="shared" si="8"/>
        <v>37.334156878941954</v>
      </c>
      <c r="J70" s="2">
        <f t="shared" si="9"/>
        <v>78.13193934671061</v>
      </c>
      <c r="K70" s="2">
        <f t="shared" si="10"/>
        <v>0.47783476502831412</v>
      </c>
      <c r="L70" s="2">
        <f t="shared" si="11"/>
        <v>32.333436479900328</v>
      </c>
    </row>
    <row r="71" spans="1:12" x14ac:dyDescent="0.25">
      <c r="A71" s="1">
        <v>44921</v>
      </c>
      <c r="B71">
        <v>17830.400000000001</v>
      </c>
      <c r="C71">
        <v>18084.099999999999</v>
      </c>
      <c r="D71">
        <v>17774.25</v>
      </c>
      <c r="E71">
        <v>18014.599999999999</v>
      </c>
      <c r="F71">
        <f t="shared" si="6"/>
        <v>207.79999999999927</v>
      </c>
      <c r="G71">
        <f t="shared" si="12"/>
        <v>207.79999999999927</v>
      </c>
      <c r="H71">
        <f t="shared" si="7"/>
        <v>0</v>
      </c>
      <c r="I71" s="2">
        <f t="shared" si="8"/>
        <v>49.510288530446054</v>
      </c>
      <c r="J71" s="2">
        <f t="shared" si="9"/>
        <v>72.551086536231281</v>
      </c>
      <c r="K71" s="2">
        <f t="shared" si="10"/>
        <v>0.68241966997587433</v>
      </c>
      <c r="L71" s="2">
        <f t="shared" si="11"/>
        <v>40.561798114596463</v>
      </c>
    </row>
    <row r="72" spans="1:12" x14ac:dyDescent="0.25">
      <c r="A72" s="1">
        <v>44922</v>
      </c>
      <c r="B72">
        <v>18089.8</v>
      </c>
      <c r="C72">
        <v>18149.25</v>
      </c>
      <c r="D72">
        <v>17967.45</v>
      </c>
      <c r="E72">
        <v>18132.3</v>
      </c>
      <c r="F72">
        <f t="shared" si="6"/>
        <v>117.70000000000073</v>
      </c>
      <c r="G72">
        <f t="shared" si="12"/>
        <v>117.70000000000073</v>
      </c>
      <c r="H72">
        <f t="shared" si="7"/>
        <v>0</v>
      </c>
      <c r="I72" s="2">
        <f t="shared" si="8"/>
        <v>54.380982206842816</v>
      </c>
      <c r="J72" s="2">
        <f t="shared" si="9"/>
        <v>67.368866069357622</v>
      </c>
      <c r="K72" s="2">
        <f t="shared" si="10"/>
        <v>0.80721237241631005</v>
      </c>
      <c r="L72" s="2">
        <f t="shared" si="11"/>
        <v>44.666160144589824</v>
      </c>
    </row>
    <row r="73" spans="1:12" x14ac:dyDescent="0.25">
      <c r="A73" s="1">
        <v>44923</v>
      </c>
      <c r="B73">
        <v>18084.75</v>
      </c>
      <c r="C73">
        <v>18173.099999999999</v>
      </c>
      <c r="D73">
        <v>18068.349999999999</v>
      </c>
      <c r="E73">
        <v>18122.5</v>
      </c>
      <c r="F73">
        <f t="shared" si="6"/>
        <v>-9.7999999999992724</v>
      </c>
      <c r="G73">
        <f t="shared" si="12"/>
        <v>0</v>
      </c>
      <c r="H73">
        <f t="shared" si="7"/>
        <v>9.7999999999992724</v>
      </c>
      <c r="I73" s="2">
        <f t="shared" si="8"/>
        <v>50.496626334925473</v>
      </c>
      <c r="J73" s="2">
        <f t="shared" si="9"/>
        <v>63.256804207260593</v>
      </c>
      <c r="K73" s="2">
        <f t="shared" si="10"/>
        <v>0.79827975769173443</v>
      </c>
      <c r="L73" s="2">
        <f t="shared" si="11"/>
        <v>44.391299756184964</v>
      </c>
    </row>
    <row r="74" spans="1:12" x14ac:dyDescent="0.25">
      <c r="A74" s="1">
        <v>44924</v>
      </c>
      <c r="B74">
        <v>18045.7</v>
      </c>
      <c r="C74">
        <v>18229.7</v>
      </c>
      <c r="D74">
        <v>17992.8</v>
      </c>
      <c r="E74">
        <v>18191</v>
      </c>
      <c r="F74">
        <f t="shared" si="6"/>
        <v>68.5</v>
      </c>
      <c r="G74">
        <f t="shared" si="12"/>
        <v>68.5</v>
      </c>
      <c r="H74">
        <f t="shared" si="7"/>
        <v>0</v>
      </c>
      <c r="I74" s="2">
        <f t="shared" si="8"/>
        <v>51.782581596716511</v>
      </c>
      <c r="J74" s="2">
        <f t="shared" si="9"/>
        <v>58.738461049599117</v>
      </c>
      <c r="K74" s="2">
        <f t="shared" si="10"/>
        <v>0.88157879303291553</v>
      </c>
      <c r="L74" s="2">
        <f t="shared" si="11"/>
        <v>46.853142493804327</v>
      </c>
    </row>
    <row r="75" spans="1:12" x14ac:dyDescent="0.25">
      <c r="A75" s="1">
        <v>44925</v>
      </c>
      <c r="B75">
        <v>18259.099999999999</v>
      </c>
      <c r="C75">
        <v>18265.25</v>
      </c>
      <c r="D75">
        <v>18080.3</v>
      </c>
      <c r="E75">
        <v>18105.3</v>
      </c>
      <c r="F75">
        <f t="shared" si="6"/>
        <v>-85.700000000000728</v>
      </c>
      <c r="G75">
        <f t="shared" si="12"/>
        <v>0</v>
      </c>
      <c r="H75">
        <f t="shared" si="7"/>
        <v>85.700000000000728</v>
      </c>
      <c r="I75" s="2">
        <f t="shared" si="8"/>
        <v>48.083825768379612</v>
      </c>
      <c r="J75" s="2">
        <f t="shared" si="9"/>
        <v>60.664285260342083</v>
      </c>
      <c r="K75" s="2">
        <f t="shared" si="10"/>
        <v>0.79262164817448755</v>
      </c>
      <c r="L75" s="2">
        <f t="shared" si="11"/>
        <v>44.21578022231585</v>
      </c>
    </row>
    <row r="76" spans="1:12" x14ac:dyDescent="0.25">
      <c r="A76" s="1">
        <v>44928</v>
      </c>
      <c r="B76">
        <v>18131.7</v>
      </c>
      <c r="C76">
        <v>18215.150000000001</v>
      </c>
      <c r="D76">
        <v>18086.5</v>
      </c>
      <c r="E76">
        <v>18197.45</v>
      </c>
      <c r="F76">
        <f t="shared" si="6"/>
        <v>92.150000000001455</v>
      </c>
      <c r="G76">
        <f t="shared" si="12"/>
        <v>92.150000000001455</v>
      </c>
      <c r="H76">
        <f t="shared" si="7"/>
        <v>0</v>
      </c>
      <c r="I76" s="2">
        <f t="shared" si="8"/>
        <v>51.231409642066886</v>
      </c>
      <c r="J76" s="2">
        <f t="shared" si="9"/>
        <v>56.331122027460502</v>
      </c>
      <c r="K76" s="2">
        <f t="shared" si="10"/>
        <v>0.90946900750694104</v>
      </c>
      <c r="L76" s="2">
        <f t="shared" si="11"/>
        <v>47.629419693717388</v>
      </c>
    </row>
    <row r="77" spans="1:12" x14ac:dyDescent="0.25">
      <c r="A77" s="1">
        <v>44929</v>
      </c>
      <c r="B77">
        <v>18163.2</v>
      </c>
      <c r="C77">
        <v>18251.95</v>
      </c>
      <c r="D77">
        <v>18149.8</v>
      </c>
      <c r="E77">
        <v>18232.55</v>
      </c>
      <c r="F77">
        <f t="shared" si="6"/>
        <v>35.099999999998545</v>
      </c>
      <c r="G77">
        <f t="shared" si="12"/>
        <v>35.099999999998545</v>
      </c>
      <c r="H77">
        <f t="shared" si="7"/>
        <v>0</v>
      </c>
      <c r="I77" s="2">
        <f t="shared" si="8"/>
        <v>50.079166096204858</v>
      </c>
      <c r="J77" s="2">
        <f t="shared" si="9"/>
        <v>52.307470454070469</v>
      </c>
      <c r="K77" s="2">
        <f t="shared" si="10"/>
        <v>0.95739988306599122</v>
      </c>
      <c r="L77" s="2">
        <f t="shared" si="11"/>
        <v>48.911818752454359</v>
      </c>
    </row>
    <row r="78" spans="1:12" x14ac:dyDescent="0.25">
      <c r="A78" s="1">
        <v>44930</v>
      </c>
      <c r="B78">
        <v>18230.650000000001</v>
      </c>
      <c r="C78">
        <v>18243</v>
      </c>
      <c r="D78">
        <v>18020.599999999999</v>
      </c>
      <c r="E78">
        <v>18042.95</v>
      </c>
      <c r="F78">
        <f t="shared" si="6"/>
        <v>-189.59999999999854</v>
      </c>
      <c r="G78">
        <f t="shared" si="12"/>
        <v>0</v>
      </c>
      <c r="H78">
        <f t="shared" si="7"/>
        <v>189.59999999999854</v>
      </c>
      <c r="I78" s="2">
        <f t="shared" si="8"/>
        <v>46.502082803618798</v>
      </c>
      <c r="J78" s="2">
        <f t="shared" si="9"/>
        <v>62.114079707351046</v>
      </c>
      <c r="K78" s="2">
        <f t="shared" si="10"/>
        <v>0.74865606997177148</v>
      </c>
      <c r="L78" s="2">
        <f t="shared" si="11"/>
        <v>42.813225701029765</v>
      </c>
    </row>
    <row r="79" spans="1:12" x14ac:dyDescent="0.25">
      <c r="A79" s="1">
        <v>44931</v>
      </c>
      <c r="B79">
        <v>18101.95</v>
      </c>
      <c r="C79">
        <v>18120.3</v>
      </c>
      <c r="D79">
        <v>17892.599999999999</v>
      </c>
      <c r="E79">
        <v>17992.150000000001</v>
      </c>
      <c r="F79">
        <f t="shared" si="6"/>
        <v>-50.799999999999272</v>
      </c>
      <c r="G79">
        <f t="shared" si="12"/>
        <v>0</v>
      </c>
      <c r="H79">
        <f t="shared" si="7"/>
        <v>50.799999999999272</v>
      </c>
      <c r="I79" s="2">
        <f t="shared" si="8"/>
        <v>43.18050546050317</v>
      </c>
      <c r="J79" s="2">
        <f t="shared" si="9"/>
        <v>61.30593115682592</v>
      </c>
      <c r="K79" s="2">
        <f t="shared" si="10"/>
        <v>0.70434466365160775</v>
      </c>
      <c r="L79" s="2">
        <f t="shared" si="11"/>
        <v>41.326421742802239</v>
      </c>
    </row>
    <row r="80" spans="1:12" x14ac:dyDescent="0.25">
      <c r="A80" s="1">
        <v>44932</v>
      </c>
      <c r="B80">
        <v>18008.05</v>
      </c>
      <c r="C80">
        <v>18047.400000000001</v>
      </c>
      <c r="D80">
        <v>17795.55</v>
      </c>
      <c r="E80">
        <v>17859.45</v>
      </c>
      <c r="F80">
        <f t="shared" si="6"/>
        <v>-132.70000000000073</v>
      </c>
      <c r="G80">
        <f t="shared" si="12"/>
        <v>0</v>
      </c>
      <c r="H80">
        <f t="shared" si="7"/>
        <v>132.70000000000073</v>
      </c>
      <c r="I80" s="2">
        <f t="shared" si="8"/>
        <v>40.096183641895799</v>
      </c>
      <c r="J80" s="2">
        <f t="shared" si="9"/>
        <v>66.40550750276698</v>
      </c>
      <c r="K80" s="2">
        <f t="shared" si="10"/>
        <v>0.603808104926012</v>
      </c>
      <c r="L80" s="2">
        <f t="shared" si="11"/>
        <v>37.648400894810749</v>
      </c>
    </row>
    <row r="81" spans="1:12" x14ac:dyDescent="0.25">
      <c r="A81" s="1">
        <v>44935</v>
      </c>
      <c r="B81">
        <v>17952.55</v>
      </c>
      <c r="C81">
        <v>18141.400000000001</v>
      </c>
      <c r="D81">
        <v>17936.150000000001</v>
      </c>
      <c r="E81">
        <v>18101.2</v>
      </c>
      <c r="F81">
        <f t="shared" si="6"/>
        <v>241.75</v>
      </c>
      <c r="G81">
        <f t="shared" si="12"/>
        <v>241.75</v>
      </c>
      <c r="H81">
        <f t="shared" si="7"/>
        <v>0</v>
      </c>
      <c r="I81" s="2">
        <f t="shared" si="8"/>
        <v>54.500027667474669</v>
      </c>
      <c r="J81" s="2">
        <f t="shared" si="9"/>
        <v>61.662256966855054</v>
      </c>
      <c r="K81" s="2">
        <f t="shared" si="10"/>
        <v>0.88384743517853626</v>
      </c>
      <c r="L81" s="2">
        <f t="shared" si="11"/>
        <v>46.91714512936511</v>
      </c>
    </row>
    <row r="82" spans="1:12" x14ac:dyDescent="0.25">
      <c r="A82" s="1">
        <v>44936</v>
      </c>
      <c r="B82">
        <v>18121.3</v>
      </c>
      <c r="C82">
        <v>18127.599999999999</v>
      </c>
      <c r="D82">
        <v>17856</v>
      </c>
      <c r="E82">
        <v>17914.150000000001</v>
      </c>
      <c r="F82">
        <f t="shared" si="6"/>
        <v>-187.04999999999927</v>
      </c>
      <c r="G82">
        <f t="shared" si="12"/>
        <v>0</v>
      </c>
      <c r="H82">
        <f t="shared" si="7"/>
        <v>187.04999999999927</v>
      </c>
      <c r="I82" s="2">
        <f t="shared" si="8"/>
        <v>50.60716854836933</v>
      </c>
      <c r="J82" s="2">
        <f t="shared" si="9"/>
        <v>70.61852432636536</v>
      </c>
      <c r="K82" s="2">
        <f t="shared" si="10"/>
        <v>0.71662738680982596</v>
      </c>
      <c r="L82" s="2">
        <f t="shared" si="11"/>
        <v>41.746239883869244</v>
      </c>
    </row>
    <row r="83" spans="1:12" x14ac:dyDescent="0.25">
      <c r="A83" s="1">
        <v>44937</v>
      </c>
      <c r="B83">
        <v>17924.25</v>
      </c>
      <c r="C83">
        <v>17976.349999999999</v>
      </c>
      <c r="D83">
        <v>17824.349999999999</v>
      </c>
      <c r="E83">
        <v>17895.7</v>
      </c>
      <c r="F83">
        <f t="shared" si="6"/>
        <v>-18.450000000000728</v>
      </c>
      <c r="G83">
        <f t="shared" si="12"/>
        <v>0</v>
      </c>
      <c r="H83">
        <f t="shared" si="7"/>
        <v>18.450000000000728</v>
      </c>
      <c r="I83" s="2">
        <f t="shared" si="8"/>
        <v>46.992370794914379</v>
      </c>
      <c r="J83" s="2">
        <f t="shared" si="9"/>
        <v>66.89220116019645</v>
      </c>
      <c r="K83" s="2">
        <f t="shared" si="10"/>
        <v>0.70250896187994971</v>
      </c>
      <c r="L83" s="2">
        <f t="shared" si="11"/>
        <v>41.263157939810384</v>
      </c>
    </row>
    <row r="84" spans="1:12" x14ac:dyDescent="0.25">
      <c r="A84" s="1">
        <v>44938</v>
      </c>
      <c r="B84">
        <v>17920.849999999999</v>
      </c>
      <c r="C84">
        <v>17945.8</v>
      </c>
      <c r="D84">
        <v>17761.650000000001</v>
      </c>
      <c r="E84">
        <v>17858.2</v>
      </c>
      <c r="F84">
        <f t="shared" si="6"/>
        <v>-37.5</v>
      </c>
      <c r="G84">
        <f t="shared" si="12"/>
        <v>0</v>
      </c>
      <c r="H84">
        <f t="shared" si="7"/>
        <v>37.5</v>
      </c>
      <c r="I84" s="2">
        <f t="shared" si="8"/>
        <v>43.635772880991922</v>
      </c>
      <c r="J84" s="2">
        <f t="shared" si="9"/>
        <v>64.792758220182421</v>
      </c>
      <c r="K84" s="2">
        <f t="shared" si="10"/>
        <v>0.67346682067008734</v>
      </c>
      <c r="L84" s="2">
        <f t="shared" si="11"/>
        <v>40.243810773638081</v>
      </c>
    </row>
    <row r="85" spans="1:12" x14ac:dyDescent="0.25">
      <c r="A85" s="1">
        <v>44939</v>
      </c>
      <c r="B85">
        <v>17867.5</v>
      </c>
      <c r="C85">
        <v>17999.349999999999</v>
      </c>
      <c r="D85">
        <v>17774.25</v>
      </c>
      <c r="E85">
        <v>17956.599999999999</v>
      </c>
      <c r="F85">
        <f t="shared" si="6"/>
        <v>98.399999999997817</v>
      </c>
      <c r="G85">
        <f t="shared" si="12"/>
        <v>98.399999999997817</v>
      </c>
      <c r="H85">
        <f t="shared" si="7"/>
        <v>0</v>
      </c>
      <c r="I85" s="2">
        <f t="shared" si="8"/>
        <v>47.547503389492348</v>
      </c>
      <c r="J85" s="2">
        <f t="shared" si="9"/>
        <v>60.164704061597959</v>
      </c>
      <c r="K85" s="2">
        <f t="shared" si="10"/>
        <v>0.79028899304170364</v>
      </c>
      <c r="L85" s="2">
        <f t="shared" si="11"/>
        <v>44.143096232692663</v>
      </c>
    </row>
    <row r="86" spans="1:12" x14ac:dyDescent="0.25">
      <c r="A86" s="1">
        <v>44942</v>
      </c>
      <c r="B86">
        <v>18033.150000000001</v>
      </c>
      <c r="C86">
        <v>18049.650000000001</v>
      </c>
      <c r="D86">
        <v>17853.650000000001</v>
      </c>
      <c r="E86">
        <v>17894.849999999999</v>
      </c>
      <c r="F86">
        <f t="shared" si="6"/>
        <v>-61.75</v>
      </c>
      <c r="G86">
        <f t="shared" si="12"/>
        <v>0</v>
      </c>
      <c r="H86">
        <f t="shared" si="7"/>
        <v>61.75</v>
      </c>
      <c r="I86" s="2">
        <f t="shared" si="8"/>
        <v>44.151253147385752</v>
      </c>
      <c r="J86" s="2">
        <f t="shared" si="9"/>
        <v>60.277939485769537</v>
      </c>
      <c r="K86" s="2">
        <f t="shared" si="10"/>
        <v>0.73246122087184173</v>
      </c>
      <c r="L86" s="2">
        <f t="shared" si="11"/>
        <v>42.278650283625907</v>
      </c>
    </row>
    <row r="87" spans="1:12" x14ac:dyDescent="0.25">
      <c r="A87" s="1">
        <v>44943</v>
      </c>
      <c r="B87">
        <v>17922.8</v>
      </c>
      <c r="C87">
        <v>18072.05</v>
      </c>
      <c r="D87">
        <v>17886.95</v>
      </c>
      <c r="E87">
        <v>18053.3</v>
      </c>
      <c r="F87">
        <f t="shared" si="6"/>
        <v>158.45000000000073</v>
      </c>
      <c r="G87">
        <f t="shared" si="12"/>
        <v>158.45000000000073</v>
      </c>
      <c r="H87">
        <f t="shared" si="7"/>
        <v>0</v>
      </c>
      <c r="I87" s="2">
        <f t="shared" si="8"/>
        <v>52.315449351143968</v>
      </c>
      <c r="J87" s="2">
        <f t="shared" si="9"/>
        <v>55.972372379643147</v>
      </c>
      <c r="K87" s="2">
        <f t="shared" si="10"/>
        <v>0.93466557029787101</v>
      </c>
      <c r="L87" s="2">
        <f t="shared" si="11"/>
        <v>48.311480012225843</v>
      </c>
    </row>
    <row r="88" spans="1:12" x14ac:dyDescent="0.25">
      <c r="A88" s="1">
        <v>44944</v>
      </c>
      <c r="B88">
        <v>18074.3</v>
      </c>
      <c r="C88">
        <v>18183.75</v>
      </c>
      <c r="D88">
        <v>18032.45</v>
      </c>
      <c r="E88">
        <v>18165.349999999999</v>
      </c>
      <c r="F88">
        <f t="shared" si="6"/>
        <v>112.04999999999927</v>
      </c>
      <c r="G88">
        <f t="shared" si="12"/>
        <v>112.04999999999927</v>
      </c>
      <c r="H88">
        <f t="shared" si="7"/>
        <v>0</v>
      </c>
      <c r="I88" s="2">
        <f t="shared" si="8"/>
        <v>56.582202968919354</v>
      </c>
      <c r="J88" s="2">
        <f t="shared" si="9"/>
        <v>51.974345781097206</v>
      </c>
      <c r="K88" s="2">
        <f t="shared" si="10"/>
        <v>1.0886563768831123</v>
      </c>
      <c r="L88" s="2">
        <f t="shared" si="11"/>
        <v>52.122330361861962</v>
      </c>
    </row>
    <row r="89" spans="1:12" x14ac:dyDescent="0.25">
      <c r="A89" s="1">
        <v>44945</v>
      </c>
      <c r="B89">
        <v>18119.8</v>
      </c>
      <c r="C89">
        <v>18155.2</v>
      </c>
      <c r="D89">
        <v>18063.75</v>
      </c>
      <c r="E89">
        <v>18107.849999999999</v>
      </c>
      <c r="F89">
        <f t="shared" si="6"/>
        <v>-57.5</v>
      </c>
      <c r="G89">
        <f t="shared" si="12"/>
        <v>0</v>
      </c>
      <c r="H89">
        <f t="shared" si="7"/>
        <v>57.5</v>
      </c>
      <c r="I89" s="2">
        <f t="shared" si="8"/>
        <v>52.540617042567973</v>
      </c>
      <c r="J89" s="2">
        <f t="shared" si="9"/>
        <v>52.36903536816169</v>
      </c>
      <c r="K89" s="2">
        <f t="shared" si="10"/>
        <v>1.0032763955493937</v>
      </c>
      <c r="L89" s="2">
        <f t="shared" si="11"/>
        <v>50.081775923598784</v>
      </c>
    </row>
    <row r="90" spans="1:12" x14ac:dyDescent="0.25">
      <c r="A90" s="1">
        <v>44946</v>
      </c>
      <c r="B90">
        <v>18115.599999999999</v>
      </c>
      <c r="C90">
        <v>18145.45</v>
      </c>
      <c r="D90">
        <v>18016.2</v>
      </c>
      <c r="E90">
        <v>18027.650000000001</v>
      </c>
      <c r="F90">
        <f t="shared" si="6"/>
        <v>-80.19999999999709</v>
      </c>
      <c r="G90">
        <f t="shared" si="12"/>
        <v>0</v>
      </c>
      <c r="H90">
        <f t="shared" si="7"/>
        <v>80.19999999999709</v>
      </c>
      <c r="I90" s="2">
        <f t="shared" si="8"/>
        <v>48.787715825241683</v>
      </c>
      <c r="J90" s="2">
        <f t="shared" si="9"/>
        <v>54.356961413292787</v>
      </c>
      <c r="K90" s="2">
        <f t="shared" si="10"/>
        <v>0.89754310316011954</v>
      </c>
      <c r="L90" s="2">
        <f t="shared" si="11"/>
        <v>47.300274848322246</v>
      </c>
    </row>
    <row r="91" spans="1:12" x14ac:dyDescent="0.25">
      <c r="A91" s="1">
        <v>44949</v>
      </c>
      <c r="B91">
        <v>18118.45</v>
      </c>
      <c r="C91">
        <v>18162.599999999999</v>
      </c>
      <c r="D91">
        <v>18063.45</v>
      </c>
      <c r="E91">
        <v>18118.55</v>
      </c>
      <c r="F91">
        <f t="shared" si="6"/>
        <v>90.899999999997817</v>
      </c>
      <c r="G91">
        <f t="shared" si="12"/>
        <v>90.899999999997817</v>
      </c>
      <c r="H91">
        <f t="shared" si="7"/>
        <v>0</v>
      </c>
      <c r="I91" s="2">
        <f t="shared" si="8"/>
        <v>51.795736123438544</v>
      </c>
      <c r="J91" s="2">
        <f t="shared" si="9"/>
        <v>50.474321312343299</v>
      </c>
      <c r="K91" s="2">
        <f t="shared" si="10"/>
        <v>1.026179942131725</v>
      </c>
      <c r="L91" s="2">
        <f t="shared" si="11"/>
        <v>50.646041883727797</v>
      </c>
    </row>
    <row r="92" spans="1:12" x14ac:dyDescent="0.25">
      <c r="A92" s="1">
        <v>44950</v>
      </c>
      <c r="B92">
        <v>18183.95</v>
      </c>
      <c r="C92">
        <v>18201.25</v>
      </c>
      <c r="D92">
        <v>18078.650000000001</v>
      </c>
      <c r="E92">
        <v>18118.3</v>
      </c>
      <c r="F92">
        <f t="shared" ref="F92:F155" si="13">E92-E91</f>
        <v>-0.25</v>
      </c>
      <c r="G92">
        <f t="shared" si="12"/>
        <v>0</v>
      </c>
      <c r="H92">
        <f t="shared" ref="H92:H155" si="14">IF(F92&lt;0,ABS(F92),0)</f>
        <v>0.25</v>
      </c>
      <c r="I92" s="2">
        <f t="shared" ref="I92:I155" si="15">(I91*13+G92 )/14</f>
        <v>48.096040686050074</v>
      </c>
      <c r="J92" s="2">
        <f t="shared" ref="J92:J155" si="16">(J91*13+H92 )/14</f>
        <v>46.886869790033067</v>
      </c>
      <c r="K92" s="2">
        <f t="shared" ref="K92:K155" si="17">I92/J92</f>
        <v>1.0257891154054828</v>
      </c>
      <c r="L92" s="2">
        <f t="shared" ref="L92:L155" si="18">IF(J92=0,100,100-(100/(1+K92)))</f>
        <v>50.636520238196688</v>
      </c>
    </row>
    <row r="93" spans="1:12" x14ac:dyDescent="0.25">
      <c r="A93" s="1">
        <v>44951</v>
      </c>
      <c r="B93">
        <v>18093.349999999999</v>
      </c>
      <c r="C93">
        <v>18100.599999999999</v>
      </c>
      <c r="D93">
        <v>17846.150000000001</v>
      </c>
      <c r="E93">
        <v>17891.95</v>
      </c>
      <c r="F93">
        <f t="shared" si="13"/>
        <v>-226.34999999999854</v>
      </c>
      <c r="G93">
        <f t="shared" si="12"/>
        <v>0</v>
      </c>
      <c r="H93">
        <f t="shared" si="14"/>
        <v>226.34999999999854</v>
      </c>
      <c r="I93" s="2">
        <f t="shared" si="15"/>
        <v>44.660609208475073</v>
      </c>
      <c r="J93" s="2">
        <f t="shared" si="16"/>
        <v>59.705664805030601</v>
      </c>
      <c r="K93" s="2">
        <f t="shared" si="17"/>
        <v>0.74801292899617988</v>
      </c>
      <c r="L93" s="2">
        <f t="shared" si="18"/>
        <v>42.792185148523842</v>
      </c>
    </row>
    <row r="94" spans="1:12" x14ac:dyDescent="0.25">
      <c r="A94" s="1">
        <v>44953</v>
      </c>
      <c r="B94">
        <v>17877.2</v>
      </c>
      <c r="C94">
        <v>17884.75</v>
      </c>
      <c r="D94">
        <v>17493.55</v>
      </c>
      <c r="E94">
        <v>17604.349999999999</v>
      </c>
      <c r="F94">
        <f t="shared" si="13"/>
        <v>-287.60000000000218</v>
      </c>
      <c r="G94">
        <f t="shared" si="12"/>
        <v>0</v>
      </c>
      <c r="H94">
        <f t="shared" si="14"/>
        <v>287.60000000000218</v>
      </c>
      <c r="I94" s="2">
        <f t="shared" si="15"/>
        <v>41.470565693583993</v>
      </c>
      <c r="J94" s="2">
        <f t="shared" si="16"/>
        <v>75.983831604671423</v>
      </c>
      <c r="K94" s="2">
        <f t="shared" si="17"/>
        <v>0.54578144873434387</v>
      </c>
      <c r="L94" s="2">
        <f t="shared" si="18"/>
        <v>35.30780170645852</v>
      </c>
    </row>
    <row r="95" spans="1:12" x14ac:dyDescent="0.25">
      <c r="A95" s="1">
        <v>44956</v>
      </c>
      <c r="B95">
        <v>17541.95</v>
      </c>
      <c r="C95">
        <v>17709.150000000001</v>
      </c>
      <c r="D95">
        <v>17405.55</v>
      </c>
      <c r="E95">
        <v>17648.95</v>
      </c>
      <c r="F95">
        <f t="shared" si="13"/>
        <v>44.600000000002183</v>
      </c>
      <c r="G95">
        <f t="shared" si="12"/>
        <v>44.600000000002183</v>
      </c>
      <c r="H95">
        <f t="shared" si="14"/>
        <v>0</v>
      </c>
      <c r="I95" s="2">
        <f t="shared" si="15"/>
        <v>41.694096715471005</v>
      </c>
      <c r="J95" s="2">
        <f t="shared" si="16"/>
        <v>70.556415061480607</v>
      </c>
      <c r="K95" s="2">
        <f t="shared" si="17"/>
        <v>0.59093275472031992</v>
      </c>
      <c r="L95" s="2">
        <f t="shared" si="18"/>
        <v>37.143792090961369</v>
      </c>
    </row>
    <row r="96" spans="1:12" x14ac:dyDescent="0.25">
      <c r="A96" s="1">
        <v>44957</v>
      </c>
      <c r="B96">
        <v>17731.45</v>
      </c>
      <c r="C96">
        <v>17735.7</v>
      </c>
      <c r="D96">
        <v>17537.55</v>
      </c>
      <c r="E96">
        <v>17662.150000000001</v>
      </c>
      <c r="F96">
        <f t="shared" si="13"/>
        <v>13.200000000000728</v>
      </c>
      <c r="G96">
        <f t="shared" si="12"/>
        <v>13.200000000000728</v>
      </c>
      <c r="H96">
        <f t="shared" si="14"/>
        <v>0</v>
      </c>
      <c r="I96" s="2">
        <f t="shared" si="15"/>
        <v>39.658804092937416</v>
      </c>
      <c r="J96" s="2">
        <f t="shared" si="16"/>
        <v>65.5166711285177</v>
      </c>
      <c r="K96" s="2">
        <f t="shared" si="17"/>
        <v>0.60532385742161088</v>
      </c>
      <c r="L96" s="2">
        <f t="shared" si="18"/>
        <v>37.70727349644271</v>
      </c>
    </row>
    <row r="97" spans="1:12" x14ac:dyDescent="0.25">
      <c r="A97" s="1">
        <v>44958</v>
      </c>
      <c r="B97">
        <v>17811.599999999999</v>
      </c>
      <c r="C97">
        <v>17972.2</v>
      </c>
      <c r="D97">
        <v>17353.400000000001</v>
      </c>
      <c r="E97">
        <v>17616.3</v>
      </c>
      <c r="F97">
        <f t="shared" si="13"/>
        <v>-45.850000000002183</v>
      </c>
      <c r="G97">
        <f t="shared" si="12"/>
        <v>0</v>
      </c>
      <c r="H97">
        <f t="shared" si="14"/>
        <v>45.850000000002183</v>
      </c>
      <c r="I97" s="2">
        <f t="shared" si="15"/>
        <v>36.826032372013309</v>
      </c>
      <c r="J97" s="2">
        <f t="shared" si="16"/>
        <v>64.111908905052303</v>
      </c>
      <c r="K97" s="2">
        <f t="shared" si="17"/>
        <v>0.57440236924705346</v>
      </c>
      <c r="L97" s="2">
        <f t="shared" si="18"/>
        <v>36.483835420151024</v>
      </c>
    </row>
    <row r="98" spans="1:12" x14ac:dyDescent="0.25">
      <c r="A98" s="1">
        <v>44959</v>
      </c>
      <c r="B98">
        <v>17517.099999999999</v>
      </c>
      <c r="C98">
        <v>17653.900000000001</v>
      </c>
      <c r="D98">
        <v>17445.95</v>
      </c>
      <c r="E98">
        <v>17610.400000000001</v>
      </c>
      <c r="F98">
        <f t="shared" si="13"/>
        <v>-5.8999999999978172</v>
      </c>
      <c r="G98">
        <f t="shared" si="12"/>
        <v>0</v>
      </c>
      <c r="H98">
        <f t="shared" si="14"/>
        <v>5.8999999999978172</v>
      </c>
      <c r="I98" s="2">
        <f t="shared" si="15"/>
        <v>34.195601488298074</v>
      </c>
      <c r="J98" s="2">
        <f t="shared" si="16"/>
        <v>59.953915411834132</v>
      </c>
      <c r="K98" s="2">
        <f t="shared" si="17"/>
        <v>0.57036477523448459</v>
      </c>
      <c r="L98" s="2">
        <f t="shared" si="18"/>
        <v>36.320527830823167</v>
      </c>
    </row>
    <row r="99" spans="1:12" x14ac:dyDescent="0.25">
      <c r="A99" s="1">
        <v>44960</v>
      </c>
      <c r="B99">
        <v>17721.75</v>
      </c>
      <c r="C99">
        <v>17870.3</v>
      </c>
      <c r="D99">
        <v>17584.2</v>
      </c>
      <c r="E99">
        <v>17854.05</v>
      </c>
      <c r="F99">
        <f t="shared" si="13"/>
        <v>243.64999999999782</v>
      </c>
      <c r="G99">
        <f t="shared" si="12"/>
        <v>243.64999999999782</v>
      </c>
      <c r="H99">
        <f t="shared" si="14"/>
        <v>0</v>
      </c>
      <c r="I99" s="2">
        <f t="shared" si="15"/>
        <v>49.156629953419483</v>
      </c>
      <c r="J99" s="2">
        <f t="shared" si="16"/>
        <v>55.671492882417404</v>
      </c>
      <c r="K99" s="2">
        <f t="shared" si="17"/>
        <v>0.88297667995435603</v>
      </c>
      <c r="L99" s="2">
        <f t="shared" si="18"/>
        <v>46.89259773391138</v>
      </c>
    </row>
    <row r="100" spans="1:12" x14ac:dyDescent="0.25">
      <c r="A100" s="1">
        <v>44963</v>
      </c>
      <c r="B100">
        <v>17818.55</v>
      </c>
      <c r="C100">
        <v>17823.7</v>
      </c>
      <c r="D100">
        <v>17698.349999999999</v>
      </c>
      <c r="E100">
        <v>17764.599999999999</v>
      </c>
      <c r="F100">
        <f t="shared" si="13"/>
        <v>-89.450000000000728</v>
      </c>
      <c r="G100">
        <f t="shared" si="12"/>
        <v>0</v>
      </c>
      <c r="H100">
        <f t="shared" si="14"/>
        <v>89.450000000000728</v>
      </c>
      <c r="I100" s="2">
        <f t="shared" si="15"/>
        <v>45.645442099603805</v>
      </c>
      <c r="J100" s="2">
        <f t="shared" si="16"/>
        <v>58.084243390816212</v>
      </c>
      <c r="K100" s="2">
        <f t="shared" si="17"/>
        <v>0.78584895722031345</v>
      </c>
      <c r="L100" s="2">
        <f t="shared" si="18"/>
        <v>44.004222979948587</v>
      </c>
    </row>
    <row r="101" spans="1:12" x14ac:dyDescent="0.25">
      <c r="A101" s="1">
        <v>44964</v>
      </c>
      <c r="B101">
        <v>17790.099999999999</v>
      </c>
      <c r="C101">
        <v>17811.150000000001</v>
      </c>
      <c r="D101">
        <v>17652.55</v>
      </c>
      <c r="E101">
        <v>17721.5</v>
      </c>
      <c r="F101">
        <f t="shared" si="13"/>
        <v>-43.099999999998545</v>
      </c>
      <c r="G101">
        <f t="shared" si="12"/>
        <v>0</v>
      </c>
      <c r="H101">
        <f t="shared" si="14"/>
        <v>43.099999999998545</v>
      </c>
      <c r="I101" s="2">
        <f t="shared" si="15"/>
        <v>42.38505337820353</v>
      </c>
      <c r="J101" s="2">
        <f t="shared" si="16"/>
        <v>57.013940291472089</v>
      </c>
      <c r="K101" s="2">
        <f t="shared" si="17"/>
        <v>0.7434156131205566</v>
      </c>
      <c r="L101" s="2">
        <f t="shared" si="18"/>
        <v>42.641330473684917</v>
      </c>
    </row>
    <row r="102" spans="1:12" x14ac:dyDescent="0.25">
      <c r="A102" s="1">
        <v>44965</v>
      </c>
      <c r="B102">
        <v>17750.3</v>
      </c>
      <c r="C102">
        <v>17898.7</v>
      </c>
      <c r="D102">
        <v>17744.150000000001</v>
      </c>
      <c r="E102">
        <v>17871.7</v>
      </c>
      <c r="F102">
        <f t="shared" si="13"/>
        <v>150.20000000000073</v>
      </c>
      <c r="G102">
        <f t="shared" si="12"/>
        <v>150.20000000000073</v>
      </c>
      <c r="H102">
        <f t="shared" si="14"/>
        <v>0</v>
      </c>
      <c r="I102" s="2">
        <f t="shared" si="15"/>
        <v>50.08612099404619</v>
      </c>
      <c r="J102" s="2">
        <f t="shared" si="16"/>
        <v>52.941515984938363</v>
      </c>
      <c r="K102" s="2">
        <f t="shared" si="17"/>
        <v>0.9460651071702495</v>
      </c>
      <c r="L102" s="2">
        <f t="shared" si="18"/>
        <v>48.614257749367475</v>
      </c>
    </row>
    <row r="103" spans="1:12" x14ac:dyDescent="0.25">
      <c r="A103" s="1">
        <v>44966</v>
      </c>
      <c r="B103">
        <v>17885.5</v>
      </c>
      <c r="C103">
        <v>17916.900000000001</v>
      </c>
      <c r="D103">
        <v>17779.8</v>
      </c>
      <c r="E103">
        <v>17893.45</v>
      </c>
      <c r="F103">
        <f t="shared" si="13"/>
        <v>21.75</v>
      </c>
      <c r="G103">
        <f t="shared" si="12"/>
        <v>21.75</v>
      </c>
      <c r="H103">
        <f t="shared" si="14"/>
        <v>0</v>
      </c>
      <c r="I103" s="2">
        <f t="shared" si="15"/>
        <v>48.062112351614317</v>
      </c>
      <c r="J103" s="2">
        <f t="shared" si="16"/>
        <v>49.159979128871335</v>
      </c>
      <c r="K103" s="2">
        <f t="shared" si="17"/>
        <v>0.97766746860532638</v>
      </c>
      <c r="L103" s="2">
        <f t="shared" si="18"/>
        <v>49.435382040985317</v>
      </c>
    </row>
    <row r="104" spans="1:12" x14ac:dyDescent="0.25">
      <c r="A104" s="1">
        <v>44967</v>
      </c>
      <c r="B104">
        <v>17847.55</v>
      </c>
      <c r="C104">
        <v>17876.95</v>
      </c>
      <c r="D104">
        <v>17801</v>
      </c>
      <c r="E104">
        <v>17856.5</v>
      </c>
      <c r="F104">
        <f t="shared" si="13"/>
        <v>-36.950000000000728</v>
      </c>
      <c r="G104">
        <f t="shared" si="12"/>
        <v>0</v>
      </c>
      <c r="H104">
        <f t="shared" si="14"/>
        <v>36.950000000000728</v>
      </c>
      <c r="I104" s="2">
        <f t="shared" si="15"/>
        <v>44.629104326499011</v>
      </c>
      <c r="J104" s="2">
        <f t="shared" si="16"/>
        <v>48.287837762523438</v>
      </c>
      <c r="K104" s="2">
        <f t="shared" si="17"/>
        <v>0.92423074617633849</v>
      </c>
      <c r="L104" s="2">
        <f t="shared" si="18"/>
        <v>48.031180668580852</v>
      </c>
    </row>
    <row r="105" spans="1:12" x14ac:dyDescent="0.25">
      <c r="A105" s="1">
        <v>44970</v>
      </c>
      <c r="B105">
        <v>17859.099999999999</v>
      </c>
      <c r="C105">
        <v>17880.7</v>
      </c>
      <c r="D105">
        <v>17719.75</v>
      </c>
      <c r="E105">
        <v>17770.900000000001</v>
      </c>
      <c r="F105">
        <f t="shared" si="13"/>
        <v>-85.599999999998545</v>
      </c>
      <c r="G105">
        <f t="shared" si="12"/>
        <v>0</v>
      </c>
      <c r="H105">
        <f t="shared" si="14"/>
        <v>85.599999999998545</v>
      </c>
      <c r="I105" s="2">
        <f t="shared" si="15"/>
        <v>41.441311160320517</v>
      </c>
      <c r="J105" s="2">
        <f t="shared" si="16"/>
        <v>50.952992208057374</v>
      </c>
      <c r="K105" s="2">
        <f t="shared" si="17"/>
        <v>0.81332438713515354</v>
      </c>
      <c r="L105" s="2">
        <f t="shared" si="18"/>
        <v>44.85266910351951</v>
      </c>
    </row>
    <row r="106" spans="1:12" x14ac:dyDescent="0.25">
      <c r="A106" s="1">
        <v>44971</v>
      </c>
      <c r="B106">
        <v>17840.349999999999</v>
      </c>
      <c r="C106">
        <v>17954.55</v>
      </c>
      <c r="D106">
        <v>17800.05</v>
      </c>
      <c r="E106">
        <v>17929.849999999999</v>
      </c>
      <c r="F106">
        <f t="shared" si="13"/>
        <v>158.94999999999709</v>
      </c>
      <c r="G106">
        <f t="shared" si="12"/>
        <v>158.94999999999709</v>
      </c>
      <c r="H106">
        <f t="shared" si="14"/>
        <v>0</v>
      </c>
      <c r="I106" s="2">
        <f t="shared" si="15"/>
        <v>49.834788934583131</v>
      </c>
      <c r="J106" s="2">
        <f t="shared" si="16"/>
        <v>47.313492764624705</v>
      </c>
      <c r="K106" s="2">
        <f t="shared" si="17"/>
        <v>1.0532891575454253</v>
      </c>
      <c r="L106" s="2">
        <f t="shared" si="18"/>
        <v>51.297653507534442</v>
      </c>
    </row>
    <row r="107" spans="1:12" x14ac:dyDescent="0.25">
      <c r="A107" s="1">
        <v>44972</v>
      </c>
      <c r="B107">
        <v>17896.599999999999</v>
      </c>
      <c r="C107">
        <v>18034.099999999999</v>
      </c>
      <c r="D107">
        <v>17853.8</v>
      </c>
      <c r="E107">
        <v>18015.849999999999</v>
      </c>
      <c r="F107">
        <f t="shared" si="13"/>
        <v>86</v>
      </c>
      <c r="G107">
        <f t="shared" si="12"/>
        <v>86</v>
      </c>
      <c r="H107">
        <f t="shared" si="14"/>
        <v>0</v>
      </c>
      <c r="I107" s="2">
        <f t="shared" si="15"/>
        <v>52.418018296398621</v>
      </c>
      <c r="J107" s="2">
        <f t="shared" si="16"/>
        <v>43.933957567151516</v>
      </c>
      <c r="K107" s="2">
        <f t="shared" si="17"/>
        <v>1.1931094123783297</v>
      </c>
      <c r="L107" s="2">
        <f t="shared" si="18"/>
        <v>54.402639724410989</v>
      </c>
    </row>
    <row r="108" spans="1:12" x14ac:dyDescent="0.25">
      <c r="A108" s="1">
        <v>44973</v>
      </c>
      <c r="B108">
        <v>18094.75</v>
      </c>
      <c r="C108">
        <v>18134.75</v>
      </c>
      <c r="D108">
        <v>18000.650000000001</v>
      </c>
      <c r="E108">
        <v>18035.849999999999</v>
      </c>
      <c r="F108">
        <f t="shared" si="13"/>
        <v>20</v>
      </c>
      <c r="G108">
        <f t="shared" si="12"/>
        <v>20</v>
      </c>
      <c r="H108">
        <f t="shared" si="14"/>
        <v>0</v>
      </c>
      <c r="I108" s="2">
        <f t="shared" si="15"/>
        <v>50.102445560941575</v>
      </c>
      <c r="J108" s="2">
        <f t="shared" si="16"/>
        <v>40.79581774092641</v>
      </c>
      <c r="K108" s="2">
        <f t="shared" si="17"/>
        <v>1.2281270075064274</v>
      </c>
      <c r="L108" s="2">
        <f t="shared" si="18"/>
        <v>55.119255023117645</v>
      </c>
    </row>
    <row r="109" spans="1:12" x14ac:dyDescent="0.25">
      <c r="A109" s="1">
        <v>44974</v>
      </c>
      <c r="B109">
        <v>17974.849999999999</v>
      </c>
      <c r="C109">
        <v>18034.25</v>
      </c>
      <c r="D109">
        <v>17884.599999999999</v>
      </c>
      <c r="E109">
        <v>17944.2</v>
      </c>
      <c r="F109">
        <f t="shared" si="13"/>
        <v>-91.649999999997817</v>
      </c>
      <c r="G109">
        <f t="shared" si="12"/>
        <v>0</v>
      </c>
      <c r="H109">
        <f t="shared" si="14"/>
        <v>91.649999999997817</v>
      </c>
      <c r="I109" s="2">
        <f t="shared" si="15"/>
        <v>46.523699449445751</v>
      </c>
      <c r="J109" s="2">
        <f t="shared" si="16"/>
        <v>44.428259330860087</v>
      </c>
      <c r="K109" s="2">
        <f t="shared" si="17"/>
        <v>1.0471645783594803</v>
      </c>
      <c r="L109" s="2">
        <f t="shared" si="18"/>
        <v>51.151948867669354</v>
      </c>
    </row>
    <row r="110" spans="1:12" x14ac:dyDescent="0.25">
      <c r="A110" s="1">
        <v>44977</v>
      </c>
      <c r="B110">
        <v>17965.55</v>
      </c>
      <c r="C110">
        <v>18004.349999999999</v>
      </c>
      <c r="D110">
        <v>17818.400000000001</v>
      </c>
      <c r="E110">
        <v>17844.599999999999</v>
      </c>
      <c r="F110">
        <f t="shared" si="13"/>
        <v>-99.600000000002183</v>
      </c>
      <c r="G110">
        <f t="shared" si="12"/>
        <v>0</v>
      </c>
      <c r="H110">
        <f t="shared" si="14"/>
        <v>99.600000000002183</v>
      </c>
      <c r="I110" s="2">
        <f t="shared" si="15"/>
        <v>43.200578060199625</v>
      </c>
      <c r="J110" s="2">
        <f t="shared" si="16"/>
        <v>48.369097950084516</v>
      </c>
      <c r="K110" s="2">
        <f t="shared" si="17"/>
        <v>0.8931441745054115</v>
      </c>
      <c r="L110" s="2">
        <f t="shared" si="18"/>
        <v>47.177821242206633</v>
      </c>
    </row>
    <row r="111" spans="1:12" x14ac:dyDescent="0.25">
      <c r="A111" s="1">
        <v>44978</v>
      </c>
      <c r="B111">
        <v>17905.8</v>
      </c>
      <c r="C111">
        <v>17924.900000000001</v>
      </c>
      <c r="D111">
        <v>17800.3</v>
      </c>
      <c r="E111">
        <v>17826.7</v>
      </c>
      <c r="F111">
        <f t="shared" si="13"/>
        <v>-17.899999999997817</v>
      </c>
      <c r="G111">
        <f t="shared" si="12"/>
        <v>0</v>
      </c>
      <c r="H111">
        <f t="shared" si="14"/>
        <v>17.899999999997817</v>
      </c>
      <c r="I111" s="2">
        <f t="shared" si="15"/>
        <v>40.114822484471077</v>
      </c>
      <c r="J111" s="2">
        <f t="shared" si="16"/>
        <v>46.19273381079261</v>
      </c>
      <c r="K111" s="2">
        <f t="shared" si="17"/>
        <v>0.86842278373873871</v>
      </c>
      <c r="L111" s="2">
        <f t="shared" si="18"/>
        <v>46.478922827145851</v>
      </c>
    </row>
    <row r="112" spans="1:12" x14ac:dyDescent="0.25">
      <c r="A112" s="1">
        <v>44979</v>
      </c>
      <c r="B112">
        <v>17755.349999999999</v>
      </c>
      <c r="C112">
        <v>17772.5</v>
      </c>
      <c r="D112">
        <v>17529.45</v>
      </c>
      <c r="E112">
        <v>17554.3</v>
      </c>
      <c r="F112">
        <f t="shared" si="13"/>
        <v>-272.40000000000146</v>
      </c>
      <c r="G112">
        <f t="shared" si="12"/>
        <v>0</v>
      </c>
      <c r="H112">
        <f t="shared" si="14"/>
        <v>272.40000000000146</v>
      </c>
      <c r="I112" s="2">
        <f t="shared" si="15"/>
        <v>37.249478021294571</v>
      </c>
      <c r="J112" s="2">
        <f t="shared" si="16"/>
        <v>62.350395681450387</v>
      </c>
      <c r="K112" s="2">
        <f t="shared" si="17"/>
        <v>0.59742167814945424</v>
      </c>
      <c r="L112" s="2">
        <f t="shared" si="18"/>
        <v>37.399121742328049</v>
      </c>
    </row>
    <row r="113" spans="1:12" x14ac:dyDescent="0.25">
      <c r="A113" s="1">
        <v>44980</v>
      </c>
      <c r="B113">
        <v>17574.650000000001</v>
      </c>
      <c r="C113">
        <v>17620.05</v>
      </c>
      <c r="D113">
        <v>17455.400000000001</v>
      </c>
      <c r="E113">
        <v>17511.25</v>
      </c>
      <c r="F113">
        <f t="shared" si="13"/>
        <v>-43.049999999999272</v>
      </c>
      <c r="G113">
        <f t="shared" si="12"/>
        <v>0</v>
      </c>
      <c r="H113">
        <f t="shared" si="14"/>
        <v>43.049999999999272</v>
      </c>
      <c r="I113" s="2">
        <f t="shared" si="15"/>
        <v>34.588801019773527</v>
      </c>
      <c r="J113" s="2">
        <f t="shared" si="16"/>
        <v>60.971795989918164</v>
      </c>
      <c r="K113" s="2">
        <f t="shared" si="17"/>
        <v>0.56729181842524157</v>
      </c>
      <c r="L113" s="2">
        <f t="shared" si="18"/>
        <v>36.195672800438402</v>
      </c>
    </row>
    <row r="114" spans="1:12" x14ac:dyDescent="0.25">
      <c r="A114" s="1">
        <v>44981</v>
      </c>
      <c r="B114">
        <v>17591.349999999999</v>
      </c>
      <c r="C114">
        <v>17599.75</v>
      </c>
      <c r="D114">
        <v>17421.8</v>
      </c>
      <c r="E114">
        <v>17465.8</v>
      </c>
      <c r="F114">
        <f t="shared" si="13"/>
        <v>-45.450000000000728</v>
      </c>
      <c r="G114">
        <f t="shared" si="12"/>
        <v>0</v>
      </c>
      <c r="H114">
        <f t="shared" si="14"/>
        <v>45.450000000000728</v>
      </c>
      <c r="I114" s="2">
        <f t="shared" si="15"/>
        <v>32.118172375503988</v>
      </c>
      <c r="J114" s="2">
        <f t="shared" si="16"/>
        <v>59.863096276352628</v>
      </c>
      <c r="K114" s="2">
        <f t="shared" si="17"/>
        <v>0.53652708218153833</v>
      </c>
      <c r="L114" s="2">
        <f t="shared" si="18"/>
        <v>34.918166324786498</v>
      </c>
    </row>
    <row r="115" spans="1:12" x14ac:dyDescent="0.25">
      <c r="A115" s="1">
        <v>44984</v>
      </c>
      <c r="B115">
        <v>17428.599999999999</v>
      </c>
      <c r="C115">
        <v>17451.599999999999</v>
      </c>
      <c r="D115">
        <v>17299</v>
      </c>
      <c r="E115">
        <v>17392.7</v>
      </c>
      <c r="F115">
        <f t="shared" si="13"/>
        <v>-73.099999999998545</v>
      </c>
      <c r="G115">
        <f t="shared" si="12"/>
        <v>0</v>
      </c>
      <c r="H115">
        <f t="shared" si="14"/>
        <v>73.099999999998545</v>
      </c>
      <c r="I115" s="2">
        <f t="shared" si="15"/>
        <v>29.824017205825132</v>
      </c>
      <c r="J115" s="2">
        <f t="shared" si="16"/>
        <v>60.808589399470193</v>
      </c>
      <c r="K115" s="2">
        <f t="shared" si="17"/>
        <v>0.49045731039577412</v>
      </c>
      <c r="L115" s="2">
        <f t="shared" si="18"/>
        <v>32.906498359589961</v>
      </c>
    </row>
    <row r="116" spans="1:12" x14ac:dyDescent="0.25">
      <c r="A116" s="1">
        <v>44985</v>
      </c>
      <c r="B116">
        <v>17383.25</v>
      </c>
      <c r="C116">
        <v>17440.45</v>
      </c>
      <c r="D116">
        <v>17255.2</v>
      </c>
      <c r="E116">
        <v>17303.95</v>
      </c>
      <c r="F116">
        <f t="shared" si="13"/>
        <v>-88.75</v>
      </c>
      <c r="G116">
        <f t="shared" si="12"/>
        <v>0</v>
      </c>
      <c r="H116">
        <f t="shared" si="14"/>
        <v>88.75</v>
      </c>
      <c r="I116" s="2">
        <f t="shared" si="15"/>
        <v>27.693730262551906</v>
      </c>
      <c r="J116" s="2">
        <f t="shared" si="16"/>
        <v>62.804404442365183</v>
      </c>
      <c r="K116" s="2">
        <f t="shared" si="17"/>
        <v>0.4409520400430848</v>
      </c>
      <c r="L116" s="2">
        <f t="shared" si="18"/>
        <v>30.601437646037155</v>
      </c>
    </row>
    <row r="117" spans="1:12" x14ac:dyDescent="0.25">
      <c r="A117" s="1">
        <v>44986</v>
      </c>
      <c r="B117">
        <v>17360.099999999999</v>
      </c>
      <c r="C117">
        <v>17467.75</v>
      </c>
      <c r="D117">
        <v>17345.25</v>
      </c>
      <c r="E117">
        <v>17450.900000000001</v>
      </c>
      <c r="F117">
        <f t="shared" si="13"/>
        <v>146.95000000000073</v>
      </c>
      <c r="G117">
        <f t="shared" si="12"/>
        <v>146.95000000000073</v>
      </c>
      <c r="H117">
        <f t="shared" si="14"/>
        <v>0</v>
      </c>
      <c r="I117" s="2">
        <f t="shared" si="15"/>
        <v>36.212035243798248</v>
      </c>
      <c r="J117" s="2">
        <f t="shared" si="16"/>
        <v>58.318375553624819</v>
      </c>
      <c r="K117" s="2">
        <f t="shared" si="17"/>
        <v>0.62093696712283453</v>
      </c>
      <c r="L117" s="2">
        <f t="shared" si="18"/>
        <v>38.307286447109576</v>
      </c>
    </row>
    <row r="118" spans="1:12" x14ac:dyDescent="0.25">
      <c r="A118" s="1">
        <v>44987</v>
      </c>
      <c r="B118">
        <v>17421.5</v>
      </c>
      <c r="C118">
        <v>17445.8</v>
      </c>
      <c r="D118">
        <v>17306</v>
      </c>
      <c r="E118">
        <v>17321.900000000001</v>
      </c>
      <c r="F118">
        <f t="shared" si="13"/>
        <v>-129</v>
      </c>
      <c r="G118">
        <f t="shared" si="12"/>
        <v>0</v>
      </c>
      <c r="H118">
        <f t="shared" si="14"/>
        <v>129</v>
      </c>
      <c r="I118" s="2">
        <f t="shared" si="15"/>
        <v>33.625461297812656</v>
      </c>
      <c r="J118" s="2">
        <f t="shared" si="16"/>
        <v>63.367063014080188</v>
      </c>
      <c r="K118" s="2">
        <f t="shared" si="17"/>
        <v>0.5306457282127951</v>
      </c>
      <c r="L118" s="2">
        <f t="shared" si="18"/>
        <v>34.668095852094069</v>
      </c>
    </row>
    <row r="119" spans="1:12" x14ac:dyDescent="0.25">
      <c r="A119" s="1">
        <v>44988</v>
      </c>
      <c r="B119">
        <v>17451.25</v>
      </c>
      <c r="C119">
        <v>17644.75</v>
      </c>
      <c r="D119">
        <v>17427.7</v>
      </c>
      <c r="E119">
        <v>17594.349999999999</v>
      </c>
      <c r="F119">
        <f t="shared" si="13"/>
        <v>272.44999999999709</v>
      </c>
      <c r="G119">
        <f t="shared" si="12"/>
        <v>272.44999999999709</v>
      </c>
      <c r="H119">
        <f t="shared" si="14"/>
        <v>0</v>
      </c>
      <c r="I119" s="2">
        <f t="shared" si="15"/>
        <v>50.68435691939726</v>
      </c>
      <c r="J119" s="2">
        <f t="shared" si="16"/>
        <v>58.840844227360172</v>
      </c>
      <c r="K119" s="2">
        <f t="shared" si="17"/>
        <v>0.86138051866750309</v>
      </c>
      <c r="L119" s="2">
        <f t="shared" si="18"/>
        <v>46.276433541065273</v>
      </c>
    </row>
    <row r="120" spans="1:12" x14ac:dyDescent="0.25">
      <c r="A120" s="1">
        <v>44991</v>
      </c>
      <c r="B120">
        <v>17680.349999999999</v>
      </c>
      <c r="C120">
        <v>17799.95</v>
      </c>
      <c r="D120">
        <v>17671.95</v>
      </c>
      <c r="E120">
        <v>17711.45</v>
      </c>
      <c r="F120">
        <f t="shared" si="13"/>
        <v>117.10000000000218</v>
      </c>
      <c r="G120">
        <f t="shared" si="12"/>
        <v>117.10000000000218</v>
      </c>
      <c r="H120">
        <f t="shared" si="14"/>
        <v>0</v>
      </c>
      <c r="I120" s="2">
        <f t="shared" si="15"/>
        <v>55.428331425154752</v>
      </c>
      <c r="J120" s="2">
        <f t="shared" si="16"/>
        <v>54.637926782548732</v>
      </c>
      <c r="K120" s="2">
        <f t="shared" si="17"/>
        <v>1.0144662268345526</v>
      </c>
      <c r="L120" s="2">
        <f t="shared" si="18"/>
        <v>50.359058559578934</v>
      </c>
    </row>
    <row r="121" spans="1:12" x14ac:dyDescent="0.25">
      <c r="A121" s="1">
        <v>44993</v>
      </c>
      <c r="B121">
        <v>17665.75</v>
      </c>
      <c r="C121">
        <v>17766.5</v>
      </c>
      <c r="D121">
        <v>17602.25</v>
      </c>
      <c r="E121">
        <v>17754.400000000001</v>
      </c>
      <c r="F121">
        <f t="shared" si="13"/>
        <v>42.950000000000728</v>
      </c>
      <c r="G121">
        <f t="shared" si="12"/>
        <v>42.950000000000728</v>
      </c>
      <c r="H121">
        <f t="shared" si="14"/>
        <v>0</v>
      </c>
      <c r="I121" s="2">
        <f t="shared" si="15"/>
        <v>54.537022037643752</v>
      </c>
      <c r="J121" s="2">
        <f t="shared" si="16"/>
        <v>50.735217726652387</v>
      </c>
      <c r="K121" s="2">
        <f t="shared" si="17"/>
        <v>1.0749342267825568</v>
      </c>
      <c r="L121" s="2">
        <f t="shared" si="18"/>
        <v>51.805701255859852</v>
      </c>
    </row>
    <row r="122" spans="1:12" x14ac:dyDescent="0.25">
      <c r="A122" s="1">
        <v>44994</v>
      </c>
      <c r="B122">
        <v>17772.05</v>
      </c>
      <c r="C122">
        <v>17772.349999999999</v>
      </c>
      <c r="D122">
        <v>17573.599999999999</v>
      </c>
      <c r="E122">
        <v>17589.599999999999</v>
      </c>
      <c r="F122">
        <f t="shared" si="13"/>
        <v>-164.80000000000291</v>
      </c>
      <c r="G122">
        <f t="shared" si="12"/>
        <v>0</v>
      </c>
      <c r="H122">
        <f t="shared" si="14"/>
        <v>164.80000000000291</v>
      </c>
      <c r="I122" s="2">
        <f t="shared" si="15"/>
        <v>50.641520463526341</v>
      </c>
      <c r="J122" s="2">
        <f t="shared" si="16"/>
        <v>58.88270217474885</v>
      </c>
      <c r="K122" s="2">
        <f t="shared" si="17"/>
        <v>0.86004070114233577</v>
      </c>
      <c r="L122" s="2">
        <f t="shared" si="18"/>
        <v>46.237735583643179</v>
      </c>
    </row>
    <row r="123" spans="1:12" x14ac:dyDescent="0.25">
      <c r="A123" s="1">
        <v>44995</v>
      </c>
      <c r="B123">
        <v>17443.8</v>
      </c>
      <c r="C123">
        <v>17451.5</v>
      </c>
      <c r="D123">
        <v>17324.349999999999</v>
      </c>
      <c r="E123">
        <v>17412.900000000001</v>
      </c>
      <c r="F123">
        <f t="shared" si="13"/>
        <v>-176.69999999999709</v>
      </c>
      <c r="G123">
        <f t="shared" si="12"/>
        <v>0</v>
      </c>
      <c r="H123">
        <f t="shared" si="14"/>
        <v>176.69999999999709</v>
      </c>
      <c r="I123" s="2">
        <f t="shared" si="15"/>
        <v>47.024269001845887</v>
      </c>
      <c r="J123" s="2">
        <f t="shared" si="16"/>
        <v>67.29822344798086</v>
      </c>
      <c r="K123" s="2">
        <f t="shared" si="17"/>
        <v>0.69874458184165855</v>
      </c>
      <c r="L123" s="2">
        <f t="shared" si="18"/>
        <v>41.132998410162941</v>
      </c>
    </row>
    <row r="124" spans="1:12" x14ac:dyDescent="0.25">
      <c r="A124" s="1">
        <v>44998</v>
      </c>
      <c r="B124">
        <v>17421.900000000001</v>
      </c>
      <c r="C124">
        <v>17529.900000000001</v>
      </c>
      <c r="D124">
        <v>17113.45</v>
      </c>
      <c r="E124">
        <v>17154.3</v>
      </c>
      <c r="F124">
        <f t="shared" si="13"/>
        <v>-258.60000000000218</v>
      </c>
      <c r="G124">
        <f t="shared" si="12"/>
        <v>0</v>
      </c>
      <c r="H124">
        <f t="shared" si="14"/>
        <v>258.60000000000218</v>
      </c>
      <c r="I124" s="2">
        <f t="shared" si="15"/>
        <v>43.665392644571178</v>
      </c>
      <c r="J124" s="2">
        <f t="shared" si="16"/>
        <v>80.962636058839522</v>
      </c>
      <c r="K124" s="2">
        <f t="shared" si="17"/>
        <v>0.53932770436028532</v>
      </c>
      <c r="L124" s="2">
        <f t="shared" si="18"/>
        <v>35.036574917257099</v>
      </c>
    </row>
    <row r="125" spans="1:12" x14ac:dyDescent="0.25">
      <c r="A125" s="1">
        <v>44999</v>
      </c>
      <c r="B125">
        <v>17160.55</v>
      </c>
      <c r="C125">
        <v>17224.650000000001</v>
      </c>
      <c r="D125">
        <v>16987.099999999999</v>
      </c>
      <c r="E125">
        <v>17043.3</v>
      </c>
      <c r="F125">
        <f t="shared" si="13"/>
        <v>-111</v>
      </c>
      <c r="G125">
        <f t="shared" si="12"/>
        <v>0</v>
      </c>
      <c r="H125">
        <f t="shared" si="14"/>
        <v>111</v>
      </c>
      <c r="I125" s="2">
        <f t="shared" si="15"/>
        <v>40.546436027101812</v>
      </c>
      <c r="J125" s="2">
        <f t="shared" si="16"/>
        <v>83.108162054636708</v>
      </c>
      <c r="K125" s="2">
        <f t="shared" si="17"/>
        <v>0.48787549892447268</v>
      </c>
      <c r="L125" s="2">
        <f t="shared" si="18"/>
        <v>32.790075465127217</v>
      </c>
    </row>
    <row r="126" spans="1:12" x14ac:dyDescent="0.25">
      <c r="A126" s="1">
        <v>45000</v>
      </c>
      <c r="B126">
        <v>17166.45</v>
      </c>
      <c r="C126">
        <v>17211.349999999999</v>
      </c>
      <c r="D126">
        <v>16938.900000000001</v>
      </c>
      <c r="E126">
        <v>16972.150000000001</v>
      </c>
      <c r="F126">
        <f t="shared" si="13"/>
        <v>-71.149999999997817</v>
      </c>
      <c r="G126">
        <f t="shared" si="12"/>
        <v>0</v>
      </c>
      <c r="H126">
        <f t="shared" si="14"/>
        <v>71.149999999997817</v>
      </c>
      <c r="I126" s="2">
        <f t="shared" si="15"/>
        <v>37.650262025165965</v>
      </c>
      <c r="J126" s="2">
        <f t="shared" si="16"/>
        <v>82.254007622162504</v>
      </c>
      <c r="K126" s="2">
        <f t="shared" si="17"/>
        <v>0.45773164267100691</v>
      </c>
      <c r="L126" s="2">
        <f t="shared" si="18"/>
        <v>31.400268010393432</v>
      </c>
    </row>
    <row r="127" spans="1:12" x14ac:dyDescent="0.25">
      <c r="A127" s="1">
        <v>45001</v>
      </c>
      <c r="B127">
        <v>16994.650000000001</v>
      </c>
      <c r="C127">
        <v>17062.45</v>
      </c>
      <c r="D127">
        <v>16850.150000000001</v>
      </c>
      <c r="E127">
        <v>16985.599999999999</v>
      </c>
      <c r="F127">
        <f t="shared" si="13"/>
        <v>13.44999999999709</v>
      </c>
      <c r="G127">
        <f t="shared" si="12"/>
        <v>13.44999999999709</v>
      </c>
      <c r="H127">
        <f t="shared" si="14"/>
        <v>0</v>
      </c>
      <c r="I127" s="2">
        <f t="shared" si="15"/>
        <v>35.921671880511049</v>
      </c>
      <c r="J127" s="2">
        <f t="shared" si="16"/>
        <v>76.378721363436611</v>
      </c>
      <c r="K127" s="2">
        <f t="shared" si="17"/>
        <v>0.47030994024609546</v>
      </c>
      <c r="L127" s="2">
        <f t="shared" si="18"/>
        <v>31.987129201301371</v>
      </c>
    </row>
    <row r="128" spans="1:12" x14ac:dyDescent="0.25">
      <c r="A128" s="1">
        <v>45002</v>
      </c>
      <c r="B128">
        <v>17111.8</v>
      </c>
      <c r="C128">
        <v>17145.8</v>
      </c>
      <c r="D128">
        <v>16958.150000000001</v>
      </c>
      <c r="E128">
        <v>17100.05</v>
      </c>
      <c r="F128">
        <f t="shared" si="13"/>
        <v>114.45000000000073</v>
      </c>
      <c r="G128">
        <f t="shared" si="12"/>
        <v>114.45000000000073</v>
      </c>
      <c r="H128">
        <f t="shared" si="14"/>
        <v>0</v>
      </c>
      <c r="I128" s="2">
        <f t="shared" si="15"/>
        <v>41.530838174760319</v>
      </c>
      <c r="J128" s="2">
        <f t="shared" si="16"/>
        <v>70.923098408905418</v>
      </c>
      <c r="K128" s="2">
        <f t="shared" si="17"/>
        <v>0.58557563200799934</v>
      </c>
      <c r="L128" s="2">
        <f t="shared" si="18"/>
        <v>36.931422266272882</v>
      </c>
    </row>
    <row r="129" spans="1:12" x14ac:dyDescent="0.25">
      <c r="A129" s="1">
        <v>45005</v>
      </c>
      <c r="B129">
        <v>17066.599999999999</v>
      </c>
      <c r="C129">
        <v>17066.599999999999</v>
      </c>
      <c r="D129">
        <v>16828.349999999999</v>
      </c>
      <c r="E129">
        <v>16988.400000000001</v>
      </c>
      <c r="F129">
        <f t="shared" si="13"/>
        <v>-111.64999999999782</v>
      </c>
      <c r="G129">
        <f t="shared" si="12"/>
        <v>0</v>
      </c>
      <c r="H129">
        <f t="shared" si="14"/>
        <v>111.64999999999782</v>
      </c>
      <c r="I129" s="2">
        <f t="shared" si="15"/>
        <v>38.56434973370601</v>
      </c>
      <c r="J129" s="2">
        <f t="shared" si="16"/>
        <v>73.83216280826916</v>
      </c>
      <c r="K129" s="2">
        <f t="shared" si="17"/>
        <v>0.52232452994573286</v>
      </c>
      <c r="L129" s="2">
        <f t="shared" si="18"/>
        <v>34.310984265907635</v>
      </c>
    </row>
    <row r="130" spans="1:12" x14ac:dyDescent="0.25">
      <c r="A130" s="1">
        <v>45006</v>
      </c>
      <c r="B130">
        <v>17060.400000000001</v>
      </c>
      <c r="C130">
        <v>17127.7</v>
      </c>
      <c r="D130">
        <v>17016</v>
      </c>
      <c r="E130">
        <v>17107.5</v>
      </c>
      <c r="F130">
        <f t="shared" si="13"/>
        <v>119.09999999999854</v>
      </c>
      <c r="G130">
        <f t="shared" si="12"/>
        <v>119.09999999999854</v>
      </c>
      <c r="H130">
        <f t="shared" si="14"/>
        <v>0</v>
      </c>
      <c r="I130" s="2">
        <f t="shared" si="15"/>
        <v>44.316896181298333</v>
      </c>
      <c r="J130" s="2">
        <f t="shared" si="16"/>
        <v>68.558436893392795</v>
      </c>
      <c r="K130" s="2">
        <f t="shared" si="17"/>
        <v>0.64641053952572392</v>
      </c>
      <c r="L130" s="2">
        <f t="shared" si="18"/>
        <v>39.261807672339934</v>
      </c>
    </row>
    <row r="131" spans="1:12" x14ac:dyDescent="0.25">
      <c r="A131" s="1">
        <v>45007</v>
      </c>
      <c r="B131">
        <v>17177.45</v>
      </c>
      <c r="C131">
        <v>17207.25</v>
      </c>
      <c r="D131">
        <v>17107.849999999999</v>
      </c>
      <c r="E131">
        <v>17151.900000000001</v>
      </c>
      <c r="F131">
        <f t="shared" si="13"/>
        <v>44.400000000001455</v>
      </c>
      <c r="G131">
        <f t="shared" ref="G131:G194" si="19">IF(F131&gt;0,F131,0)</f>
        <v>44.400000000001455</v>
      </c>
      <c r="H131">
        <f t="shared" si="14"/>
        <v>0</v>
      </c>
      <c r="I131" s="2">
        <f t="shared" si="15"/>
        <v>44.322832168348555</v>
      </c>
      <c r="J131" s="2">
        <f t="shared" si="16"/>
        <v>63.661405686721878</v>
      </c>
      <c r="K131" s="2">
        <f t="shared" si="17"/>
        <v>0.69622767028521881</v>
      </c>
      <c r="L131" s="2">
        <f t="shared" si="18"/>
        <v>41.045649854783285</v>
      </c>
    </row>
    <row r="132" spans="1:12" x14ac:dyDescent="0.25">
      <c r="A132" s="1">
        <v>45008</v>
      </c>
      <c r="B132">
        <v>17097.400000000001</v>
      </c>
      <c r="C132">
        <v>17205.400000000001</v>
      </c>
      <c r="D132">
        <v>17045.3</v>
      </c>
      <c r="E132">
        <v>17076.900000000001</v>
      </c>
      <c r="F132">
        <f t="shared" si="13"/>
        <v>-75</v>
      </c>
      <c r="G132">
        <f t="shared" si="19"/>
        <v>0</v>
      </c>
      <c r="H132">
        <f t="shared" si="14"/>
        <v>75</v>
      </c>
      <c r="I132" s="2">
        <f t="shared" si="15"/>
        <v>41.156915584895089</v>
      </c>
      <c r="J132" s="2">
        <f t="shared" si="16"/>
        <v>64.47130528052746</v>
      </c>
      <c r="K132" s="2">
        <f t="shared" si="17"/>
        <v>0.63837571468133258</v>
      </c>
      <c r="L132" s="2">
        <f t="shared" si="18"/>
        <v>38.963939037969567</v>
      </c>
    </row>
    <row r="133" spans="1:12" x14ac:dyDescent="0.25">
      <c r="A133" s="1">
        <v>45009</v>
      </c>
      <c r="B133">
        <v>17076.2</v>
      </c>
      <c r="C133">
        <v>17109.45</v>
      </c>
      <c r="D133">
        <v>16917.349999999999</v>
      </c>
      <c r="E133">
        <v>16945.05</v>
      </c>
      <c r="F133">
        <f t="shared" si="13"/>
        <v>-131.85000000000218</v>
      </c>
      <c r="G133">
        <f t="shared" si="19"/>
        <v>0</v>
      </c>
      <c r="H133">
        <f t="shared" si="14"/>
        <v>131.85000000000218</v>
      </c>
      <c r="I133" s="2">
        <f t="shared" si="15"/>
        <v>38.217135900259727</v>
      </c>
      <c r="J133" s="2">
        <f t="shared" si="16"/>
        <v>69.28406918906137</v>
      </c>
      <c r="K133" s="2">
        <f t="shared" si="17"/>
        <v>0.55160062547673627</v>
      </c>
      <c r="L133" s="2">
        <f t="shared" si="18"/>
        <v>35.550425568258234</v>
      </c>
    </row>
    <row r="134" spans="1:12" x14ac:dyDescent="0.25">
      <c r="A134" s="1">
        <v>45012</v>
      </c>
      <c r="B134">
        <v>16984.3</v>
      </c>
      <c r="C134">
        <v>17091</v>
      </c>
      <c r="D134">
        <v>16918.55</v>
      </c>
      <c r="E134">
        <v>16985.7</v>
      </c>
      <c r="F134">
        <f t="shared" si="13"/>
        <v>40.650000000001455</v>
      </c>
      <c r="G134">
        <f t="shared" si="19"/>
        <v>40.650000000001455</v>
      </c>
      <c r="H134">
        <f t="shared" si="14"/>
        <v>0</v>
      </c>
      <c r="I134" s="2">
        <f t="shared" si="15"/>
        <v>38.39091190738413</v>
      </c>
      <c r="J134" s="2">
        <f t="shared" si="16"/>
        <v>64.335207104128415</v>
      </c>
      <c r="K134" s="2">
        <f t="shared" si="17"/>
        <v>0.59673254560675182</v>
      </c>
      <c r="L134" s="2">
        <f t="shared" si="18"/>
        <v>37.372103878548799</v>
      </c>
    </row>
    <row r="135" spans="1:12" x14ac:dyDescent="0.25">
      <c r="A135" s="1">
        <v>45013</v>
      </c>
      <c r="B135">
        <v>17031.75</v>
      </c>
      <c r="C135">
        <v>17061.75</v>
      </c>
      <c r="D135">
        <v>16913.75</v>
      </c>
      <c r="E135">
        <v>16951.7</v>
      </c>
      <c r="F135">
        <f t="shared" si="13"/>
        <v>-34</v>
      </c>
      <c r="G135">
        <f t="shared" si="19"/>
        <v>0</v>
      </c>
      <c r="H135">
        <f t="shared" si="14"/>
        <v>34</v>
      </c>
      <c r="I135" s="2">
        <f t="shared" si="15"/>
        <v>35.648703913999547</v>
      </c>
      <c r="J135" s="2">
        <f t="shared" si="16"/>
        <v>62.168406596690666</v>
      </c>
      <c r="K135" s="2">
        <f t="shared" si="17"/>
        <v>0.57342154746326068</v>
      </c>
      <c r="L135" s="2">
        <f t="shared" si="18"/>
        <v>36.444241429625521</v>
      </c>
    </row>
    <row r="136" spans="1:12" x14ac:dyDescent="0.25">
      <c r="A136" s="1">
        <v>45014</v>
      </c>
      <c r="B136">
        <v>16977.3</v>
      </c>
      <c r="C136">
        <v>17126.150000000001</v>
      </c>
      <c r="D136">
        <v>16940.599999999999</v>
      </c>
      <c r="E136">
        <v>17080.7</v>
      </c>
      <c r="F136">
        <f t="shared" si="13"/>
        <v>129</v>
      </c>
      <c r="G136">
        <f t="shared" si="19"/>
        <v>129</v>
      </c>
      <c r="H136">
        <f t="shared" si="14"/>
        <v>0</v>
      </c>
      <c r="I136" s="2">
        <f t="shared" si="15"/>
        <v>42.316653634428157</v>
      </c>
      <c r="J136" s="2">
        <f t="shared" si="16"/>
        <v>57.727806125498475</v>
      </c>
      <c r="K136" s="2">
        <f t="shared" si="17"/>
        <v>0.73303762042217668</v>
      </c>
      <c r="L136" s="2">
        <f t="shared" si="18"/>
        <v>42.297848112703115</v>
      </c>
    </row>
    <row r="137" spans="1:12" x14ac:dyDescent="0.25">
      <c r="A137" s="1">
        <v>45016</v>
      </c>
      <c r="B137">
        <v>17210.349999999999</v>
      </c>
      <c r="C137">
        <v>17381.599999999999</v>
      </c>
      <c r="D137">
        <v>17204.650000000001</v>
      </c>
      <c r="E137">
        <v>17359.75</v>
      </c>
      <c r="F137">
        <f t="shared" si="13"/>
        <v>279.04999999999927</v>
      </c>
      <c r="G137">
        <f t="shared" si="19"/>
        <v>279.04999999999927</v>
      </c>
      <c r="H137">
        <f t="shared" si="14"/>
        <v>0</v>
      </c>
      <c r="I137" s="2">
        <f t="shared" si="15"/>
        <v>59.226178374826091</v>
      </c>
      <c r="J137" s="2">
        <f t="shared" si="16"/>
        <v>53.604391402248588</v>
      </c>
      <c r="K137" s="2">
        <f t="shared" si="17"/>
        <v>1.1048754929496631</v>
      </c>
      <c r="L137" s="2">
        <f t="shared" si="18"/>
        <v>52.491251698757161</v>
      </c>
    </row>
    <row r="138" spans="1:12" x14ac:dyDescent="0.25">
      <c r="A138" s="1">
        <v>45019</v>
      </c>
      <c r="B138">
        <v>17427.95</v>
      </c>
      <c r="C138">
        <v>17428.05</v>
      </c>
      <c r="D138">
        <v>17312.75</v>
      </c>
      <c r="E138">
        <v>17398.05</v>
      </c>
      <c r="F138">
        <f t="shared" si="13"/>
        <v>38.299999999999272</v>
      </c>
      <c r="G138">
        <f t="shared" si="19"/>
        <v>38.299999999999272</v>
      </c>
      <c r="H138">
        <f t="shared" si="14"/>
        <v>0</v>
      </c>
      <c r="I138" s="2">
        <f t="shared" si="15"/>
        <v>57.731451348052751</v>
      </c>
      <c r="J138" s="2">
        <f t="shared" si="16"/>
        <v>49.775506302087976</v>
      </c>
      <c r="K138" s="2">
        <f t="shared" si="17"/>
        <v>1.1598365468686562</v>
      </c>
      <c r="L138" s="2">
        <f t="shared" si="18"/>
        <v>53.700200070704156</v>
      </c>
    </row>
    <row r="139" spans="1:12" x14ac:dyDescent="0.25">
      <c r="A139" s="1">
        <v>45021</v>
      </c>
      <c r="B139">
        <v>17422.3</v>
      </c>
      <c r="C139">
        <v>17570.55</v>
      </c>
      <c r="D139">
        <v>17402.7</v>
      </c>
      <c r="E139">
        <v>17557.05</v>
      </c>
      <c r="F139">
        <f t="shared" si="13"/>
        <v>159</v>
      </c>
      <c r="G139">
        <f t="shared" si="19"/>
        <v>159</v>
      </c>
      <c r="H139">
        <f t="shared" si="14"/>
        <v>0</v>
      </c>
      <c r="I139" s="2">
        <f t="shared" si="15"/>
        <v>64.96491910890613</v>
      </c>
      <c r="J139" s="2">
        <f t="shared" si="16"/>
        <v>46.220112994795976</v>
      </c>
      <c r="K139" s="2">
        <f t="shared" si="17"/>
        <v>1.4055551771632553</v>
      </c>
      <c r="L139" s="2">
        <f t="shared" si="18"/>
        <v>58.429554661920186</v>
      </c>
    </row>
    <row r="140" spans="1:12" x14ac:dyDescent="0.25">
      <c r="A140" s="1">
        <v>45022</v>
      </c>
      <c r="B140">
        <v>17533.849999999999</v>
      </c>
      <c r="C140">
        <v>17638.7</v>
      </c>
      <c r="D140">
        <v>17502.849999999999</v>
      </c>
      <c r="E140">
        <v>17599.150000000001</v>
      </c>
      <c r="F140">
        <f t="shared" si="13"/>
        <v>42.100000000002183</v>
      </c>
      <c r="G140">
        <f t="shared" si="19"/>
        <v>42.100000000002183</v>
      </c>
      <c r="H140">
        <f t="shared" si="14"/>
        <v>0</v>
      </c>
      <c r="I140" s="2">
        <f t="shared" si="15"/>
        <v>63.331710601127277</v>
      </c>
      <c r="J140" s="2">
        <f t="shared" si="16"/>
        <v>42.918676352310548</v>
      </c>
      <c r="K140" s="2">
        <f t="shared" si="17"/>
        <v>1.4756212442632282</v>
      </c>
      <c r="L140" s="2">
        <f t="shared" si="18"/>
        <v>59.606098779556611</v>
      </c>
    </row>
    <row r="141" spans="1:12" x14ac:dyDescent="0.25">
      <c r="A141" s="1">
        <v>45026</v>
      </c>
      <c r="B141">
        <v>17634.900000000001</v>
      </c>
      <c r="C141">
        <v>17694.099999999999</v>
      </c>
      <c r="D141">
        <v>17597.95</v>
      </c>
      <c r="E141">
        <v>17624.05</v>
      </c>
      <c r="F141">
        <f t="shared" si="13"/>
        <v>24.899999999997817</v>
      </c>
      <c r="G141">
        <f t="shared" si="19"/>
        <v>24.899999999997817</v>
      </c>
      <c r="H141">
        <f t="shared" si="14"/>
        <v>0</v>
      </c>
      <c r="I141" s="2">
        <f t="shared" si="15"/>
        <v>60.586588415332315</v>
      </c>
      <c r="J141" s="2">
        <f t="shared" si="16"/>
        <v>39.853056612859795</v>
      </c>
      <c r="K141" s="2">
        <f t="shared" si="17"/>
        <v>1.5202494755642462</v>
      </c>
      <c r="L141" s="2">
        <f t="shared" si="18"/>
        <v>60.321388430162656</v>
      </c>
    </row>
    <row r="142" spans="1:12" x14ac:dyDescent="0.25">
      <c r="A142" s="1">
        <v>45027</v>
      </c>
      <c r="B142">
        <v>17704.8</v>
      </c>
      <c r="C142">
        <v>17748.75</v>
      </c>
      <c r="D142">
        <v>17655.150000000001</v>
      </c>
      <c r="E142">
        <v>17722.3</v>
      </c>
      <c r="F142">
        <f t="shared" si="13"/>
        <v>98.25</v>
      </c>
      <c r="G142">
        <f t="shared" si="19"/>
        <v>98.25</v>
      </c>
      <c r="H142">
        <f t="shared" si="14"/>
        <v>0</v>
      </c>
      <c r="I142" s="2">
        <f t="shared" si="15"/>
        <v>63.276832099951434</v>
      </c>
      <c r="J142" s="2">
        <f t="shared" si="16"/>
        <v>37.006409711941238</v>
      </c>
      <c r="K142" s="2">
        <f t="shared" si="17"/>
        <v>1.7098884380435655</v>
      </c>
      <c r="L142" s="2">
        <f t="shared" si="18"/>
        <v>63.098111864635975</v>
      </c>
    </row>
    <row r="143" spans="1:12" x14ac:dyDescent="0.25">
      <c r="A143" s="1">
        <v>45028</v>
      </c>
      <c r="B143">
        <v>17759.55</v>
      </c>
      <c r="C143">
        <v>17825.75</v>
      </c>
      <c r="D143">
        <v>17717.25</v>
      </c>
      <c r="E143">
        <v>17812.400000000001</v>
      </c>
      <c r="F143">
        <f t="shared" si="13"/>
        <v>90.100000000002183</v>
      </c>
      <c r="G143">
        <f t="shared" si="19"/>
        <v>90.100000000002183</v>
      </c>
      <c r="H143">
        <f t="shared" si="14"/>
        <v>0</v>
      </c>
      <c r="I143" s="2">
        <f t="shared" si="15"/>
        <v>65.192772664240778</v>
      </c>
      <c r="J143" s="2">
        <f t="shared" si="16"/>
        <v>34.363094732516863</v>
      </c>
      <c r="K143" s="2">
        <f t="shared" si="17"/>
        <v>1.8971740808475737</v>
      </c>
      <c r="L143" s="2">
        <f t="shared" si="18"/>
        <v>65.48360671142521</v>
      </c>
    </row>
    <row r="144" spans="1:12" x14ac:dyDescent="0.25">
      <c r="A144" s="1">
        <v>45029</v>
      </c>
      <c r="B144">
        <v>17807.3</v>
      </c>
      <c r="C144">
        <v>17842.150000000001</v>
      </c>
      <c r="D144">
        <v>17729.650000000001</v>
      </c>
      <c r="E144">
        <v>17828</v>
      </c>
      <c r="F144">
        <f t="shared" si="13"/>
        <v>15.599999999998545</v>
      </c>
      <c r="G144">
        <f t="shared" si="19"/>
        <v>15.599999999998545</v>
      </c>
      <c r="H144">
        <f t="shared" si="14"/>
        <v>0</v>
      </c>
      <c r="I144" s="2">
        <f t="shared" si="15"/>
        <v>61.650431759652051</v>
      </c>
      <c r="J144" s="2">
        <f t="shared" si="16"/>
        <v>31.908587965908517</v>
      </c>
      <c r="K144" s="2">
        <f t="shared" si="17"/>
        <v>1.9320952661872737</v>
      </c>
      <c r="L144" s="2">
        <f t="shared" si="18"/>
        <v>65.894696139926509</v>
      </c>
    </row>
    <row r="145" spans="1:12" x14ac:dyDescent="0.25">
      <c r="A145" s="1">
        <v>45033</v>
      </c>
      <c r="B145">
        <v>17863</v>
      </c>
      <c r="C145">
        <v>17863</v>
      </c>
      <c r="D145">
        <v>17574.05</v>
      </c>
      <c r="E145">
        <v>17706.849999999999</v>
      </c>
      <c r="F145">
        <f t="shared" si="13"/>
        <v>-121.15000000000146</v>
      </c>
      <c r="G145">
        <f t="shared" si="19"/>
        <v>0</v>
      </c>
      <c r="H145">
        <f t="shared" si="14"/>
        <v>121.15000000000146</v>
      </c>
      <c r="I145" s="2">
        <f t="shared" si="15"/>
        <v>57.246829491105473</v>
      </c>
      <c r="J145" s="2">
        <f t="shared" si="16"/>
        <v>38.282974539772297</v>
      </c>
      <c r="K145" s="2">
        <f t="shared" si="17"/>
        <v>1.4953600178489674</v>
      </c>
      <c r="L145" s="2">
        <f t="shared" si="18"/>
        <v>59.925622240993789</v>
      </c>
    </row>
    <row r="146" spans="1:12" x14ac:dyDescent="0.25">
      <c r="A146" s="1">
        <v>45034</v>
      </c>
      <c r="B146">
        <v>17766.599999999999</v>
      </c>
      <c r="C146">
        <v>17766.599999999999</v>
      </c>
      <c r="D146">
        <v>17610.2</v>
      </c>
      <c r="E146">
        <v>17660.150000000001</v>
      </c>
      <c r="F146">
        <f t="shared" si="13"/>
        <v>-46.69999999999709</v>
      </c>
      <c r="G146">
        <f t="shared" si="19"/>
        <v>0</v>
      </c>
      <c r="H146">
        <f t="shared" si="14"/>
        <v>46.69999999999709</v>
      </c>
      <c r="I146" s="2">
        <f t="shared" si="15"/>
        <v>53.157770241740799</v>
      </c>
      <c r="J146" s="2">
        <f t="shared" si="16"/>
        <v>38.884190644074067</v>
      </c>
      <c r="K146" s="2">
        <f t="shared" si="17"/>
        <v>1.3670792515220327</v>
      </c>
      <c r="L146" s="2">
        <f t="shared" si="18"/>
        <v>57.753843714484859</v>
      </c>
    </row>
    <row r="147" spans="1:12" x14ac:dyDescent="0.25">
      <c r="A147" s="1">
        <v>45035</v>
      </c>
      <c r="B147">
        <v>17653.349999999999</v>
      </c>
      <c r="C147">
        <v>17666.150000000001</v>
      </c>
      <c r="D147">
        <v>17579.849999999999</v>
      </c>
      <c r="E147">
        <v>17618.75</v>
      </c>
      <c r="F147">
        <f t="shared" si="13"/>
        <v>-41.400000000001455</v>
      </c>
      <c r="G147">
        <f t="shared" si="19"/>
        <v>0</v>
      </c>
      <c r="H147">
        <f t="shared" si="14"/>
        <v>41.400000000001455</v>
      </c>
      <c r="I147" s="2">
        <f t="shared" si="15"/>
        <v>49.360786653045025</v>
      </c>
      <c r="J147" s="2">
        <f t="shared" si="16"/>
        <v>39.063891312354599</v>
      </c>
      <c r="K147" s="2">
        <f t="shared" si="17"/>
        <v>1.2635911322391444</v>
      </c>
      <c r="L147" s="2">
        <f t="shared" si="18"/>
        <v>55.822410427505076</v>
      </c>
    </row>
    <row r="148" spans="1:12" x14ac:dyDescent="0.25">
      <c r="A148" s="1">
        <v>45036</v>
      </c>
      <c r="B148">
        <v>17638.599999999999</v>
      </c>
      <c r="C148">
        <v>17684.45</v>
      </c>
      <c r="D148">
        <v>17584.349999999999</v>
      </c>
      <c r="E148">
        <v>17624.45</v>
      </c>
      <c r="F148">
        <f t="shared" si="13"/>
        <v>5.7000000000007276</v>
      </c>
      <c r="G148">
        <f t="shared" si="19"/>
        <v>5.7000000000007276</v>
      </c>
      <c r="H148">
        <f t="shared" si="14"/>
        <v>0</v>
      </c>
      <c r="I148" s="2">
        <f t="shared" si="15"/>
        <v>46.242159034970435</v>
      </c>
      <c r="J148" s="2">
        <f t="shared" si="16"/>
        <v>36.27361336147213</v>
      </c>
      <c r="K148" s="2">
        <f t="shared" si="17"/>
        <v>1.2748153478441813</v>
      </c>
      <c r="L148" s="2">
        <f t="shared" si="18"/>
        <v>56.040388027639715</v>
      </c>
    </row>
    <row r="149" spans="1:12" x14ac:dyDescent="0.25">
      <c r="A149" s="1">
        <v>45037</v>
      </c>
      <c r="B149">
        <v>17639.75</v>
      </c>
      <c r="C149">
        <v>17663.2</v>
      </c>
      <c r="D149">
        <v>17553.95</v>
      </c>
      <c r="E149">
        <v>17624.05</v>
      </c>
      <c r="F149">
        <f t="shared" si="13"/>
        <v>-0.40000000000145519</v>
      </c>
      <c r="G149">
        <f t="shared" si="19"/>
        <v>0</v>
      </c>
      <c r="H149">
        <f t="shared" si="14"/>
        <v>0.40000000000145519</v>
      </c>
      <c r="I149" s="2">
        <f t="shared" si="15"/>
        <v>42.939147675329693</v>
      </c>
      <c r="J149" s="2">
        <f t="shared" si="16"/>
        <v>33.711212407081369</v>
      </c>
      <c r="K149" s="2">
        <f t="shared" si="17"/>
        <v>1.2737348973634037</v>
      </c>
      <c r="L149" s="2">
        <f t="shared" si="18"/>
        <v>56.019498967993663</v>
      </c>
    </row>
    <row r="150" spans="1:12" x14ac:dyDescent="0.25">
      <c r="A150" s="1">
        <v>45040</v>
      </c>
      <c r="B150">
        <v>17707.55</v>
      </c>
      <c r="C150">
        <v>17754.5</v>
      </c>
      <c r="D150">
        <v>17612.5</v>
      </c>
      <c r="E150">
        <v>17743.400000000001</v>
      </c>
      <c r="F150">
        <f t="shared" si="13"/>
        <v>119.35000000000218</v>
      </c>
      <c r="G150">
        <f t="shared" si="19"/>
        <v>119.35000000000218</v>
      </c>
      <c r="H150">
        <f t="shared" si="14"/>
        <v>0</v>
      </c>
      <c r="I150" s="2">
        <f t="shared" si="15"/>
        <v>48.397065698520585</v>
      </c>
      <c r="J150" s="2">
        <f t="shared" si="16"/>
        <v>31.303268663718416</v>
      </c>
      <c r="K150" s="2">
        <f t="shared" si="17"/>
        <v>1.5460706745495392</v>
      </c>
      <c r="L150" s="2">
        <f t="shared" si="18"/>
        <v>60.723792548416831</v>
      </c>
    </row>
    <row r="151" spans="1:12" x14ac:dyDescent="0.25">
      <c r="A151" s="1">
        <v>45041</v>
      </c>
      <c r="B151">
        <v>17761.55</v>
      </c>
      <c r="C151">
        <v>17807.45</v>
      </c>
      <c r="D151">
        <v>17716.849999999999</v>
      </c>
      <c r="E151">
        <v>17769.25</v>
      </c>
      <c r="F151">
        <f t="shared" si="13"/>
        <v>25.849999999998545</v>
      </c>
      <c r="G151">
        <f t="shared" si="19"/>
        <v>25.849999999998545</v>
      </c>
      <c r="H151">
        <f t="shared" si="14"/>
        <v>0</v>
      </c>
      <c r="I151" s="2">
        <f t="shared" si="15"/>
        <v>46.786561005769009</v>
      </c>
      <c r="J151" s="2">
        <f t="shared" si="16"/>
        <v>29.067320902024246</v>
      </c>
      <c r="K151" s="2">
        <f t="shared" si="17"/>
        <v>1.6095931635209901</v>
      </c>
      <c r="L151" s="2">
        <f t="shared" si="18"/>
        <v>61.679850561428076</v>
      </c>
    </row>
    <row r="152" spans="1:12" x14ac:dyDescent="0.25">
      <c r="A152" s="1">
        <v>45042</v>
      </c>
      <c r="B152">
        <v>17767.3</v>
      </c>
      <c r="C152">
        <v>17827.75</v>
      </c>
      <c r="D152">
        <v>17711.2</v>
      </c>
      <c r="E152">
        <v>17813.599999999999</v>
      </c>
      <c r="F152">
        <f t="shared" si="13"/>
        <v>44.349999999998545</v>
      </c>
      <c r="G152">
        <f t="shared" si="19"/>
        <v>44.349999999998545</v>
      </c>
      <c r="H152">
        <f t="shared" si="14"/>
        <v>0</v>
      </c>
      <c r="I152" s="2">
        <f t="shared" si="15"/>
        <v>46.612520933928259</v>
      </c>
      <c r="J152" s="2">
        <f t="shared" si="16"/>
        <v>26.991083694736801</v>
      </c>
      <c r="K152" s="2">
        <f t="shared" si="17"/>
        <v>1.7269599643017517</v>
      </c>
      <c r="L152" s="2">
        <f t="shared" si="18"/>
        <v>63.329127926670765</v>
      </c>
    </row>
    <row r="153" spans="1:12" x14ac:dyDescent="0.25">
      <c r="A153" s="1">
        <v>45043</v>
      </c>
      <c r="B153">
        <v>17813.099999999999</v>
      </c>
      <c r="C153">
        <v>17931.599999999999</v>
      </c>
      <c r="D153">
        <v>17797.900000000001</v>
      </c>
      <c r="E153">
        <v>17915.05</v>
      </c>
      <c r="F153">
        <f t="shared" si="13"/>
        <v>101.45000000000073</v>
      </c>
      <c r="G153">
        <f t="shared" si="19"/>
        <v>101.45000000000073</v>
      </c>
      <c r="H153">
        <f t="shared" si="14"/>
        <v>0</v>
      </c>
      <c r="I153" s="2">
        <f t="shared" si="15"/>
        <v>50.529483724362009</v>
      </c>
      <c r="J153" s="2">
        <f t="shared" si="16"/>
        <v>25.063149145112742</v>
      </c>
      <c r="K153" s="2">
        <f t="shared" si="17"/>
        <v>2.01608678270245</v>
      </c>
      <c r="L153" s="2">
        <f t="shared" si="18"/>
        <v>66.844455347402572</v>
      </c>
    </row>
    <row r="154" spans="1:12" x14ac:dyDescent="0.25">
      <c r="A154" s="1">
        <v>45044</v>
      </c>
      <c r="B154">
        <v>17950.400000000001</v>
      </c>
      <c r="C154">
        <v>18089.150000000001</v>
      </c>
      <c r="D154">
        <v>17885.3</v>
      </c>
      <c r="E154">
        <v>18065</v>
      </c>
      <c r="F154">
        <f t="shared" si="13"/>
        <v>149.95000000000073</v>
      </c>
      <c r="G154">
        <f t="shared" si="19"/>
        <v>149.95000000000073</v>
      </c>
      <c r="H154">
        <f t="shared" si="14"/>
        <v>0</v>
      </c>
      <c r="I154" s="2">
        <f t="shared" si="15"/>
        <v>57.630949172621918</v>
      </c>
      <c r="J154" s="2">
        <f t="shared" si="16"/>
        <v>23.272924206176118</v>
      </c>
      <c r="K154" s="2">
        <f t="shared" si="17"/>
        <v>2.4763088927745462</v>
      </c>
      <c r="L154" s="2">
        <f t="shared" si="18"/>
        <v>71.233856632289374</v>
      </c>
    </row>
    <row r="155" spans="1:12" x14ac:dyDescent="0.25">
      <c r="A155" s="1">
        <v>45048</v>
      </c>
      <c r="B155">
        <v>18124.8</v>
      </c>
      <c r="C155">
        <v>18180.25</v>
      </c>
      <c r="D155">
        <v>18101.75</v>
      </c>
      <c r="E155">
        <v>18147.650000000001</v>
      </c>
      <c r="F155">
        <f t="shared" si="13"/>
        <v>82.650000000001455</v>
      </c>
      <c r="G155">
        <f t="shared" si="19"/>
        <v>82.650000000001455</v>
      </c>
      <c r="H155">
        <f t="shared" si="14"/>
        <v>0</v>
      </c>
      <c r="I155" s="2">
        <f t="shared" si="15"/>
        <v>59.418024231720452</v>
      </c>
      <c r="J155" s="2">
        <f t="shared" si="16"/>
        <v>21.61057247716354</v>
      </c>
      <c r="K155" s="2">
        <f t="shared" si="17"/>
        <v>2.7494886724777441</v>
      </c>
      <c r="L155" s="2">
        <f t="shared" si="18"/>
        <v>73.329696730643064</v>
      </c>
    </row>
    <row r="156" spans="1:12" x14ac:dyDescent="0.25">
      <c r="A156" s="1">
        <v>45049</v>
      </c>
      <c r="B156">
        <v>18113.8</v>
      </c>
      <c r="C156">
        <v>18116.349999999999</v>
      </c>
      <c r="D156">
        <v>18042.400000000001</v>
      </c>
      <c r="E156">
        <v>18089.849999999999</v>
      </c>
      <c r="F156">
        <f t="shared" ref="F156:F219" si="20">E156-E155</f>
        <v>-57.80000000000291</v>
      </c>
      <c r="G156">
        <f t="shared" si="19"/>
        <v>0</v>
      </c>
      <c r="H156">
        <f t="shared" ref="H156:H219" si="21">IF(F156&lt;0,ABS(F156),0)</f>
        <v>57.80000000000291</v>
      </c>
      <c r="I156" s="2">
        <f t="shared" ref="I156:I219" si="22">(I155*13+G156 )/14</f>
        <v>55.17387964374042</v>
      </c>
      <c r="J156" s="2">
        <f t="shared" ref="J156:J219" si="23">(J155*13+H156 )/14</f>
        <v>24.195531585937779</v>
      </c>
      <c r="K156" s="2">
        <f t="shared" ref="K156:K219" si="24">I156/J156</f>
        <v>2.2803334346167858</v>
      </c>
      <c r="L156" s="2">
        <f t="shared" ref="L156:L219" si="25">IF(J156=0,100,100-(100/(1+K156)))</f>
        <v>69.515294102508761</v>
      </c>
    </row>
    <row r="157" spans="1:12" x14ac:dyDescent="0.25">
      <c r="A157" s="1">
        <v>45050</v>
      </c>
      <c r="B157">
        <v>18081</v>
      </c>
      <c r="C157">
        <v>18267.45</v>
      </c>
      <c r="D157">
        <v>18066.7</v>
      </c>
      <c r="E157">
        <v>18255.8</v>
      </c>
      <c r="F157">
        <f t="shared" si="20"/>
        <v>165.95000000000073</v>
      </c>
      <c r="G157">
        <f t="shared" si="19"/>
        <v>165.95000000000073</v>
      </c>
      <c r="H157">
        <f t="shared" si="21"/>
        <v>0</v>
      </c>
      <c r="I157" s="2">
        <f t="shared" si="22"/>
        <v>63.08645966918759</v>
      </c>
      <c r="J157" s="2">
        <f t="shared" si="23"/>
        <v>22.467279329799368</v>
      </c>
      <c r="K157" s="2">
        <f t="shared" si="24"/>
        <v>2.8079260841126041</v>
      </c>
      <c r="L157" s="2">
        <f t="shared" si="25"/>
        <v>73.738986054057321</v>
      </c>
    </row>
    <row r="158" spans="1:12" x14ac:dyDescent="0.25">
      <c r="A158" s="1">
        <v>45051</v>
      </c>
      <c r="B158">
        <v>18117.3</v>
      </c>
      <c r="C158">
        <v>18216.95</v>
      </c>
      <c r="D158">
        <v>18055.45</v>
      </c>
      <c r="E158">
        <v>18069</v>
      </c>
      <c r="F158">
        <f t="shared" si="20"/>
        <v>-186.79999999999927</v>
      </c>
      <c r="G158">
        <f t="shared" si="19"/>
        <v>0</v>
      </c>
      <c r="H158">
        <f t="shared" si="21"/>
        <v>186.79999999999927</v>
      </c>
      <c r="I158" s="2">
        <f t="shared" si="22"/>
        <v>58.580283978531334</v>
      </c>
      <c r="J158" s="2">
        <f t="shared" si="23"/>
        <v>34.205330806242216</v>
      </c>
      <c r="K158" s="2">
        <f t="shared" si="24"/>
        <v>1.7126068538954422</v>
      </c>
      <c r="L158" s="2">
        <f t="shared" si="25"/>
        <v>63.13509277749008</v>
      </c>
    </row>
    <row r="159" spans="1:12" x14ac:dyDescent="0.25">
      <c r="A159" s="1">
        <v>45054</v>
      </c>
      <c r="B159">
        <v>18120.599999999999</v>
      </c>
      <c r="C159">
        <v>18286.95</v>
      </c>
      <c r="D159">
        <v>18100.3</v>
      </c>
      <c r="E159">
        <v>18264.400000000001</v>
      </c>
      <c r="F159">
        <f t="shared" si="20"/>
        <v>195.40000000000146</v>
      </c>
      <c r="G159">
        <f t="shared" si="19"/>
        <v>195.40000000000146</v>
      </c>
      <c r="H159">
        <f t="shared" si="21"/>
        <v>0</v>
      </c>
      <c r="I159" s="2">
        <f t="shared" si="22"/>
        <v>68.353120837207769</v>
      </c>
      <c r="J159" s="2">
        <f t="shared" si="23"/>
        <v>31.76209289151063</v>
      </c>
      <c r="K159" s="2">
        <f t="shared" si="24"/>
        <v>2.1520345359696744</v>
      </c>
      <c r="L159" s="2">
        <f t="shared" si="25"/>
        <v>68.274459286901006</v>
      </c>
    </row>
    <row r="160" spans="1:12" x14ac:dyDescent="0.25">
      <c r="A160" s="1">
        <v>45055</v>
      </c>
      <c r="B160">
        <v>18303.400000000001</v>
      </c>
      <c r="C160">
        <v>18344.2</v>
      </c>
      <c r="D160">
        <v>18229.650000000001</v>
      </c>
      <c r="E160">
        <v>18265.95</v>
      </c>
      <c r="F160">
        <f t="shared" si="20"/>
        <v>1.5499999999992724</v>
      </c>
      <c r="G160">
        <f t="shared" si="19"/>
        <v>1.5499999999992724</v>
      </c>
      <c r="H160">
        <f t="shared" si="21"/>
        <v>0</v>
      </c>
      <c r="I160" s="2">
        <f t="shared" si="22"/>
        <v>63.581469348835739</v>
      </c>
      <c r="J160" s="2">
        <f t="shared" si="23"/>
        <v>29.49337197068844</v>
      </c>
      <c r="K160" s="2">
        <f t="shared" si="24"/>
        <v>2.1557884060196733</v>
      </c>
      <c r="L160" s="2">
        <f t="shared" si="25"/>
        <v>68.312197418163464</v>
      </c>
    </row>
    <row r="161" spans="1:12" x14ac:dyDescent="0.25">
      <c r="A161" s="1">
        <v>45056</v>
      </c>
      <c r="B161">
        <v>18313.599999999999</v>
      </c>
      <c r="C161">
        <v>18326.75</v>
      </c>
      <c r="D161">
        <v>18211.95</v>
      </c>
      <c r="E161">
        <v>18315.099999999999</v>
      </c>
      <c r="F161">
        <f t="shared" si="20"/>
        <v>49.149999999997817</v>
      </c>
      <c r="G161">
        <f t="shared" si="19"/>
        <v>49.149999999997817</v>
      </c>
      <c r="H161">
        <f t="shared" si="21"/>
        <v>0</v>
      </c>
      <c r="I161" s="2">
        <f t="shared" si="22"/>
        <v>62.550650109633025</v>
      </c>
      <c r="J161" s="2">
        <f t="shared" si="23"/>
        <v>27.386702544210692</v>
      </c>
      <c r="K161" s="2">
        <f t="shared" si="24"/>
        <v>2.2839788765608691</v>
      </c>
      <c r="L161" s="2">
        <f t="shared" si="25"/>
        <v>69.549134218328305</v>
      </c>
    </row>
    <row r="162" spans="1:12" x14ac:dyDescent="0.25">
      <c r="A162" s="1">
        <v>45057</v>
      </c>
      <c r="B162">
        <v>18357.8</v>
      </c>
      <c r="C162">
        <v>18389.7</v>
      </c>
      <c r="D162">
        <v>18270.400000000001</v>
      </c>
      <c r="E162">
        <v>18297</v>
      </c>
      <c r="F162">
        <f t="shared" si="20"/>
        <v>-18.099999999998545</v>
      </c>
      <c r="G162">
        <f t="shared" si="19"/>
        <v>0</v>
      </c>
      <c r="H162">
        <f t="shared" si="21"/>
        <v>18.099999999998545</v>
      </c>
      <c r="I162" s="2">
        <f t="shared" si="22"/>
        <v>58.082746530373527</v>
      </c>
      <c r="J162" s="2">
        <f t="shared" si="23"/>
        <v>26.72336664819554</v>
      </c>
      <c r="K162" s="2">
        <f t="shared" si="24"/>
        <v>2.1734816310764304</v>
      </c>
      <c r="L162" s="2">
        <f t="shared" si="25"/>
        <v>68.488867551415296</v>
      </c>
    </row>
    <row r="163" spans="1:12" x14ac:dyDescent="0.25">
      <c r="A163" s="1">
        <v>45058</v>
      </c>
      <c r="B163">
        <v>18273.75</v>
      </c>
      <c r="C163">
        <v>18342.75</v>
      </c>
      <c r="D163">
        <v>18194.55</v>
      </c>
      <c r="E163">
        <v>18314.8</v>
      </c>
      <c r="F163">
        <f t="shared" si="20"/>
        <v>17.799999999999272</v>
      </c>
      <c r="G163">
        <f t="shared" si="19"/>
        <v>17.799999999999272</v>
      </c>
      <c r="H163">
        <f t="shared" si="21"/>
        <v>0</v>
      </c>
      <c r="I163" s="2">
        <f t="shared" si="22"/>
        <v>55.205407492489648</v>
      </c>
      <c r="J163" s="2">
        <f t="shared" si="23"/>
        <v>24.814554744753</v>
      </c>
      <c r="K163" s="2">
        <f t="shared" si="24"/>
        <v>2.2247188418386892</v>
      </c>
      <c r="L163" s="2">
        <f t="shared" si="25"/>
        <v>68.989544544918715</v>
      </c>
    </row>
    <row r="164" spans="1:12" x14ac:dyDescent="0.25">
      <c r="A164" s="1">
        <v>45061</v>
      </c>
      <c r="B164">
        <v>18339.3</v>
      </c>
      <c r="C164">
        <v>18458.900000000001</v>
      </c>
      <c r="D164">
        <v>18287.900000000001</v>
      </c>
      <c r="E164">
        <v>18398.849999999999</v>
      </c>
      <c r="F164">
        <f t="shared" si="20"/>
        <v>84.049999999999272</v>
      </c>
      <c r="G164">
        <f t="shared" si="19"/>
        <v>84.049999999999272</v>
      </c>
      <c r="H164">
        <f t="shared" si="21"/>
        <v>0</v>
      </c>
      <c r="I164" s="2">
        <f t="shared" si="22"/>
        <v>57.265735528740336</v>
      </c>
      <c r="J164" s="2">
        <f t="shared" si="23"/>
        <v>23.042086548699213</v>
      </c>
      <c r="K164" s="2">
        <f t="shared" si="24"/>
        <v>2.4852669226682136</v>
      </c>
      <c r="L164" s="2">
        <f t="shared" si="25"/>
        <v>71.307792998694325</v>
      </c>
    </row>
    <row r="165" spans="1:12" x14ac:dyDescent="0.25">
      <c r="A165" s="1">
        <v>45062</v>
      </c>
      <c r="B165">
        <v>18432.349999999999</v>
      </c>
      <c r="C165">
        <v>18432.349999999999</v>
      </c>
      <c r="D165">
        <v>18264.349999999999</v>
      </c>
      <c r="E165">
        <v>18286.5</v>
      </c>
      <c r="F165">
        <f t="shared" si="20"/>
        <v>-112.34999999999854</v>
      </c>
      <c r="G165">
        <f t="shared" si="19"/>
        <v>0</v>
      </c>
      <c r="H165">
        <f t="shared" si="21"/>
        <v>112.34999999999854</v>
      </c>
      <c r="I165" s="2">
        <f t="shared" si="22"/>
        <v>53.175325848116024</v>
      </c>
      <c r="J165" s="2">
        <f t="shared" si="23"/>
        <v>29.421223223792023</v>
      </c>
      <c r="K165" s="2">
        <f t="shared" si="24"/>
        <v>1.807379844258644</v>
      </c>
      <c r="L165" s="2">
        <f t="shared" si="25"/>
        <v>64.379597508150027</v>
      </c>
    </row>
    <row r="166" spans="1:12" x14ac:dyDescent="0.25">
      <c r="A166" s="1">
        <v>45063</v>
      </c>
      <c r="B166">
        <v>18300.45</v>
      </c>
      <c r="C166">
        <v>18309</v>
      </c>
      <c r="D166">
        <v>18115.349999999999</v>
      </c>
      <c r="E166">
        <v>18181.75</v>
      </c>
      <c r="F166">
        <f t="shared" si="20"/>
        <v>-104.75</v>
      </c>
      <c r="G166">
        <f t="shared" si="19"/>
        <v>0</v>
      </c>
      <c r="H166">
        <f t="shared" si="21"/>
        <v>104.75</v>
      </c>
      <c r="I166" s="2">
        <f t="shared" si="22"/>
        <v>49.37708828753631</v>
      </c>
      <c r="J166" s="2">
        <f t="shared" si="23"/>
        <v>34.801850136378306</v>
      </c>
      <c r="K166" s="2">
        <f t="shared" si="24"/>
        <v>1.4188064167290502</v>
      </c>
      <c r="L166" s="2">
        <f t="shared" si="25"/>
        <v>58.657295057439981</v>
      </c>
    </row>
    <row r="167" spans="1:12" x14ac:dyDescent="0.25">
      <c r="A167" s="1">
        <v>45064</v>
      </c>
      <c r="B167">
        <v>18287.5</v>
      </c>
      <c r="C167">
        <v>18297.2</v>
      </c>
      <c r="D167">
        <v>18104.849999999999</v>
      </c>
      <c r="E167">
        <v>18129.95</v>
      </c>
      <c r="F167">
        <f t="shared" si="20"/>
        <v>-51.799999999999272</v>
      </c>
      <c r="G167">
        <f t="shared" si="19"/>
        <v>0</v>
      </c>
      <c r="H167">
        <f t="shared" si="21"/>
        <v>51.799999999999272</v>
      </c>
      <c r="I167" s="2">
        <f t="shared" si="22"/>
        <v>45.850153409855139</v>
      </c>
      <c r="J167" s="2">
        <f t="shared" si="23"/>
        <v>36.016003698065518</v>
      </c>
      <c r="K167" s="2">
        <f t="shared" si="24"/>
        <v>1.2730494419712044</v>
      </c>
      <c r="L167" s="2">
        <f t="shared" si="25"/>
        <v>56.006236312537354</v>
      </c>
    </row>
    <row r="168" spans="1:12" x14ac:dyDescent="0.25">
      <c r="A168" s="1">
        <v>45065</v>
      </c>
      <c r="B168">
        <v>18186.150000000001</v>
      </c>
      <c r="C168">
        <v>18218.099999999999</v>
      </c>
      <c r="D168">
        <v>18060.400000000001</v>
      </c>
      <c r="E168">
        <v>18203.400000000001</v>
      </c>
      <c r="F168">
        <f t="shared" si="20"/>
        <v>73.450000000000728</v>
      </c>
      <c r="G168">
        <f t="shared" si="19"/>
        <v>73.450000000000728</v>
      </c>
      <c r="H168">
        <f t="shared" si="21"/>
        <v>0</v>
      </c>
      <c r="I168" s="2">
        <f t="shared" si="22"/>
        <v>47.821571023436967</v>
      </c>
      <c r="J168" s="2">
        <f t="shared" si="23"/>
        <v>33.443432005346551</v>
      </c>
      <c r="K168" s="2">
        <f t="shared" si="24"/>
        <v>1.4299241482091851</v>
      </c>
      <c r="L168" s="2">
        <f t="shared" si="25"/>
        <v>58.846452028678186</v>
      </c>
    </row>
    <row r="169" spans="1:12" x14ac:dyDescent="0.25">
      <c r="A169" s="1">
        <v>45068</v>
      </c>
      <c r="B169">
        <v>18201.099999999999</v>
      </c>
      <c r="C169">
        <v>18335.25</v>
      </c>
      <c r="D169">
        <v>18178.849999999999</v>
      </c>
      <c r="E169">
        <v>18314.400000000001</v>
      </c>
      <c r="F169">
        <f t="shared" si="20"/>
        <v>111</v>
      </c>
      <c r="G169">
        <f t="shared" si="19"/>
        <v>111</v>
      </c>
      <c r="H169">
        <f t="shared" si="21"/>
        <v>0</v>
      </c>
      <c r="I169" s="2">
        <f t="shared" si="22"/>
        <v>52.334315950334322</v>
      </c>
      <c r="J169" s="2">
        <f t="shared" si="23"/>
        <v>31.054615433536082</v>
      </c>
      <c r="K169" s="2">
        <f t="shared" si="24"/>
        <v>1.685234713736566</v>
      </c>
      <c r="L169" s="2">
        <f t="shared" si="25"/>
        <v>62.759307598534768</v>
      </c>
    </row>
    <row r="170" spans="1:12" x14ac:dyDescent="0.25">
      <c r="A170" s="1">
        <v>45069</v>
      </c>
      <c r="B170">
        <v>18362.900000000001</v>
      </c>
      <c r="C170">
        <v>18419.75</v>
      </c>
      <c r="D170">
        <v>18324.2</v>
      </c>
      <c r="E170">
        <v>18348</v>
      </c>
      <c r="F170">
        <f t="shared" si="20"/>
        <v>33.599999999998545</v>
      </c>
      <c r="G170">
        <f t="shared" si="19"/>
        <v>33.599999999998545</v>
      </c>
      <c r="H170">
        <f t="shared" si="21"/>
        <v>0</v>
      </c>
      <c r="I170" s="2">
        <f t="shared" si="22"/>
        <v>50.996150525310334</v>
      </c>
      <c r="J170" s="2">
        <f t="shared" si="23"/>
        <v>28.836428616854931</v>
      </c>
      <c r="K170" s="2">
        <f t="shared" si="24"/>
        <v>1.7684627733513094</v>
      </c>
      <c r="L170" s="2">
        <f t="shared" si="25"/>
        <v>63.878871349623779</v>
      </c>
    </row>
    <row r="171" spans="1:12" x14ac:dyDescent="0.25">
      <c r="A171" s="1">
        <v>45070</v>
      </c>
      <c r="B171">
        <v>18294.8</v>
      </c>
      <c r="C171">
        <v>18392.599999999999</v>
      </c>
      <c r="D171">
        <v>18262.95</v>
      </c>
      <c r="E171">
        <v>18285.400000000001</v>
      </c>
      <c r="F171">
        <f t="shared" si="20"/>
        <v>-62.599999999998545</v>
      </c>
      <c r="G171">
        <f t="shared" si="19"/>
        <v>0</v>
      </c>
      <c r="H171">
        <f t="shared" si="21"/>
        <v>62.599999999998545</v>
      </c>
      <c r="I171" s="2">
        <f t="shared" si="22"/>
        <v>47.353568344931027</v>
      </c>
      <c r="J171" s="2">
        <f t="shared" si="23"/>
        <v>31.248112287079476</v>
      </c>
      <c r="K171" s="2">
        <f t="shared" si="24"/>
        <v>1.5154057278689075</v>
      </c>
      <c r="L171" s="2">
        <f t="shared" si="25"/>
        <v>60.24498199552022</v>
      </c>
    </row>
    <row r="172" spans="1:12" x14ac:dyDescent="0.25">
      <c r="A172" s="1">
        <v>45071</v>
      </c>
      <c r="B172">
        <v>18268.900000000001</v>
      </c>
      <c r="C172">
        <v>18338.099999999999</v>
      </c>
      <c r="D172">
        <v>18202.400000000001</v>
      </c>
      <c r="E172">
        <v>18321.150000000001</v>
      </c>
      <c r="F172">
        <f t="shared" si="20"/>
        <v>35.75</v>
      </c>
      <c r="G172">
        <f t="shared" si="19"/>
        <v>35.75</v>
      </c>
      <c r="H172">
        <f t="shared" si="21"/>
        <v>0</v>
      </c>
      <c r="I172" s="2">
        <f t="shared" si="22"/>
        <v>46.524742034578814</v>
      </c>
      <c r="J172" s="2">
        <f t="shared" si="23"/>
        <v>29.016104266573798</v>
      </c>
      <c r="K172" s="2">
        <f t="shared" si="24"/>
        <v>1.6034110439896219</v>
      </c>
      <c r="L172" s="2">
        <f t="shared" si="25"/>
        <v>61.588854656330398</v>
      </c>
    </row>
    <row r="173" spans="1:12" x14ac:dyDescent="0.25">
      <c r="A173" s="1">
        <v>45072</v>
      </c>
      <c r="B173">
        <v>18368.349999999999</v>
      </c>
      <c r="C173">
        <v>18508.55</v>
      </c>
      <c r="D173">
        <v>18333.150000000001</v>
      </c>
      <c r="E173">
        <v>18499.349999999999</v>
      </c>
      <c r="F173">
        <f t="shared" si="20"/>
        <v>178.19999999999709</v>
      </c>
      <c r="G173">
        <f t="shared" si="19"/>
        <v>178.19999999999709</v>
      </c>
      <c r="H173">
        <f t="shared" si="21"/>
        <v>0</v>
      </c>
      <c r="I173" s="2">
        <f t="shared" si="22"/>
        <v>55.930117603537262</v>
      </c>
      <c r="J173" s="2">
        <f t="shared" si="23"/>
        <v>26.943525390389958</v>
      </c>
      <c r="K173" s="2">
        <f t="shared" si="24"/>
        <v>2.0758277468577315</v>
      </c>
      <c r="L173" s="2">
        <f t="shared" si="25"/>
        <v>67.488426456208387</v>
      </c>
    </row>
    <row r="174" spans="1:12" x14ac:dyDescent="0.25">
      <c r="A174" s="1">
        <v>45075</v>
      </c>
      <c r="B174">
        <v>18619.150000000001</v>
      </c>
      <c r="C174">
        <v>18641.2</v>
      </c>
      <c r="D174">
        <v>18581.25</v>
      </c>
      <c r="E174">
        <v>18598.650000000001</v>
      </c>
      <c r="F174">
        <f t="shared" si="20"/>
        <v>99.30000000000291</v>
      </c>
      <c r="G174">
        <f t="shared" si="19"/>
        <v>99.30000000000291</v>
      </c>
      <c r="H174">
        <f t="shared" si="21"/>
        <v>0</v>
      </c>
      <c r="I174" s="2">
        <f t="shared" si="22"/>
        <v>59.027966346141952</v>
      </c>
      <c r="J174" s="2">
        <f t="shared" si="23"/>
        <v>25.018987862504961</v>
      </c>
      <c r="K174" s="2">
        <f t="shared" si="24"/>
        <v>2.3593267109979696</v>
      </c>
      <c r="L174" s="2">
        <f t="shared" si="25"/>
        <v>70.232130244249873</v>
      </c>
    </row>
    <row r="175" spans="1:12" x14ac:dyDescent="0.25">
      <c r="A175" s="1">
        <v>45076</v>
      </c>
      <c r="B175">
        <v>18606.650000000001</v>
      </c>
      <c r="C175">
        <v>18662.45</v>
      </c>
      <c r="D175">
        <v>18575.5</v>
      </c>
      <c r="E175">
        <v>18633.849999999999</v>
      </c>
      <c r="F175">
        <f t="shared" si="20"/>
        <v>35.19999999999709</v>
      </c>
      <c r="G175">
        <f t="shared" si="19"/>
        <v>35.19999999999709</v>
      </c>
      <c r="H175">
        <f t="shared" si="21"/>
        <v>0</v>
      </c>
      <c r="I175" s="2">
        <f t="shared" si="22"/>
        <v>57.325968749988746</v>
      </c>
      <c r="J175" s="2">
        <f t="shared" si="23"/>
        <v>23.231917300897464</v>
      </c>
      <c r="K175" s="2">
        <f t="shared" si="24"/>
        <v>2.4675522044740665</v>
      </c>
      <c r="L175" s="2">
        <f t="shared" si="25"/>
        <v>71.161212837409238</v>
      </c>
    </row>
    <row r="176" spans="1:12" x14ac:dyDescent="0.25">
      <c r="A176" s="1">
        <v>45077</v>
      </c>
      <c r="B176">
        <v>18594.2</v>
      </c>
      <c r="C176">
        <v>18603.900000000001</v>
      </c>
      <c r="D176">
        <v>18483.849999999999</v>
      </c>
      <c r="E176">
        <v>18534.400000000001</v>
      </c>
      <c r="F176">
        <f t="shared" si="20"/>
        <v>-99.44999999999709</v>
      </c>
      <c r="G176">
        <f t="shared" si="19"/>
        <v>0</v>
      </c>
      <c r="H176">
        <f t="shared" si="21"/>
        <v>99.44999999999709</v>
      </c>
      <c r="I176" s="2">
        <f t="shared" si="22"/>
        <v>53.231256696418122</v>
      </c>
      <c r="J176" s="2">
        <f t="shared" si="23"/>
        <v>28.676066065118867</v>
      </c>
      <c r="K176" s="2">
        <f t="shared" si="24"/>
        <v>1.8562956500218075</v>
      </c>
      <c r="L176" s="2">
        <f t="shared" si="25"/>
        <v>64.989618634458765</v>
      </c>
    </row>
    <row r="177" spans="1:12" x14ac:dyDescent="0.25">
      <c r="A177" s="1">
        <v>45078</v>
      </c>
      <c r="B177">
        <v>18579.400000000001</v>
      </c>
      <c r="C177">
        <v>18580.3</v>
      </c>
      <c r="D177">
        <v>18464.55</v>
      </c>
      <c r="E177">
        <v>18487.75</v>
      </c>
      <c r="F177">
        <f t="shared" si="20"/>
        <v>-46.650000000001455</v>
      </c>
      <c r="G177">
        <f t="shared" si="19"/>
        <v>0</v>
      </c>
      <c r="H177">
        <f t="shared" si="21"/>
        <v>46.650000000001455</v>
      </c>
      <c r="I177" s="2">
        <f t="shared" si="22"/>
        <v>49.429024075245401</v>
      </c>
      <c r="J177" s="2">
        <f t="shared" si="23"/>
        <v>29.959918489039051</v>
      </c>
      <c r="K177" s="2">
        <f t="shared" si="24"/>
        <v>1.6498384030426918</v>
      </c>
      <c r="L177" s="2">
        <f t="shared" si="25"/>
        <v>62.261849671597162</v>
      </c>
    </row>
    <row r="178" spans="1:12" x14ac:dyDescent="0.25">
      <c r="A178" s="1">
        <v>45079</v>
      </c>
      <c r="B178">
        <v>18550.849999999999</v>
      </c>
      <c r="C178">
        <v>18573.7</v>
      </c>
      <c r="D178">
        <v>18478.400000000001</v>
      </c>
      <c r="E178">
        <v>18534.099999999999</v>
      </c>
      <c r="F178">
        <f t="shared" si="20"/>
        <v>46.349999999998545</v>
      </c>
      <c r="G178">
        <f t="shared" si="19"/>
        <v>46.349999999998545</v>
      </c>
      <c r="H178">
        <f t="shared" si="21"/>
        <v>0</v>
      </c>
      <c r="I178" s="2">
        <f t="shared" si="22"/>
        <v>49.209093784156337</v>
      </c>
      <c r="J178" s="2">
        <f t="shared" si="23"/>
        <v>27.819924311250549</v>
      </c>
      <c r="K178" s="2">
        <f t="shared" si="24"/>
        <v>1.7688435537639431</v>
      </c>
      <c r="L178" s="2">
        <f t="shared" si="25"/>
        <v>63.88383884526057</v>
      </c>
    </row>
    <row r="179" spans="1:12" x14ac:dyDescent="0.25">
      <c r="A179" s="1">
        <v>45082</v>
      </c>
      <c r="B179">
        <v>18612</v>
      </c>
      <c r="C179">
        <v>18640.150000000001</v>
      </c>
      <c r="D179">
        <v>18582.8</v>
      </c>
      <c r="E179">
        <v>18593.849999999999</v>
      </c>
      <c r="F179">
        <f t="shared" si="20"/>
        <v>59.75</v>
      </c>
      <c r="G179">
        <f t="shared" si="19"/>
        <v>59.75</v>
      </c>
      <c r="H179">
        <f t="shared" si="21"/>
        <v>0</v>
      </c>
      <c r="I179" s="2">
        <f t="shared" si="22"/>
        <v>49.962015656716595</v>
      </c>
      <c r="J179" s="2">
        <f t="shared" si="23"/>
        <v>25.832786860446937</v>
      </c>
      <c r="K179" s="2">
        <f t="shared" si="24"/>
        <v>1.9340544218717017</v>
      </c>
      <c r="L179" s="2">
        <f t="shared" si="25"/>
        <v>65.917469268955244</v>
      </c>
    </row>
    <row r="180" spans="1:12" x14ac:dyDescent="0.25">
      <c r="A180" s="1">
        <v>45083</v>
      </c>
      <c r="B180">
        <v>18600.8</v>
      </c>
      <c r="C180">
        <v>18622.75</v>
      </c>
      <c r="D180">
        <v>18531.599999999999</v>
      </c>
      <c r="E180">
        <v>18599</v>
      </c>
      <c r="F180">
        <f t="shared" si="20"/>
        <v>5.1500000000014552</v>
      </c>
      <c r="G180">
        <f t="shared" si="19"/>
        <v>5.1500000000014552</v>
      </c>
      <c r="H180">
        <f t="shared" si="21"/>
        <v>0</v>
      </c>
      <c r="I180" s="2">
        <f t="shared" si="22"/>
        <v>46.761157395522659</v>
      </c>
      <c r="J180" s="2">
        <f t="shared" si="23"/>
        <v>23.987587798986443</v>
      </c>
      <c r="K180" s="2">
        <f t="shared" si="24"/>
        <v>1.9493897338647146</v>
      </c>
      <c r="L180" s="2">
        <f t="shared" si="25"/>
        <v>66.094680926089211</v>
      </c>
    </row>
    <row r="181" spans="1:12" x14ac:dyDescent="0.25">
      <c r="A181" s="1">
        <v>45084</v>
      </c>
      <c r="B181">
        <v>18665.599999999999</v>
      </c>
      <c r="C181">
        <v>18738.95</v>
      </c>
      <c r="D181">
        <v>18636</v>
      </c>
      <c r="E181">
        <v>18726.400000000001</v>
      </c>
      <c r="F181">
        <f t="shared" si="20"/>
        <v>127.40000000000146</v>
      </c>
      <c r="G181">
        <f t="shared" si="19"/>
        <v>127.40000000000146</v>
      </c>
      <c r="H181">
        <f t="shared" si="21"/>
        <v>0</v>
      </c>
      <c r="I181" s="2">
        <f t="shared" si="22"/>
        <v>52.521074724413999</v>
      </c>
      <c r="J181" s="2">
        <f t="shared" si="23"/>
        <v>22.274188670487412</v>
      </c>
      <c r="K181" s="2">
        <f t="shared" si="24"/>
        <v>2.357934356280404</v>
      </c>
      <c r="L181" s="2">
        <f t="shared" si="25"/>
        <v>70.219787110201182</v>
      </c>
    </row>
    <row r="182" spans="1:12" x14ac:dyDescent="0.25">
      <c r="A182" s="1">
        <v>45085</v>
      </c>
      <c r="B182">
        <v>18725.349999999999</v>
      </c>
      <c r="C182">
        <v>18777.900000000001</v>
      </c>
      <c r="D182">
        <v>18615.599999999999</v>
      </c>
      <c r="E182">
        <v>18634.55</v>
      </c>
      <c r="F182">
        <f t="shared" si="20"/>
        <v>-91.850000000002183</v>
      </c>
      <c r="G182">
        <f t="shared" si="19"/>
        <v>0</v>
      </c>
      <c r="H182">
        <f t="shared" si="21"/>
        <v>91.850000000002183</v>
      </c>
      <c r="I182" s="2">
        <f t="shared" si="22"/>
        <v>48.769569386955858</v>
      </c>
      <c r="J182" s="2">
        <f t="shared" si="23"/>
        <v>27.243889479738467</v>
      </c>
      <c r="K182" s="2">
        <f t="shared" si="24"/>
        <v>1.790110381383915</v>
      </c>
      <c r="L182" s="2">
        <f t="shared" si="25"/>
        <v>64.159124073650702</v>
      </c>
    </row>
    <row r="183" spans="1:12" x14ac:dyDescent="0.25">
      <c r="A183" s="1">
        <v>45086</v>
      </c>
      <c r="B183">
        <v>18655.900000000001</v>
      </c>
      <c r="C183">
        <v>18676.650000000001</v>
      </c>
      <c r="D183">
        <v>18555.400000000001</v>
      </c>
      <c r="E183">
        <v>18563.400000000001</v>
      </c>
      <c r="F183">
        <f t="shared" si="20"/>
        <v>-71.149999999997817</v>
      </c>
      <c r="G183">
        <f t="shared" si="19"/>
        <v>0</v>
      </c>
      <c r="H183">
        <f t="shared" si="21"/>
        <v>71.149999999997817</v>
      </c>
      <c r="I183" s="2">
        <f t="shared" si="22"/>
        <v>45.286028716459008</v>
      </c>
      <c r="J183" s="2">
        <f t="shared" si="23"/>
        <v>30.380040231185564</v>
      </c>
      <c r="K183" s="2">
        <f t="shared" si="24"/>
        <v>1.4906507157937277</v>
      </c>
      <c r="L183" s="2">
        <f t="shared" si="25"/>
        <v>59.849849934445061</v>
      </c>
    </row>
    <row r="184" spans="1:12" x14ac:dyDescent="0.25">
      <c r="A184" s="1">
        <v>45089</v>
      </c>
      <c r="B184">
        <v>18595.05</v>
      </c>
      <c r="C184">
        <v>18633.599999999999</v>
      </c>
      <c r="D184">
        <v>18559.75</v>
      </c>
      <c r="E184">
        <v>18601.5</v>
      </c>
      <c r="F184">
        <f t="shared" si="20"/>
        <v>38.099999999998545</v>
      </c>
      <c r="G184">
        <f t="shared" si="19"/>
        <v>38.099999999998545</v>
      </c>
      <c r="H184">
        <f t="shared" si="21"/>
        <v>0</v>
      </c>
      <c r="I184" s="2">
        <f t="shared" si="22"/>
        <v>44.772740950997544</v>
      </c>
      <c r="J184" s="2">
        <f t="shared" si="23"/>
        <v>28.210037357529451</v>
      </c>
      <c r="K184" s="2">
        <f t="shared" si="24"/>
        <v>1.5871209379681093</v>
      </c>
      <c r="L184" s="2">
        <f t="shared" si="25"/>
        <v>61.346994439873889</v>
      </c>
    </row>
    <row r="185" spans="1:12" x14ac:dyDescent="0.25">
      <c r="A185" s="1">
        <v>45090</v>
      </c>
      <c r="B185">
        <v>18631.8</v>
      </c>
      <c r="C185">
        <v>18728.900000000001</v>
      </c>
      <c r="D185">
        <v>18631.8</v>
      </c>
      <c r="E185">
        <v>18716.150000000001</v>
      </c>
      <c r="F185">
        <f t="shared" si="20"/>
        <v>114.65000000000146</v>
      </c>
      <c r="G185">
        <f t="shared" si="19"/>
        <v>114.65000000000146</v>
      </c>
      <c r="H185">
        <f t="shared" si="21"/>
        <v>0</v>
      </c>
      <c r="I185" s="2">
        <f t="shared" si="22"/>
        <v>49.763973740212109</v>
      </c>
      <c r="J185" s="2">
        <f t="shared" si="23"/>
        <v>26.195034689134491</v>
      </c>
      <c r="K185" s="2">
        <f t="shared" si="24"/>
        <v>1.8997483427977226</v>
      </c>
      <c r="L185" s="2">
        <f t="shared" si="25"/>
        <v>65.514248762870764</v>
      </c>
    </row>
    <row r="186" spans="1:12" x14ac:dyDescent="0.25">
      <c r="A186" s="1">
        <v>45091</v>
      </c>
      <c r="B186">
        <v>18744.599999999999</v>
      </c>
      <c r="C186">
        <v>18769.7</v>
      </c>
      <c r="D186">
        <v>18690</v>
      </c>
      <c r="E186">
        <v>18755.900000000001</v>
      </c>
      <c r="F186">
        <f t="shared" si="20"/>
        <v>39.75</v>
      </c>
      <c r="G186">
        <f t="shared" si="19"/>
        <v>39.75</v>
      </c>
      <c r="H186">
        <f t="shared" si="21"/>
        <v>0</v>
      </c>
      <c r="I186" s="2">
        <f t="shared" si="22"/>
        <v>49.048689901625529</v>
      </c>
      <c r="J186" s="2">
        <f t="shared" si="23"/>
        <v>24.323960782767745</v>
      </c>
      <c r="K186" s="2">
        <f t="shared" si="24"/>
        <v>2.0164762778426266</v>
      </c>
      <c r="L186" s="2">
        <f t="shared" si="25"/>
        <v>66.848736476217326</v>
      </c>
    </row>
    <row r="187" spans="1:12" x14ac:dyDescent="0.25">
      <c r="A187" s="1">
        <v>45092</v>
      </c>
      <c r="B187">
        <v>18774.45</v>
      </c>
      <c r="C187">
        <v>18794.099999999999</v>
      </c>
      <c r="D187">
        <v>18669.05</v>
      </c>
      <c r="E187">
        <v>18688.099999999999</v>
      </c>
      <c r="F187">
        <f t="shared" si="20"/>
        <v>-67.80000000000291</v>
      </c>
      <c r="G187">
        <f t="shared" si="19"/>
        <v>0</v>
      </c>
      <c r="H187">
        <f t="shared" si="21"/>
        <v>67.80000000000291</v>
      </c>
      <c r="I187" s="2">
        <f t="shared" si="22"/>
        <v>45.545212051509417</v>
      </c>
      <c r="J187" s="2">
        <f t="shared" si="23"/>
        <v>27.429392155427401</v>
      </c>
      <c r="K187" s="2">
        <f t="shared" si="24"/>
        <v>1.6604528380880461</v>
      </c>
      <c r="L187" s="2">
        <f t="shared" si="25"/>
        <v>62.412413943836071</v>
      </c>
    </row>
    <row r="188" spans="1:12" x14ac:dyDescent="0.25">
      <c r="A188" s="1">
        <v>45093</v>
      </c>
      <c r="B188">
        <v>18723.3</v>
      </c>
      <c r="C188">
        <v>18864.7</v>
      </c>
      <c r="D188">
        <v>18710.5</v>
      </c>
      <c r="E188">
        <v>18826</v>
      </c>
      <c r="F188">
        <f t="shared" si="20"/>
        <v>137.90000000000146</v>
      </c>
      <c r="G188">
        <f t="shared" si="19"/>
        <v>137.90000000000146</v>
      </c>
      <c r="H188">
        <f t="shared" si="21"/>
        <v>0</v>
      </c>
      <c r="I188" s="2">
        <f t="shared" si="22"/>
        <v>52.141982619258847</v>
      </c>
      <c r="J188" s="2">
        <f t="shared" si="23"/>
        <v>25.470149858611158</v>
      </c>
      <c r="K188" s="2">
        <f t="shared" si="24"/>
        <v>2.0471800483588538</v>
      </c>
      <c r="L188" s="2">
        <f t="shared" si="25"/>
        <v>67.182772788940426</v>
      </c>
    </row>
    <row r="189" spans="1:12" x14ac:dyDescent="0.25">
      <c r="A189" s="1">
        <v>45096</v>
      </c>
      <c r="B189">
        <v>18873.3</v>
      </c>
      <c r="C189">
        <v>18881.45</v>
      </c>
      <c r="D189">
        <v>18719.150000000001</v>
      </c>
      <c r="E189">
        <v>18755.45</v>
      </c>
      <c r="F189">
        <f t="shared" si="20"/>
        <v>-70.549999999999272</v>
      </c>
      <c r="G189">
        <f t="shared" si="19"/>
        <v>0</v>
      </c>
      <c r="H189">
        <f t="shared" si="21"/>
        <v>70.549999999999272</v>
      </c>
      <c r="I189" s="2">
        <f t="shared" si="22"/>
        <v>48.417555289311785</v>
      </c>
      <c r="J189" s="2">
        <f t="shared" si="23"/>
        <v>28.690139154424596</v>
      </c>
      <c r="K189" s="2">
        <f t="shared" si="24"/>
        <v>1.6876026647589413</v>
      </c>
      <c r="L189" s="2">
        <f t="shared" si="25"/>
        <v>62.79211904674559</v>
      </c>
    </row>
    <row r="190" spans="1:12" x14ac:dyDescent="0.25">
      <c r="A190" s="1">
        <v>45097</v>
      </c>
      <c r="B190">
        <v>18752.349999999999</v>
      </c>
      <c r="C190">
        <v>18839.7</v>
      </c>
      <c r="D190">
        <v>18660.650000000001</v>
      </c>
      <c r="E190">
        <v>18816.7</v>
      </c>
      <c r="F190">
        <f t="shared" si="20"/>
        <v>61.25</v>
      </c>
      <c r="G190">
        <f t="shared" si="19"/>
        <v>61.25</v>
      </c>
      <c r="H190">
        <f t="shared" si="21"/>
        <v>0</v>
      </c>
      <c r="I190" s="2">
        <f t="shared" si="22"/>
        <v>49.334158482932374</v>
      </c>
      <c r="J190" s="2">
        <f t="shared" si="23"/>
        <v>26.640843500537127</v>
      </c>
      <c r="K190" s="2">
        <f t="shared" si="24"/>
        <v>1.8518241917504492</v>
      </c>
      <c r="L190" s="2">
        <f t="shared" si="25"/>
        <v>64.934724837080495</v>
      </c>
    </row>
    <row r="191" spans="1:12" x14ac:dyDescent="0.25">
      <c r="A191" s="1">
        <v>45098</v>
      </c>
      <c r="B191">
        <v>18849.400000000001</v>
      </c>
      <c r="C191">
        <v>18875.900000000001</v>
      </c>
      <c r="D191">
        <v>18794.849999999999</v>
      </c>
      <c r="E191">
        <v>18856.849999999999</v>
      </c>
      <c r="F191">
        <f t="shared" si="20"/>
        <v>40.149999999997817</v>
      </c>
      <c r="G191">
        <f t="shared" si="19"/>
        <v>40.149999999997817</v>
      </c>
      <c r="H191">
        <f t="shared" si="21"/>
        <v>0</v>
      </c>
      <c r="I191" s="2">
        <f t="shared" si="22"/>
        <v>48.678147162722766</v>
      </c>
      <c r="J191" s="2">
        <f t="shared" si="23"/>
        <v>24.737926107641616</v>
      </c>
      <c r="K191" s="2">
        <f t="shared" si="24"/>
        <v>1.9677537620134595</v>
      </c>
      <c r="L191" s="2">
        <f t="shared" si="25"/>
        <v>66.304482103611093</v>
      </c>
    </row>
    <row r="192" spans="1:12" x14ac:dyDescent="0.25">
      <c r="A192" s="1">
        <v>45099</v>
      </c>
      <c r="B192">
        <v>18853.599999999999</v>
      </c>
      <c r="C192">
        <v>18886.599999999999</v>
      </c>
      <c r="D192">
        <v>18759.5</v>
      </c>
      <c r="E192">
        <v>18771.25</v>
      </c>
      <c r="F192">
        <f t="shared" si="20"/>
        <v>-85.599999999998545</v>
      </c>
      <c r="G192">
        <f t="shared" si="19"/>
        <v>0</v>
      </c>
      <c r="H192">
        <f t="shared" si="21"/>
        <v>85.599999999998545</v>
      </c>
      <c r="I192" s="2">
        <f t="shared" si="22"/>
        <v>45.201136651099709</v>
      </c>
      <c r="J192" s="2">
        <f t="shared" si="23"/>
        <v>29.085217099952825</v>
      </c>
      <c r="K192" s="2">
        <f t="shared" si="24"/>
        <v>1.5540931496493118</v>
      </c>
      <c r="L192" s="2">
        <f t="shared" si="25"/>
        <v>60.847160169655346</v>
      </c>
    </row>
    <row r="193" spans="1:12" x14ac:dyDescent="0.25">
      <c r="A193" s="1">
        <v>45100</v>
      </c>
      <c r="B193">
        <v>18741.849999999999</v>
      </c>
      <c r="C193">
        <v>18756.400000000001</v>
      </c>
      <c r="D193">
        <v>18647.099999999999</v>
      </c>
      <c r="E193">
        <v>18665.5</v>
      </c>
      <c r="F193">
        <f t="shared" si="20"/>
        <v>-105.75</v>
      </c>
      <c r="G193">
        <f t="shared" si="19"/>
        <v>0</v>
      </c>
      <c r="H193">
        <f t="shared" si="21"/>
        <v>105.75</v>
      </c>
      <c r="I193" s="2">
        <f t="shared" si="22"/>
        <v>41.972484033164015</v>
      </c>
      <c r="J193" s="2">
        <f t="shared" si="23"/>
        <v>34.561273021384764</v>
      </c>
      <c r="K193" s="2">
        <f t="shared" si="24"/>
        <v>1.2144368642669374</v>
      </c>
      <c r="L193" s="2">
        <f t="shared" si="25"/>
        <v>54.841792234567137</v>
      </c>
    </row>
    <row r="194" spans="1:12" x14ac:dyDescent="0.25">
      <c r="A194" s="1">
        <v>45103</v>
      </c>
      <c r="B194">
        <v>18682.349999999999</v>
      </c>
      <c r="C194">
        <v>18722.05</v>
      </c>
      <c r="D194">
        <v>18646.7</v>
      </c>
      <c r="E194">
        <v>18691.2</v>
      </c>
      <c r="F194">
        <f t="shared" si="20"/>
        <v>25.700000000000728</v>
      </c>
      <c r="G194">
        <f t="shared" si="19"/>
        <v>25.700000000000728</v>
      </c>
      <c r="H194">
        <f t="shared" si="21"/>
        <v>0</v>
      </c>
      <c r="I194" s="2">
        <f t="shared" si="22"/>
        <v>40.810163745080921</v>
      </c>
      <c r="J194" s="2">
        <f t="shared" si="23"/>
        <v>32.092610662714421</v>
      </c>
      <c r="K194" s="2">
        <f t="shared" si="24"/>
        <v>1.2716373926068487</v>
      </c>
      <c r="L194" s="2">
        <f t="shared" si="25"/>
        <v>55.978889797528979</v>
      </c>
    </row>
    <row r="195" spans="1:12" x14ac:dyDescent="0.25">
      <c r="A195" s="1">
        <v>45104</v>
      </c>
      <c r="B195">
        <v>18748.55</v>
      </c>
      <c r="C195">
        <v>18829.25</v>
      </c>
      <c r="D195">
        <v>18714.25</v>
      </c>
      <c r="E195">
        <v>18817.400000000001</v>
      </c>
      <c r="F195">
        <f t="shared" si="20"/>
        <v>126.20000000000073</v>
      </c>
      <c r="G195">
        <f t="shared" ref="G195:G249" si="26">IF(F195&gt;0,F195,0)</f>
        <v>126.20000000000073</v>
      </c>
      <c r="H195">
        <f t="shared" si="21"/>
        <v>0</v>
      </c>
      <c r="I195" s="2">
        <f t="shared" si="22"/>
        <v>46.909437763289475</v>
      </c>
      <c r="J195" s="2">
        <f t="shared" si="23"/>
        <v>29.800281329663392</v>
      </c>
      <c r="K195" s="2">
        <f t="shared" si="24"/>
        <v>1.5741273461266125</v>
      </c>
      <c r="L195" s="2">
        <f t="shared" si="25"/>
        <v>61.151883122459417</v>
      </c>
    </row>
    <row r="196" spans="1:12" x14ac:dyDescent="0.25">
      <c r="A196" s="1">
        <v>45105</v>
      </c>
      <c r="B196">
        <v>18908.150000000001</v>
      </c>
      <c r="C196">
        <v>19011.25</v>
      </c>
      <c r="D196">
        <v>18861.349999999999</v>
      </c>
      <c r="E196">
        <v>18972.099999999999</v>
      </c>
      <c r="F196">
        <f t="shared" si="20"/>
        <v>154.69999999999709</v>
      </c>
      <c r="G196">
        <f t="shared" si="26"/>
        <v>154.69999999999709</v>
      </c>
      <c r="H196">
        <f t="shared" si="21"/>
        <v>0</v>
      </c>
      <c r="I196" s="2">
        <f t="shared" si="22"/>
        <v>54.608763637340019</v>
      </c>
      <c r="J196" s="2">
        <f t="shared" si="23"/>
        <v>27.671689806116007</v>
      </c>
      <c r="K196" s="2">
        <f t="shared" si="24"/>
        <v>1.9734524353214733</v>
      </c>
      <c r="L196" s="2">
        <f t="shared" si="25"/>
        <v>66.369060149708247</v>
      </c>
    </row>
    <row r="197" spans="1:12" x14ac:dyDescent="0.25">
      <c r="A197" s="1">
        <v>45107</v>
      </c>
      <c r="B197">
        <v>19076.849999999999</v>
      </c>
      <c r="C197">
        <v>19201.7</v>
      </c>
      <c r="D197">
        <v>19024.599999999999</v>
      </c>
      <c r="E197">
        <v>19189.05</v>
      </c>
      <c r="F197">
        <f t="shared" si="20"/>
        <v>216.95000000000073</v>
      </c>
      <c r="G197">
        <f t="shared" si="26"/>
        <v>216.95000000000073</v>
      </c>
      <c r="H197">
        <f t="shared" si="21"/>
        <v>0</v>
      </c>
      <c r="I197" s="2">
        <f t="shared" si="22"/>
        <v>66.204566234672924</v>
      </c>
      <c r="J197" s="2">
        <f t="shared" si="23"/>
        <v>25.695140534250577</v>
      </c>
      <c r="K197" s="2">
        <f t="shared" si="24"/>
        <v>2.5765403441333561</v>
      </c>
      <c r="L197" s="2">
        <f t="shared" si="25"/>
        <v>72.040019018929499</v>
      </c>
    </row>
    <row r="198" spans="1:12" x14ac:dyDescent="0.25">
      <c r="A198" s="1">
        <v>45110</v>
      </c>
      <c r="B198">
        <v>19246.5</v>
      </c>
      <c r="C198">
        <v>19345.099999999999</v>
      </c>
      <c r="D198">
        <v>19234.400000000001</v>
      </c>
      <c r="E198">
        <v>19322.55</v>
      </c>
      <c r="F198">
        <f t="shared" si="20"/>
        <v>133.5</v>
      </c>
      <c r="G198">
        <f t="shared" si="26"/>
        <v>133.5</v>
      </c>
      <c r="H198">
        <f t="shared" si="21"/>
        <v>0</v>
      </c>
      <c r="I198" s="2">
        <f t="shared" si="22"/>
        <v>71.011382932196284</v>
      </c>
      <c r="J198" s="2">
        <f t="shared" si="23"/>
        <v>23.859773353232676</v>
      </c>
      <c r="K198" s="2">
        <f t="shared" si="24"/>
        <v>2.976196876680524</v>
      </c>
      <c r="L198" s="2">
        <f t="shared" si="25"/>
        <v>74.850339884708205</v>
      </c>
    </row>
    <row r="199" spans="1:12" x14ac:dyDescent="0.25">
      <c r="A199" s="1">
        <v>45111</v>
      </c>
      <c r="B199">
        <v>19406.599999999999</v>
      </c>
      <c r="C199">
        <v>19434.150000000001</v>
      </c>
      <c r="D199">
        <v>19300</v>
      </c>
      <c r="E199">
        <v>19389</v>
      </c>
      <c r="F199">
        <f t="shared" si="20"/>
        <v>66.450000000000728</v>
      </c>
      <c r="G199">
        <f t="shared" si="26"/>
        <v>66.450000000000728</v>
      </c>
      <c r="H199">
        <f t="shared" si="21"/>
        <v>0</v>
      </c>
      <c r="I199" s="2">
        <f t="shared" si="22"/>
        <v>70.685569865610887</v>
      </c>
      <c r="J199" s="2">
        <f t="shared" si="23"/>
        <v>22.15550382800177</v>
      </c>
      <c r="K199" s="2">
        <f t="shared" si="24"/>
        <v>3.1904293585178243</v>
      </c>
      <c r="L199" s="2">
        <f t="shared" si="25"/>
        <v>76.136096937958996</v>
      </c>
    </row>
    <row r="200" spans="1:12" x14ac:dyDescent="0.25">
      <c r="A200" s="1">
        <v>45112</v>
      </c>
      <c r="B200">
        <v>19405.95</v>
      </c>
      <c r="C200">
        <v>19421.599999999999</v>
      </c>
      <c r="D200">
        <v>19339.599999999999</v>
      </c>
      <c r="E200">
        <v>19398.5</v>
      </c>
      <c r="F200">
        <f t="shared" si="20"/>
        <v>9.5</v>
      </c>
      <c r="G200">
        <f t="shared" si="26"/>
        <v>9.5</v>
      </c>
      <c r="H200">
        <f t="shared" si="21"/>
        <v>0</v>
      </c>
      <c r="I200" s="2">
        <f t="shared" si="22"/>
        <v>66.315172018067258</v>
      </c>
      <c r="J200" s="2">
        <f t="shared" si="23"/>
        <v>20.572967840287358</v>
      </c>
      <c r="K200" s="2">
        <f t="shared" si="24"/>
        <v>3.2234130016090563</v>
      </c>
      <c r="L200" s="2">
        <f t="shared" si="25"/>
        <v>76.322467170058559</v>
      </c>
    </row>
    <row r="201" spans="1:12" x14ac:dyDescent="0.25">
      <c r="A201" s="1">
        <v>45113</v>
      </c>
      <c r="B201">
        <v>19385.7</v>
      </c>
      <c r="C201">
        <v>19512.2</v>
      </c>
      <c r="D201">
        <v>19373</v>
      </c>
      <c r="E201">
        <v>19497.3</v>
      </c>
      <c r="F201">
        <f t="shared" si="20"/>
        <v>98.799999999999272</v>
      </c>
      <c r="G201">
        <f t="shared" si="26"/>
        <v>98.799999999999272</v>
      </c>
      <c r="H201">
        <f t="shared" si="21"/>
        <v>0</v>
      </c>
      <c r="I201" s="2">
        <f t="shared" si="22"/>
        <v>68.635516873919542</v>
      </c>
      <c r="J201" s="2">
        <f t="shared" si="23"/>
        <v>19.10347013740969</v>
      </c>
      <c r="K201" s="2">
        <f t="shared" si="24"/>
        <v>3.5928298042308495</v>
      </c>
      <c r="L201" s="2">
        <f t="shared" si="25"/>
        <v>78.226931050682211</v>
      </c>
    </row>
    <row r="202" spans="1:12" x14ac:dyDescent="0.25">
      <c r="A202" s="1">
        <v>45114</v>
      </c>
      <c r="B202">
        <v>19422.8</v>
      </c>
      <c r="C202">
        <v>19523.599999999999</v>
      </c>
      <c r="D202">
        <v>19303.599999999999</v>
      </c>
      <c r="E202">
        <v>19331.8</v>
      </c>
      <c r="F202">
        <f t="shared" si="20"/>
        <v>-165.5</v>
      </c>
      <c r="G202">
        <f t="shared" si="26"/>
        <v>0</v>
      </c>
      <c r="H202">
        <f t="shared" si="21"/>
        <v>165.5</v>
      </c>
      <c r="I202" s="2">
        <f t="shared" si="22"/>
        <v>63.732979954353866</v>
      </c>
      <c r="J202" s="2">
        <f t="shared" si="23"/>
        <v>29.560365127594714</v>
      </c>
      <c r="K202" s="2">
        <f t="shared" si="24"/>
        <v>2.156028170804253</v>
      </c>
      <c r="L202" s="2">
        <f t="shared" si="25"/>
        <v>68.314604753823559</v>
      </c>
    </row>
    <row r="203" spans="1:12" x14ac:dyDescent="0.25">
      <c r="A203" s="1">
        <v>45117</v>
      </c>
      <c r="B203">
        <v>19400.349999999999</v>
      </c>
      <c r="C203">
        <v>19435.849999999999</v>
      </c>
      <c r="D203">
        <v>19327.099999999999</v>
      </c>
      <c r="E203">
        <v>19355.900000000001</v>
      </c>
      <c r="F203">
        <f t="shared" si="20"/>
        <v>24.100000000002183</v>
      </c>
      <c r="G203">
        <f t="shared" si="26"/>
        <v>24.100000000002183</v>
      </c>
      <c r="H203">
        <f t="shared" si="21"/>
        <v>0</v>
      </c>
      <c r="I203" s="2">
        <f t="shared" si="22"/>
        <v>60.902052814757319</v>
      </c>
      <c r="J203" s="2">
        <f t="shared" si="23"/>
        <v>27.448910475623666</v>
      </c>
      <c r="K203" s="2">
        <f t="shared" si="24"/>
        <v>2.2187420833640052</v>
      </c>
      <c r="L203" s="2">
        <f t="shared" si="25"/>
        <v>68.931962421951198</v>
      </c>
    </row>
    <row r="204" spans="1:12" x14ac:dyDescent="0.25">
      <c r="A204" s="1">
        <v>45118</v>
      </c>
      <c r="B204">
        <v>19427.099999999999</v>
      </c>
      <c r="C204">
        <v>19515.099999999999</v>
      </c>
      <c r="D204">
        <v>19406.45</v>
      </c>
      <c r="E204">
        <v>19439.400000000001</v>
      </c>
      <c r="F204">
        <f t="shared" si="20"/>
        <v>83.5</v>
      </c>
      <c r="G204">
        <f t="shared" si="26"/>
        <v>83.5</v>
      </c>
      <c r="H204">
        <f t="shared" si="21"/>
        <v>0</v>
      </c>
      <c r="I204" s="2">
        <f t="shared" si="22"/>
        <v>62.516191899417507</v>
      </c>
      <c r="J204" s="2">
        <f t="shared" si="23"/>
        <v>25.488274013079121</v>
      </c>
      <c r="K204" s="2">
        <f t="shared" si="24"/>
        <v>2.452743244495009</v>
      </c>
      <c r="L204" s="2">
        <f t="shared" si="25"/>
        <v>71.037522074820316</v>
      </c>
    </row>
    <row r="205" spans="1:12" x14ac:dyDescent="0.25">
      <c r="A205" s="1">
        <v>45119</v>
      </c>
      <c r="B205">
        <v>19497.45</v>
      </c>
      <c r="C205">
        <v>19507.7</v>
      </c>
      <c r="D205">
        <v>19361.75</v>
      </c>
      <c r="E205">
        <v>19384.3</v>
      </c>
      <c r="F205">
        <f t="shared" si="20"/>
        <v>-55.100000000002183</v>
      </c>
      <c r="G205">
        <f t="shared" si="26"/>
        <v>0</v>
      </c>
      <c r="H205">
        <f t="shared" si="21"/>
        <v>55.100000000002183</v>
      </c>
      <c r="I205" s="2">
        <f t="shared" si="22"/>
        <v>58.050749620887686</v>
      </c>
      <c r="J205" s="2">
        <f t="shared" si="23"/>
        <v>27.603397297859342</v>
      </c>
      <c r="K205" s="2">
        <f t="shared" si="24"/>
        <v>2.1030291668261265</v>
      </c>
      <c r="L205" s="2">
        <f t="shared" si="25"/>
        <v>67.773425699932091</v>
      </c>
    </row>
    <row r="206" spans="1:12" x14ac:dyDescent="0.25">
      <c r="A206" s="1">
        <v>45120</v>
      </c>
      <c r="B206">
        <v>19495.2</v>
      </c>
      <c r="C206">
        <v>19567</v>
      </c>
      <c r="D206">
        <v>19385.8</v>
      </c>
      <c r="E206">
        <v>19413.75</v>
      </c>
      <c r="F206">
        <f t="shared" si="20"/>
        <v>29.450000000000728</v>
      </c>
      <c r="G206">
        <f t="shared" si="26"/>
        <v>29.450000000000728</v>
      </c>
      <c r="H206">
        <f t="shared" si="21"/>
        <v>0</v>
      </c>
      <c r="I206" s="2">
        <f t="shared" si="22"/>
        <v>56.007838933681469</v>
      </c>
      <c r="J206" s="2">
        <f t="shared" si="23"/>
        <v>25.631726062297961</v>
      </c>
      <c r="K206" s="2">
        <f t="shared" si="24"/>
        <v>2.1850982176367797</v>
      </c>
      <c r="L206" s="2">
        <f t="shared" si="25"/>
        <v>68.603793928152029</v>
      </c>
    </row>
    <row r="207" spans="1:12" x14ac:dyDescent="0.25">
      <c r="A207" s="1">
        <v>45121</v>
      </c>
      <c r="B207">
        <v>19493.45</v>
      </c>
      <c r="C207">
        <v>19595.349999999999</v>
      </c>
      <c r="D207">
        <v>19433.5</v>
      </c>
      <c r="E207">
        <v>19564.5</v>
      </c>
      <c r="F207">
        <f t="shared" si="20"/>
        <v>150.75</v>
      </c>
      <c r="G207">
        <f t="shared" si="26"/>
        <v>150.75</v>
      </c>
      <c r="H207">
        <f t="shared" si="21"/>
        <v>0</v>
      </c>
      <c r="I207" s="2">
        <f t="shared" si="22"/>
        <v>62.775136152704228</v>
      </c>
      <c r="J207" s="2">
        <f t="shared" si="23"/>
        <v>23.800888486419534</v>
      </c>
      <c r="K207" s="2">
        <f t="shared" si="24"/>
        <v>2.6375123007917489</v>
      </c>
      <c r="L207" s="2">
        <f t="shared" si="25"/>
        <v>72.508684031602101</v>
      </c>
    </row>
    <row r="208" spans="1:12" x14ac:dyDescent="0.25">
      <c r="A208" s="1">
        <v>45124</v>
      </c>
      <c r="B208">
        <v>19612.150000000001</v>
      </c>
      <c r="C208">
        <v>19731.849999999999</v>
      </c>
      <c r="D208">
        <v>19562.95</v>
      </c>
      <c r="E208">
        <v>19711.45</v>
      </c>
      <c r="F208">
        <f t="shared" si="20"/>
        <v>146.95000000000073</v>
      </c>
      <c r="G208">
        <f t="shared" si="26"/>
        <v>146.95000000000073</v>
      </c>
      <c r="H208">
        <f t="shared" si="21"/>
        <v>0</v>
      </c>
      <c r="I208" s="2">
        <f t="shared" si="22"/>
        <v>68.787626427511128</v>
      </c>
      <c r="J208" s="2">
        <f t="shared" si="23"/>
        <v>22.100825023103852</v>
      </c>
      <c r="K208" s="2">
        <f t="shared" si="24"/>
        <v>3.1124460899356308</v>
      </c>
      <c r="L208" s="2">
        <f t="shared" si="25"/>
        <v>75.683571817578468</v>
      </c>
    </row>
    <row r="209" spans="1:12" x14ac:dyDescent="0.25">
      <c r="A209" s="1">
        <v>45125</v>
      </c>
      <c r="B209">
        <v>19787.5</v>
      </c>
      <c r="C209">
        <v>19819.45</v>
      </c>
      <c r="D209">
        <v>19690.2</v>
      </c>
      <c r="E209">
        <v>19749.25</v>
      </c>
      <c r="F209">
        <f t="shared" si="20"/>
        <v>37.799999999999272</v>
      </c>
      <c r="G209">
        <f t="shared" si="26"/>
        <v>37.799999999999272</v>
      </c>
      <c r="H209">
        <f t="shared" si="21"/>
        <v>0</v>
      </c>
      <c r="I209" s="2">
        <f t="shared" si="22"/>
        <v>66.574224539831704</v>
      </c>
      <c r="J209" s="2">
        <f t="shared" si="23"/>
        <v>20.522194664310721</v>
      </c>
      <c r="K209" s="2">
        <f t="shared" si="24"/>
        <v>3.2440109661179717</v>
      </c>
      <c r="L209" s="2">
        <f t="shared" si="25"/>
        <v>76.437384163625111</v>
      </c>
    </row>
    <row r="210" spans="1:12" x14ac:dyDescent="0.25">
      <c r="A210" s="1">
        <v>45126</v>
      </c>
      <c r="B210">
        <v>19802.95</v>
      </c>
      <c r="C210">
        <v>19851.7</v>
      </c>
      <c r="D210">
        <v>19727.45</v>
      </c>
      <c r="E210">
        <v>19833.150000000001</v>
      </c>
      <c r="F210">
        <f t="shared" si="20"/>
        <v>83.900000000001455</v>
      </c>
      <c r="G210">
        <f t="shared" si="26"/>
        <v>83.900000000001455</v>
      </c>
      <c r="H210">
        <f t="shared" si="21"/>
        <v>0</v>
      </c>
      <c r="I210" s="2">
        <f t="shared" si="22"/>
        <v>67.811779929843823</v>
      </c>
      <c r="J210" s="2">
        <f t="shared" si="23"/>
        <v>19.056323616859952</v>
      </c>
      <c r="K210" s="2">
        <f t="shared" si="24"/>
        <v>3.5584922513515571</v>
      </c>
      <c r="L210" s="2">
        <f t="shared" si="25"/>
        <v>78.062922017614312</v>
      </c>
    </row>
    <row r="211" spans="1:12" x14ac:dyDescent="0.25">
      <c r="A211" s="1">
        <v>45127</v>
      </c>
      <c r="B211">
        <v>19831.7</v>
      </c>
      <c r="C211">
        <v>19991.849999999999</v>
      </c>
      <c r="D211">
        <v>19758.400000000001</v>
      </c>
      <c r="E211">
        <v>19979.150000000001</v>
      </c>
      <c r="F211">
        <f t="shared" si="20"/>
        <v>146</v>
      </c>
      <c r="G211">
        <f t="shared" si="26"/>
        <v>146</v>
      </c>
      <c r="H211">
        <f t="shared" si="21"/>
        <v>0</v>
      </c>
      <c r="I211" s="2">
        <f t="shared" si="22"/>
        <v>73.396652791997823</v>
      </c>
      <c r="J211" s="2">
        <f t="shared" si="23"/>
        <v>17.695157644227098</v>
      </c>
      <c r="K211" s="2">
        <f t="shared" si="24"/>
        <v>4.1478383107789316</v>
      </c>
      <c r="L211" s="2">
        <f t="shared" si="25"/>
        <v>80.574370451649102</v>
      </c>
    </row>
    <row r="212" spans="1:12" x14ac:dyDescent="0.25">
      <c r="A212" s="1">
        <v>45128</v>
      </c>
      <c r="B212">
        <v>19800.45</v>
      </c>
      <c r="C212">
        <v>19887.400000000001</v>
      </c>
      <c r="D212">
        <v>19700</v>
      </c>
      <c r="E212">
        <v>19745</v>
      </c>
      <c r="F212">
        <f t="shared" si="20"/>
        <v>-234.15000000000146</v>
      </c>
      <c r="G212">
        <f t="shared" si="26"/>
        <v>0</v>
      </c>
      <c r="H212">
        <f t="shared" si="21"/>
        <v>234.15000000000146</v>
      </c>
      <c r="I212" s="2">
        <f t="shared" si="22"/>
        <v>68.154034735426549</v>
      </c>
      <c r="J212" s="2">
        <f t="shared" si="23"/>
        <v>33.156217812496699</v>
      </c>
      <c r="K212" s="2">
        <f t="shared" si="24"/>
        <v>2.0555430996637694</v>
      </c>
      <c r="L212" s="2">
        <f t="shared" si="25"/>
        <v>67.27259386031767</v>
      </c>
    </row>
    <row r="213" spans="1:12" x14ac:dyDescent="0.25">
      <c r="A213" s="1">
        <v>45131</v>
      </c>
      <c r="B213">
        <v>19748.45</v>
      </c>
      <c r="C213">
        <v>19782.75</v>
      </c>
      <c r="D213">
        <v>19658.3</v>
      </c>
      <c r="E213">
        <v>19672.349999999999</v>
      </c>
      <c r="F213">
        <f t="shared" si="20"/>
        <v>-72.650000000001455</v>
      </c>
      <c r="G213">
        <f t="shared" si="26"/>
        <v>0</v>
      </c>
      <c r="H213">
        <f t="shared" si="21"/>
        <v>72.650000000001455</v>
      </c>
      <c r="I213" s="2">
        <f t="shared" si="22"/>
        <v>63.285889397181798</v>
      </c>
      <c r="J213" s="2">
        <f t="shared" si="23"/>
        <v>35.977202254461325</v>
      </c>
      <c r="K213" s="2">
        <f t="shared" si="24"/>
        <v>1.7590553303608838</v>
      </c>
      <c r="L213" s="2">
        <f t="shared" si="25"/>
        <v>63.755710550784777</v>
      </c>
    </row>
    <row r="214" spans="1:12" x14ac:dyDescent="0.25">
      <c r="A214" s="1">
        <v>45132</v>
      </c>
      <c r="B214">
        <v>19729.349999999999</v>
      </c>
      <c r="C214">
        <v>19729.349999999999</v>
      </c>
      <c r="D214">
        <v>19615.95</v>
      </c>
      <c r="E214">
        <v>19680.599999999999</v>
      </c>
      <c r="F214">
        <f t="shared" si="20"/>
        <v>8.25</v>
      </c>
      <c r="G214">
        <f t="shared" si="26"/>
        <v>8.25</v>
      </c>
      <c r="H214">
        <f t="shared" si="21"/>
        <v>0</v>
      </c>
      <c r="I214" s="2">
        <f t="shared" si="22"/>
        <v>59.354754440240242</v>
      </c>
      <c r="J214" s="2">
        <f t="shared" si="23"/>
        <v>33.407402093428374</v>
      </c>
      <c r="K214" s="2">
        <f t="shared" si="24"/>
        <v>1.7766947059890064</v>
      </c>
      <c r="L214" s="2">
        <f t="shared" si="25"/>
        <v>63.985957914526338</v>
      </c>
    </row>
    <row r="215" spans="1:12" x14ac:dyDescent="0.25">
      <c r="A215" s="1">
        <v>45133</v>
      </c>
      <c r="B215">
        <v>19733.349999999999</v>
      </c>
      <c r="C215">
        <v>19825.599999999999</v>
      </c>
      <c r="D215">
        <v>19716.7</v>
      </c>
      <c r="E215">
        <v>19778.3</v>
      </c>
      <c r="F215">
        <f t="shared" si="20"/>
        <v>97.700000000000728</v>
      </c>
      <c r="G215">
        <f t="shared" si="26"/>
        <v>97.700000000000728</v>
      </c>
      <c r="H215">
        <f t="shared" si="21"/>
        <v>0</v>
      </c>
      <c r="I215" s="2">
        <f t="shared" si="22"/>
        <v>62.0937005516517</v>
      </c>
      <c r="J215" s="2">
        <f t="shared" si="23"/>
        <v>31.021159086754917</v>
      </c>
      <c r="K215" s="2">
        <f t="shared" si="24"/>
        <v>2.0016563655148465</v>
      </c>
      <c r="L215" s="2">
        <f t="shared" si="25"/>
        <v>66.685060572265769</v>
      </c>
    </row>
    <row r="216" spans="1:12" x14ac:dyDescent="0.25">
      <c r="A216" s="1">
        <v>45134</v>
      </c>
      <c r="B216">
        <v>19850.900000000001</v>
      </c>
      <c r="C216">
        <v>19867.55</v>
      </c>
      <c r="D216">
        <v>19603.55</v>
      </c>
      <c r="E216">
        <v>19659.900000000001</v>
      </c>
      <c r="F216">
        <f t="shared" si="20"/>
        <v>-118.39999999999782</v>
      </c>
      <c r="G216">
        <f t="shared" si="26"/>
        <v>0</v>
      </c>
      <c r="H216">
        <f t="shared" si="21"/>
        <v>118.39999999999782</v>
      </c>
      <c r="I216" s="2">
        <f t="shared" si="22"/>
        <v>57.658436226533716</v>
      </c>
      <c r="J216" s="2">
        <f t="shared" si="23"/>
        <v>37.262504866272266</v>
      </c>
      <c r="K216" s="2">
        <f t="shared" si="24"/>
        <v>1.5473580327854608</v>
      </c>
      <c r="L216" s="2">
        <f t="shared" si="25"/>
        <v>60.743641563941068</v>
      </c>
    </row>
    <row r="217" spans="1:12" x14ac:dyDescent="0.25">
      <c r="A217" s="1">
        <v>45135</v>
      </c>
      <c r="B217">
        <v>19659.75</v>
      </c>
      <c r="C217">
        <v>19695.900000000001</v>
      </c>
      <c r="D217">
        <v>19563.099999999999</v>
      </c>
      <c r="E217">
        <v>19646.05</v>
      </c>
      <c r="F217">
        <f t="shared" si="20"/>
        <v>-13.850000000002183</v>
      </c>
      <c r="G217">
        <f t="shared" si="26"/>
        <v>0</v>
      </c>
      <c r="H217">
        <f t="shared" si="21"/>
        <v>13.850000000002183</v>
      </c>
      <c r="I217" s="2">
        <f t="shared" si="22"/>
        <v>53.53997649606702</v>
      </c>
      <c r="J217" s="2">
        <f t="shared" si="23"/>
        <v>35.590183090110116</v>
      </c>
      <c r="K217" s="2">
        <f t="shared" si="24"/>
        <v>1.5043467565342432</v>
      </c>
      <c r="L217" s="2">
        <f t="shared" si="25"/>
        <v>60.069427390961764</v>
      </c>
    </row>
    <row r="218" spans="1:12" x14ac:dyDescent="0.25">
      <c r="A218" s="1">
        <v>45138</v>
      </c>
      <c r="B218">
        <v>19666.349999999999</v>
      </c>
      <c r="C218">
        <v>19772.75</v>
      </c>
      <c r="D218">
        <v>19597.599999999999</v>
      </c>
      <c r="E218">
        <v>19753.8</v>
      </c>
      <c r="F218">
        <f t="shared" si="20"/>
        <v>107.75</v>
      </c>
      <c r="G218">
        <f t="shared" si="26"/>
        <v>107.75</v>
      </c>
      <c r="H218">
        <f t="shared" si="21"/>
        <v>0</v>
      </c>
      <c r="I218" s="2">
        <f t="shared" si="22"/>
        <v>57.412121032062238</v>
      </c>
      <c r="J218" s="2">
        <f t="shared" si="23"/>
        <v>33.048027155102254</v>
      </c>
      <c r="K218" s="2">
        <f t="shared" si="24"/>
        <v>1.737232929597083</v>
      </c>
      <c r="L218" s="2">
        <f t="shared" si="25"/>
        <v>63.466755452660777</v>
      </c>
    </row>
    <row r="219" spans="1:12" x14ac:dyDescent="0.25">
      <c r="A219" s="1">
        <v>45139</v>
      </c>
      <c r="B219">
        <v>19784</v>
      </c>
      <c r="C219">
        <v>19795.599999999999</v>
      </c>
      <c r="D219">
        <v>19704.599999999999</v>
      </c>
      <c r="E219">
        <v>19733.55</v>
      </c>
      <c r="F219">
        <f t="shared" si="20"/>
        <v>-20.25</v>
      </c>
      <c r="G219">
        <f t="shared" si="26"/>
        <v>0</v>
      </c>
      <c r="H219">
        <f t="shared" si="21"/>
        <v>20.25</v>
      </c>
      <c r="I219" s="2">
        <f t="shared" si="22"/>
        <v>53.311255244057797</v>
      </c>
      <c r="J219" s="2">
        <f t="shared" si="23"/>
        <v>32.133882358309236</v>
      </c>
      <c r="K219" s="2">
        <f t="shared" si="24"/>
        <v>1.6590356138610958</v>
      </c>
      <c r="L219" s="2">
        <f t="shared" si="25"/>
        <v>62.392380350711669</v>
      </c>
    </row>
    <row r="220" spans="1:12" x14ac:dyDescent="0.25">
      <c r="A220" s="1">
        <v>45140</v>
      </c>
      <c r="B220">
        <v>19655.400000000001</v>
      </c>
      <c r="C220">
        <v>19678.25</v>
      </c>
      <c r="D220">
        <v>19423.55</v>
      </c>
      <c r="E220">
        <v>19526.55</v>
      </c>
      <c r="F220">
        <f t="shared" ref="F220:F249" si="27">E220-E219</f>
        <v>-207</v>
      </c>
      <c r="G220">
        <f t="shared" si="26"/>
        <v>0</v>
      </c>
      <c r="H220">
        <f t="shared" ref="H220:H249" si="28">IF(F220&lt;0,ABS(F220),0)</f>
        <v>207</v>
      </c>
      <c r="I220" s="2">
        <f t="shared" ref="I220:I249" si="29">(I219*13+G220 )/14</f>
        <v>49.503308440910814</v>
      </c>
      <c r="J220" s="2">
        <f t="shared" ref="J220:J249" si="30">(J219*13+H220 )/14</f>
        <v>44.624319332715721</v>
      </c>
      <c r="K220" s="2">
        <f t="shared" ref="K220:K249" si="31">I220/J220</f>
        <v>1.109334756947612</v>
      </c>
      <c r="L220" s="2">
        <f t="shared" ref="L220:L249" si="32">IF(J220=0,100,100-(100/(1+K220)))</f>
        <v>52.591688127915468</v>
      </c>
    </row>
    <row r="221" spans="1:12" x14ac:dyDescent="0.25">
      <c r="A221" s="1">
        <v>45141</v>
      </c>
      <c r="B221">
        <v>19463.75</v>
      </c>
      <c r="C221">
        <v>19537.650000000001</v>
      </c>
      <c r="D221">
        <v>19296.45</v>
      </c>
      <c r="E221">
        <v>19381.650000000001</v>
      </c>
      <c r="F221">
        <f t="shared" si="27"/>
        <v>-144.89999999999782</v>
      </c>
      <c r="G221">
        <f t="shared" si="26"/>
        <v>0</v>
      </c>
      <c r="H221">
        <f t="shared" si="28"/>
        <v>144.89999999999782</v>
      </c>
      <c r="I221" s="2">
        <f t="shared" si="29"/>
        <v>45.967357837988615</v>
      </c>
      <c r="J221" s="2">
        <f t="shared" si="30"/>
        <v>51.786867951807302</v>
      </c>
      <c r="K221" s="2">
        <f t="shared" si="31"/>
        <v>0.88762575641310637</v>
      </c>
      <c r="L221" s="2">
        <f t="shared" si="32"/>
        <v>47.023397164265525</v>
      </c>
    </row>
    <row r="222" spans="1:12" x14ac:dyDescent="0.25">
      <c r="A222" s="1">
        <v>45142</v>
      </c>
      <c r="B222">
        <v>19462.8</v>
      </c>
      <c r="C222">
        <v>19538.849999999999</v>
      </c>
      <c r="D222">
        <v>19436.45</v>
      </c>
      <c r="E222">
        <v>19517</v>
      </c>
      <c r="F222">
        <f t="shared" si="27"/>
        <v>135.34999999999854</v>
      </c>
      <c r="G222">
        <f t="shared" si="26"/>
        <v>135.34999999999854</v>
      </c>
      <c r="H222">
        <f t="shared" si="28"/>
        <v>0</v>
      </c>
      <c r="I222" s="2">
        <f t="shared" si="29"/>
        <v>52.351832278132179</v>
      </c>
      <c r="J222" s="2">
        <f t="shared" si="30"/>
        <v>48.087805955249635</v>
      </c>
      <c r="K222" s="2">
        <f t="shared" si="31"/>
        <v>1.0886716754524137</v>
      </c>
      <c r="L222" s="2">
        <f t="shared" si="32"/>
        <v>52.122681043999101</v>
      </c>
    </row>
    <row r="223" spans="1:12" x14ac:dyDescent="0.25">
      <c r="A223" s="1">
        <v>45145</v>
      </c>
      <c r="B223">
        <v>19576.849999999999</v>
      </c>
      <c r="C223">
        <v>19620.45</v>
      </c>
      <c r="D223">
        <v>19524.8</v>
      </c>
      <c r="E223">
        <v>19597.3</v>
      </c>
      <c r="F223">
        <f t="shared" si="27"/>
        <v>80.299999999999272</v>
      </c>
      <c r="G223">
        <f t="shared" si="26"/>
        <v>80.299999999999272</v>
      </c>
      <c r="H223">
        <f t="shared" si="28"/>
        <v>0</v>
      </c>
      <c r="I223" s="2">
        <f t="shared" si="29"/>
        <v>54.348129972551256</v>
      </c>
      <c r="J223" s="2">
        <f t="shared" si="30"/>
        <v>44.652962672731803</v>
      </c>
      <c r="K223" s="2">
        <f t="shared" si="31"/>
        <v>1.2171225988044012</v>
      </c>
      <c r="L223" s="2">
        <f t="shared" si="32"/>
        <v>54.896495099582815</v>
      </c>
    </row>
    <row r="224" spans="1:12" x14ac:dyDescent="0.25">
      <c r="A224" s="1">
        <v>45146</v>
      </c>
      <c r="B224">
        <v>19627.2</v>
      </c>
      <c r="C224">
        <v>19634.400000000001</v>
      </c>
      <c r="D224">
        <v>19533.099999999999</v>
      </c>
      <c r="E224">
        <v>19570.849999999999</v>
      </c>
      <c r="F224">
        <f t="shared" si="27"/>
        <v>-26.450000000000728</v>
      </c>
      <c r="G224">
        <f t="shared" si="26"/>
        <v>0</v>
      </c>
      <c r="H224">
        <f t="shared" si="28"/>
        <v>26.450000000000728</v>
      </c>
      <c r="I224" s="2">
        <f t="shared" si="29"/>
        <v>50.466120688797595</v>
      </c>
      <c r="J224" s="2">
        <f t="shared" si="30"/>
        <v>43.352751053251005</v>
      </c>
      <c r="K224" s="2">
        <f t="shared" si="31"/>
        <v>1.1640811589282789</v>
      </c>
      <c r="L224" s="2">
        <f t="shared" si="32"/>
        <v>53.791012140448956</v>
      </c>
    </row>
    <row r="225" spans="1:12" x14ac:dyDescent="0.25">
      <c r="A225" s="1">
        <v>45147</v>
      </c>
      <c r="B225">
        <v>19578.8</v>
      </c>
      <c r="C225">
        <v>19645.5</v>
      </c>
      <c r="D225">
        <v>19467.5</v>
      </c>
      <c r="E225">
        <v>19632.55</v>
      </c>
      <c r="F225">
        <f t="shared" si="27"/>
        <v>61.700000000000728</v>
      </c>
      <c r="G225">
        <f t="shared" si="26"/>
        <v>61.700000000000728</v>
      </c>
      <c r="H225">
        <f t="shared" si="28"/>
        <v>0</v>
      </c>
      <c r="I225" s="2">
        <f t="shared" si="29"/>
        <v>51.268540639597816</v>
      </c>
      <c r="J225" s="2">
        <f t="shared" si="30"/>
        <v>40.256125978018794</v>
      </c>
      <c r="K225" s="2">
        <f t="shared" si="31"/>
        <v>1.2735587291134813</v>
      </c>
      <c r="L225" s="2">
        <f t="shared" si="32"/>
        <v>56.016091108852699</v>
      </c>
    </row>
    <row r="226" spans="1:12" x14ac:dyDescent="0.25">
      <c r="A226" s="1">
        <v>45148</v>
      </c>
      <c r="B226">
        <v>19605.55</v>
      </c>
      <c r="C226">
        <v>19623.599999999999</v>
      </c>
      <c r="D226">
        <v>19495.400000000001</v>
      </c>
      <c r="E226">
        <v>19543.099999999999</v>
      </c>
      <c r="F226">
        <f t="shared" si="27"/>
        <v>-89.450000000000728</v>
      </c>
      <c r="G226">
        <f t="shared" si="26"/>
        <v>0</v>
      </c>
      <c r="H226">
        <f t="shared" si="28"/>
        <v>89.450000000000728</v>
      </c>
      <c r="I226" s="2">
        <f t="shared" si="29"/>
        <v>47.606502022483689</v>
      </c>
      <c r="J226" s="2">
        <f t="shared" si="30"/>
        <v>43.769974122446072</v>
      </c>
      <c r="K226" s="2">
        <f t="shared" si="31"/>
        <v>1.0876520486236745</v>
      </c>
      <c r="L226" s="2">
        <f t="shared" si="32"/>
        <v>52.0992973585196</v>
      </c>
    </row>
    <row r="227" spans="1:12" x14ac:dyDescent="0.25">
      <c r="A227" s="1">
        <v>45149</v>
      </c>
      <c r="B227">
        <v>19554.25</v>
      </c>
      <c r="C227">
        <v>19557.75</v>
      </c>
      <c r="D227">
        <v>19412.75</v>
      </c>
      <c r="E227">
        <v>19428.3</v>
      </c>
      <c r="F227">
        <f t="shared" si="27"/>
        <v>-114.79999999999927</v>
      </c>
      <c r="G227">
        <f t="shared" si="26"/>
        <v>0</v>
      </c>
      <c r="H227">
        <f t="shared" si="28"/>
        <v>114.79999999999927</v>
      </c>
      <c r="I227" s="2">
        <f t="shared" si="29"/>
        <v>44.206037592306288</v>
      </c>
      <c r="J227" s="2">
        <f t="shared" si="30"/>
        <v>48.843547399414156</v>
      </c>
      <c r="K227" s="2">
        <f t="shared" si="31"/>
        <v>0.90505378798175717</v>
      </c>
      <c r="L227" s="2">
        <f t="shared" si="32"/>
        <v>47.508043798626019</v>
      </c>
    </row>
    <row r="228" spans="1:12" x14ac:dyDescent="0.25">
      <c r="A228" s="1">
        <v>45152</v>
      </c>
      <c r="B228">
        <v>19383.95</v>
      </c>
      <c r="C228">
        <v>19465.849999999999</v>
      </c>
      <c r="D228">
        <v>19257.900000000001</v>
      </c>
      <c r="E228">
        <v>19434.55</v>
      </c>
      <c r="F228">
        <f t="shared" si="27"/>
        <v>6.25</v>
      </c>
      <c r="G228">
        <f t="shared" si="26"/>
        <v>6.25</v>
      </c>
      <c r="H228">
        <f t="shared" si="28"/>
        <v>0</v>
      </c>
      <c r="I228" s="2">
        <f t="shared" si="29"/>
        <v>41.49489204999869</v>
      </c>
      <c r="J228" s="2">
        <f t="shared" si="30"/>
        <v>45.354722585170286</v>
      </c>
      <c r="K228" s="2">
        <f t="shared" si="31"/>
        <v>0.91489683289489121</v>
      </c>
      <c r="L228" s="2">
        <f t="shared" si="32"/>
        <v>47.777865479665238</v>
      </c>
    </row>
    <row r="229" spans="1:12" x14ac:dyDescent="0.25">
      <c r="A229" s="1">
        <v>45154</v>
      </c>
      <c r="B229">
        <v>19369</v>
      </c>
      <c r="C229">
        <v>19482.75</v>
      </c>
      <c r="D229">
        <v>19317.2</v>
      </c>
      <c r="E229">
        <v>19465</v>
      </c>
      <c r="F229">
        <f t="shared" si="27"/>
        <v>30.450000000000728</v>
      </c>
      <c r="G229">
        <f t="shared" si="26"/>
        <v>30.450000000000728</v>
      </c>
      <c r="H229">
        <f t="shared" si="28"/>
        <v>0</v>
      </c>
      <c r="I229" s="2">
        <f t="shared" si="29"/>
        <v>40.705971189284547</v>
      </c>
      <c r="J229" s="2">
        <f t="shared" si="30"/>
        <v>42.115099543372409</v>
      </c>
      <c r="K229" s="2">
        <f t="shared" si="31"/>
        <v>0.96654101808220438</v>
      </c>
      <c r="L229" s="2">
        <f t="shared" si="32"/>
        <v>49.149293566466639</v>
      </c>
    </row>
    <row r="230" spans="1:12" x14ac:dyDescent="0.25">
      <c r="A230" s="1">
        <v>45155</v>
      </c>
      <c r="B230">
        <v>19450.55</v>
      </c>
      <c r="C230">
        <v>19461.55</v>
      </c>
      <c r="D230">
        <v>19326.25</v>
      </c>
      <c r="E230">
        <v>19365.25</v>
      </c>
      <c r="F230">
        <f t="shared" si="27"/>
        <v>-99.75</v>
      </c>
      <c r="G230">
        <f t="shared" si="26"/>
        <v>0</v>
      </c>
      <c r="H230">
        <f t="shared" si="28"/>
        <v>99.75</v>
      </c>
      <c r="I230" s="2">
        <f t="shared" si="29"/>
        <v>37.798401818621365</v>
      </c>
      <c r="J230" s="2">
        <f t="shared" si="30"/>
        <v>46.231878147417241</v>
      </c>
      <c r="K230" s="2">
        <f t="shared" si="31"/>
        <v>0.81758309057000711</v>
      </c>
      <c r="L230" s="2">
        <f t="shared" si="32"/>
        <v>44.98188252365437</v>
      </c>
    </row>
    <row r="231" spans="1:12" x14ac:dyDescent="0.25">
      <c r="A231" s="1">
        <v>45156</v>
      </c>
      <c r="B231">
        <v>19301.75</v>
      </c>
      <c r="C231">
        <v>19373.8</v>
      </c>
      <c r="D231">
        <v>19253.599999999999</v>
      </c>
      <c r="E231">
        <v>19310.150000000001</v>
      </c>
      <c r="F231">
        <f t="shared" si="27"/>
        <v>-55.099999999998545</v>
      </c>
      <c r="G231">
        <f t="shared" si="26"/>
        <v>0</v>
      </c>
      <c r="H231">
        <f t="shared" si="28"/>
        <v>55.099999999998545</v>
      </c>
      <c r="I231" s="2">
        <f t="shared" si="29"/>
        <v>35.098515974434129</v>
      </c>
      <c r="J231" s="2">
        <f t="shared" si="30"/>
        <v>46.865315422601618</v>
      </c>
      <c r="K231" s="2">
        <f t="shared" si="31"/>
        <v>0.7489230715282299</v>
      </c>
      <c r="L231" s="2">
        <f t="shared" si="32"/>
        <v>42.821956192379119</v>
      </c>
    </row>
    <row r="232" spans="1:12" x14ac:dyDescent="0.25">
      <c r="A232" s="1">
        <v>45159</v>
      </c>
      <c r="B232">
        <v>19320.650000000001</v>
      </c>
      <c r="C232">
        <v>19425.95</v>
      </c>
      <c r="D232">
        <v>19296.3</v>
      </c>
      <c r="E232">
        <v>19393.599999999999</v>
      </c>
      <c r="F232">
        <f t="shared" si="27"/>
        <v>83.44999999999709</v>
      </c>
      <c r="G232">
        <f t="shared" si="26"/>
        <v>83.44999999999709</v>
      </c>
      <c r="H232">
        <f t="shared" si="28"/>
        <v>0</v>
      </c>
      <c r="I232" s="2">
        <f t="shared" si="29"/>
        <v>38.552193404831485</v>
      </c>
      <c r="J232" s="2">
        <f t="shared" si="30"/>
        <v>43.517792892415791</v>
      </c>
      <c r="K232" s="2">
        <f t="shared" si="31"/>
        <v>0.88589496025544756</v>
      </c>
      <c r="L232" s="2">
        <f t="shared" si="32"/>
        <v>46.974777435931621</v>
      </c>
    </row>
    <row r="233" spans="1:12" x14ac:dyDescent="0.25">
      <c r="A233" s="1">
        <v>45160</v>
      </c>
      <c r="B233">
        <v>19417.099999999999</v>
      </c>
      <c r="C233">
        <v>19443.5</v>
      </c>
      <c r="D233">
        <v>19381.3</v>
      </c>
      <c r="E233">
        <v>19396.45</v>
      </c>
      <c r="F233">
        <f t="shared" si="27"/>
        <v>2.8500000000021828</v>
      </c>
      <c r="G233">
        <f t="shared" si="26"/>
        <v>2.8500000000021828</v>
      </c>
      <c r="H233">
        <f t="shared" si="28"/>
        <v>0</v>
      </c>
      <c r="I233" s="2">
        <f t="shared" si="29"/>
        <v>36.002036733057963</v>
      </c>
      <c r="J233" s="2">
        <f t="shared" si="30"/>
        <v>40.409379114386091</v>
      </c>
      <c r="K233" s="2">
        <f t="shared" si="31"/>
        <v>0.89093268746217691</v>
      </c>
      <c r="L233" s="2">
        <f t="shared" si="32"/>
        <v>47.116044551427088</v>
      </c>
    </row>
    <row r="234" spans="1:12" x14ac:dyDescent="0.25">
      <c r="A234" s="1">
        <v>45161</v>
      </c>
      <c r="B234">
        <v>19439.2</v>
      </c>
      <c r="C234">
        <v>19472.05</v>
      </c>
      <c r="D234">
        <v>19366.599999999999</v>
      </c>
      <c r="E234">
        <v>19444</v>
      </c>
      <c r="F234">
        <f t="shared" si="27"/>
        <v>47.549999999999272</v>
      </c>
      <c r="G234">
        <f t="shared" si="26"/>
        <v>47.549999999999272</v>
      </c>
      <c r="H234">
        <f t="shared" si="28"/>
        <v>0</v>
      </c>
      <c r="I234" s="2">
        <f t="shared" si="29"/>
        <v>36.826891252125201</v>
      </c>
      <c r="J234" s="2">
        <f t="shared" si="30"/>
        <v>37.52299489192994</v>
      </c>
      <c r="K234" s="2">
        <f t="shared" si="31"/>
        <v>0.98144861192957578</v>
      </c>
      <c r="L234" s="2">
        <f t="shared" si="32"/>
        <v>49.531873096311124</v>
      </c>
    </row>
    <row r="235" spans="1:12" x14ac:dyDescent="0.25">
      <c r="A235" s="1">
        <v>45162</v>
      </c>
      <c r="B235">
        <v>19535.150000000001</v>
      </c>
      <c r="C235">
        <v>19584.45</v>
      </c>
      <c r="D235">
        <v>19369</v>
      </c>
      <c r="E235">
        <v>19386.7</v>
      </c>
      <c r="F235">
        <f t="shared" si="27"/>
        <v>-57.299999999999272</v>
      </c>
      <c r="G235">
        <f t="shared" si="26"/>
        <v>0</v>
      </c>
      <c r="H235">
        <f t="shared" si="28"/>
        <v>57.299999999999272</v>
      </c>
      <c r="I235" s="2">
        <f t="shared" si="29"/>
        <v>34.196399019830544</v>
      </c>
      <c r="J235" s="2">
        <f t="shared" si="30"/>
        <v>38.935638113934893</v>
      </c>
      <c r="K235" s="2">
        <f t="shared" si="31"/>
        <v>0.87828017405965675</v>
      </c>
      <c r="L235" s="2">
        <f t="shared" si="32"/>
        <v>46.759806454293191</v>
      </c>
    </row>
    <row r="236" spans="1:12" x14ac:dyDescent="0.25">
      <c r="A236" s="1">
        <v>45163</v>
      </c>
      <c r="B236">
        <v>19297.400000000001</v>
      </c>
      <c r="C236">
        <v>19339.55</v>
      </c>
      <c r="D236">
        <v>19229.7</v>
      </c>
      <c r="E236">
        <v>19265.8</v>
      </c>
      <c r="F236">
        <f t="shared" si="27"/>
        <v>-120.90000000000146</v>
      </c>
      <c r="G236">
        <f t="shared" si="26"/>
        <v>0</v>
      </c>
      <c r="H236">
        <f t="shared" si="28"/>
        <v>120.90000000000146</v>
      </c>
      <c r="I236" s="2">
        <f t="shared" si="29"/>
        <v>31.753799089842648</v>
      </c>
      <c r="J236" s="2">
        <f t="shared" si="30"/>
        <v>44.790235391511082</v>
      </c>
      <c r="K236" s="2">
        <f t="shared" si="31"/>
        <v>0.7089446798455723</v>
      </c>
      <c r="L236" s="2">
        <f t="shared" si="32"/>
        <v>41.484355123164995</v>
      </c>
    </row>
    <row r="237" spans="1:12" x14ac:dyDescent="0.25">
      <c r="A237" s="1">
        <v>45166</v>
      </c>
      <c r="B237">
        <v>19298.349999999999</v>
      </c>
      <c r="C237">
        <v>19366.849999999999</v>
      </c>
      <c r="D237">
        <v>19249.7</v>
      </c>
      <c r="E237">
        <v>19306.05</v>
      </c>
      <c r="F237">
        <f t="shared" si="27"/>
        <v>40.25</v>
      </c>
      <c r="G237">
        <f t="shared" si="26"/>
        <v>40.25</v>
      </c>
      <c r="H237">
        <f t="shared" si="28"/>
        <v>0</v>
      </c>
      <c r="I237" s="2">
        <f t="shared" si="29"/>
        <v>32.360670583425318</v>
      </c>
      <c r="J237" s="2">
        <f t="shared" si="30"/>
        <v>41.590932863546008</v>
      </c>
      <c r="K237" s="2">
        <f t="shared" si="31"/>
        <v>0.77807032339467164</v>
      </c>
      <c r="L237" s="2">
        <f t="shared" si="32"/>
        <v>43.759254803217715</v>
      </c>
    </row>
    <row r="238" spans="1:12" x14ac:dyDescent="0.25">
      <c r="A238" s="1">
        <v>45167</v>
      </c>
      <c r="B238">
        <v>19374.849999999999</v>
      </c>
      <c r="C238">
        <v>19377.900000000001</v>
      </c>
      <c r="D238">
        <v>19309.099999999999</v>
      </c>
      <c r="E238">
        <v>19342.650000000001</v>
      </c>
      <c r="F238">
        <f t="shared" si="27"/>
        <v>36.600000000002183</v>
      </c>
      <c r="G238">
        <f t="shared" si="26"/>
        <v>36.600000000002183</v>
      </c>
      <c r="H238">
        <f t="shared" si="28"/>
        <v>0</v>
      </c>
      <c r="I238" s="2">
        <f t="shared" si="29"/>
        <v>32.663479827466524</v>
      </c>
      <c r="J238" s="2">
        <f t="shared" si="30"/>
        <v>38.620151944721293</v>
      </c>
      <c r="K238" s="2">
        <f t="shared" si="31"/>
        <v>0.84576259239526519</v>
      </c>
      <c r="L238" s="2">
        <f t="shared" si="32"/>
        <v>45.821851406020222</v>
      </c>
    </row>
    <row r="239" spans="1:12" x14ac:dyDescent="0.25">
      <c r="A239" s="1">
        <v>45168</v>
      </c>
      <c r="B239">
        <v>19433.45</v>
      </c>
      <c r="C239">
        <v>19452.8</v>
      </c>
      <c r="D239">
        <v>19334.75</v>
      </c>
      <c r="E239">
        <v>19347.45</v>
      </c>
      <c r="F239">
        <f t="shared" si="27"/>
        <v>4.7999999999992724</v>
      </c>
      <c r="G239">
        <f t="shared" si="26"/>
        <v>4.7999999999992724</v>
      </c>
      <c r="H239">
        <f t="shared" si="28"/>
        <v>0</v>
      </c>
      <c r="I239" s="2">
        <f t="shared" si="29"/>
        <v>30.673231268361722</v>
      </c>
      <c r="J239" s="2">
        <f t="shared" si="30"/>
        <v>35.861569662955489</v>
      </c>
      <c r="K239" s="2">
        <f t="shared" si="31"/>
        <v>0.85532316506621708</v>
      </c>
      <c r="L239" s="2">
        <f t="shared" si="32"/>
        <v>46.101034103979956</v>
      </c>
    </row>
    <row r="240" spans="1:12" x14ac:dyDescent="0.25">
      <c r="A240" s="1">
        <v>45169</v>
      </c>
      <c r="B240">
        <v>19375.55</v>
      </c>
      <c r="C240">
        <v>19388.2</v>
      </c>
      <c r="D240">
        <v>19223.650000000001</v>
      </c>
      <c r="E240">
        <v>19253.8</v>
      </c>
      <c r="F240">
        <f t="shared" si="27"/>
        <v>-93.650000000001455</v>
      </c>
      <c r="G240">
        <f t="shared" si="26"/>
        <v>0</v>
      </c>
      <c r="H240">
        <f t="shared" si="28"/>
        <v>93.650000000001455</v>
      </c>
      <c r="I240" s="2">
        <f t="shared" si="29"/>
        <v>28.482286177764454</v>
      </c>
      <c r="J240" s="2">
        <f t="shared" si="30"/>
        <v>39.989314687030209</v>
      </c>
      <c r="K240" s="2">
        <f t="shared" si="31"/>
        <v>0.7122474191087389</v>
      </c>
      <c r="L240" s="2">
        <f t="shared" si="32"/>
        <v>41.597225445343568</v>
      </c>
    </row>
    <row r="241" spans="1:12" x14ac:dyDescent="0.25">
      <c r="A241" s="1">
        <v>45170</v>
      </c>
      <c r="B241">
        <v>19258.150000000001</v>
      </c>
      <c r="C241">
        <v>19458.55</v>
      </c>
      <c r="D241">
        <v>19255.7</v>
      </c>
      <c r="E241">
        <v>19435.3</v>
      </c>
      <c r="F241">
        <f t="shared" si="27"/>
        <v>181.5</v>
      </c>
      <c r="G241">
        <f t="shared" si="26"/>
        <v>181.5</v>
      </c>
      <c r="H241">
        <f t="shared" si="28"/>
        <v>0</v>
      </c>
      <c r="I241" s="2">
        <f t="shared" si="29"/>
        <v>39.412122879352701</v>
      </c>
      <c r="J241" s="2">
        <f t="shared" si="30"/>
        <v>37.132935066528049</v>
      </c>
      <c r="K241" s="2">
        <f t="shared" si="31"/>
        <v>1.0613791451912222</v>
      </c>
      <c r="L241" s="2">
        <f t="shared" si="32"/>
        <v>51.488788351585086</v>
      </c>
    </row>
    <row r="242" spans="1:12" x14ac:dyDescent="0.25">
      <c r="A242" s="1">
        <v>45173</v>
      </c>
      <c r="B242">
        <v>19525.05</v>
      </c>
      <c r="C242">
        <v>19545.150000000001</v>
      </c>
      <c r="D242">
        <v>19432.849999999999</v>
      </c>
      <c r="E242">
        <v>19528.8</v>
      </c>
      <c r="F242">
        <f t="shared" si="27"/>
        <v>93.5</v>
      </c>
      <c r="G242">
        <f t="shared" si="26"/>
        <v>93.5</v>
      </c>
      <c r="H242">
        <f t="shared" si="28"/>
        <v>0</v>
      </c>
      <c r="I242" s="2">
        <f t="shared" si="29"/>
        <v>43.275542673684647</v>
      </c>
      <c r="J242" s="2">
        <f t="shared" si="30"/>
        <v>34.480582561776046</v>
      </c>
      <c r="K242" s="2">
        <f t="shared" si="31"/>
        <v>1.2550699396146046</v>
      </c>
      <c r="L242" s="2">
        <f t="shared" si="32"/>
        <v>55.655477356462754</v>
      </c>
    </row>
    <row r="243" spans="1:12" x14ac:dyDescent="0.25">
      <c r="A243" s="1">
        <v>45174</v>
      </c>
      <c r="B243">
        <v>19564.650000000001</v>
      </c>
      <c r="C243">
        <v>19587.05</v>
      </c>
      <c r="D243">
        <v>19525.75</v>
      </c>
      <c r="E243">
        <v>19574.900000000001</v>
      </c>
      <c r="F243">
        <f t="shared" si="27"/>
        <v>46.100000000002183</v>
      </c>
      <c r="G243">
        <f t="shared" si="26"/>
        <v>46.100000000002183</v>
      </c>
      <c r="H243">
        <f t="shared" si="28"/>
        <v>0</v>
      </c>
      <c r="I243" s="2">
        <f t="shared" si="29"/>
        <v>43.477289625564474</v>
      </c>
      <c r="J243" s="2">
        <f t="shared" si="30"/>
        <v>32.017683807363468</v>
      </c>
      <c r="K243" s="2">
        <f t="shared" si="31"/>
        <v>1.3579148912566097</v>
      </c>
      <c r="L243" s="2">
        <f t="shared" si="32"/>
        <v>57.589648222329714</v>
      </c>
    </row>
    <row r="244" spans="1:12" x14ac:dyDescent="0.25">
      <c r="A244" s="1">
        <v>45175</v>
      </c>
      <c r="B244">
        <v>19581.2</v>
      </c>
      <c r="C244">
        <v>19636.45</v>
      </c>
      <c r="D244">
        <v>19491.5</v>
      </c>
      <c r="E244">
        <v>19611.05</v>
      </c>
      <c r="F244">
        <f t="shared" si="27"/>
        <v>36.149999999997817</v>
      </c>
      <c r="G244">
        <f t="shared" si="26"/>
        <v>36.149999999997817</v>
      </c>
      <c r="H244">
        <f t="shared" si="28"/>
        <v>0</v>
      </c>
      <c r="I244" s="2">
        <f t="shared" si="29"/>
        <v>42.953911795166853</v>
      </c>
      <c r="J244" s="2">
        <f t="shared" si="30"/>
        <v>29.730706392551792</v>
      </c>
      <c r="K244" s="2">
        <f t="shared" si="31"/>
        <v>1.4447659341833792</v>
      </c>
      <c r="L244" s="2">
        <f t="shared" si="32"/>
        <v>59.096288686874708</v>
      </c>
    </row>
    <row r="245" spans="1:12" x14ac:dyDescent="0.25">
      <c r="A245" s="1">
        <v>45176</v>
      </c>
      <c r="B245">
        <v>19598.650000000001</v>
      </c>
      <c r="C245">
        <v>19737</v>
      </c>
      <c r="D245">
        <v>19550.05</v>
      </c>
      <c r="E245">
        <v>19727.05</v>
      </c>
      <c r="F245">
        <f t="shared" si="27"/>
        <v>116</v>
      </c>
      <c r="G245">
        <f t="shared" si="26"/>
        <v>116</v>
      </c>
      <c r="H245">
        <f t="shared" si="28"/>
        <v>0</v>
      </c>
      <c r="I245" s="2">
        <f t="shared" si="29"/>
        <v>48.171489524083505</v>
      </c>
      <c r="J245" s="2">
        <f t="shared" si="30"/>
        <v>27.607084507369517</v>
      </c>
      <c r="K245" s="2">
        <f t="shared" si="31"/>
        <v>1.7448959346367945</v>
      </c>
      <c r="L245" s="2">
        <f t="shared" si="32"/>
        <v>63.568746363700654</v>
      </c>
    </row>
    <row r="246" spans="1:12" x14ac:dyDescent="0.25">
      <c r="A246" s="1">
        <v>45177</v>
      </c>
      <c r="B246">
        <v>19774.8</v>
      </c>
      <c r="C246">
        <v>19867.150000000001</v>
      </c>
      <c r="D246">
        <v>19727.05</v>
      </c>
      <c r="E246">
        <v>19819.95</v>
      </c>
      <c r="F246">
        <f t="shared" si="27"/>
        <v>92.900000000001455</v>
      </c>
      <c r="G246">
        <f t="shared" si="26"/>
        <v>92.900000000001455</v>
      </c>
      <c r="H246">
        <f t="shared" si="28"/>
        <v>0</v>
      </c>
      <c r="I246" s="2">
        <f t="shared" si="29"/>
        <v>51.366383129506218</v>
      </c>
      <c r="J246" s="2">
        <f t="shared" si="30"/>
        <v>25.635149899700263</v>
      </c>
      <c r="K246" s="2">
        <f t="shared" si="31"/>
        <v>2.0037481087679074</v>
      </c>
      <c r="L246" s="2">
        <f t="shared" si="32"/>
        <v>66.708260353755662</v>
      </c>
    </row>
    <row r="247" spans="1:12" x14ac:dyDescent="0.25">
      <c r="A247" s="1">
        <v>45180</v>
      </c>
      <c r="B247">
        <v>19890</v>
      </c>
      <c r="C247">
        <v>20008.150000000001</v>
      </c>
      <c r="D247">
        <v>19865.349999999999</v>
      </c>
      <c r="E247">
        <v>19996.349999999999</v>
      </c>
      <c r="F247">
        <f t="shared" si="27"/>
        <v>176.39999999999782</v>
      </c>
      <c r="G247">
        <f t="shared" si="26"/>
        <v>176.39999999999782</v>
      </c>
      <c r="H247">
        <f t="shared" si="28"/>
        <v>0</v>
      </c>
      <c r="I247" s="2">
        <f t="shared" si="29"/>
        <v>60.297355763112762</v>
      </c>
      <c r="J247" s="2">
        <f t="shared" si="30"/>
        <v>23.804067764007385</v>
      </c>
      <c r="K247" s="2">
        <f t="shared" si="31"/>
        <v>2.533069404813431</v>
      </c>
      <c r="L247" s="2">
        <f t="shared" si="32"/>
        <v>71.695998990633854</v>
      </c>
    </row>
    <row r="248" spans="1:12" x14ac:dyDescent="0.25">
      <c r="A248" s="1">
        <v>45181</v>
      </c>
      <c r="B248">
        <v>20110.150000000001</v>
      </c>
      <c r="C248">
        <v>20110.349999999999</v>
      </c>
      <c r="D248">
        <v>19914.650000000001</v>
      </c>
      <c r="E248">
        <v>19993.2</v>
      </c>
      <c r="F248">
        <f t="shared" si="27"/>
        <v>-3.1499999999978172</v>
      </c>
      <c r="G248">
        <f t="shared" si="26"/>
        <v>0</v>
      </c>
      <c r="H248">
        <f t="shared" si="28"/>
        <v>3.1499999999978172</v>
      </c>
      <c r="I248" s="2">
        <f t="shared" si="29"/>
        <v>55.990401780033281</v>
      </c>
      <c r="J248" s="2">
        <f t="shared" si="30"/>
        <v>22.328777209435277</v>
      </c>
      <c r="K248" s="2">
        <f t="shared" si="31"/>
        <v>2.5075444685064934</v>
      </c>
      <c r="L248" s="2">
        <f t="shared" si="32"/>
        <v>71.490026456434393</v>
      </c>
    </row>
    <row r="249" spans="1:12" x14ac:dyDescent="0.25">
      <c r="A249" s="1">
        <v>45182</v>
      </c>
      <c r="B249">
        <v>19989.5</v>
      </c>
      <c r="C249">
        <v>20096.900000000001</v>
      </c>
      <c r="D249">
        <v>19944.099999999999</v>
      </c>
      <c r="E249">
        <v>20070</v>
      </c>
      <c r="F249">
        <f t="shared" si="27"/>
        <v>76.799999999999272</v>
      </c>
      <c r="G249">
        <f t="shared" si="26"/>
        <v>76.799999999999272</v>
      </c>
      <c r="H249">
        <f t="shared" si="28"/>
        <v>0</v>
      </c>
      <c r="I249" s="2">
        <f t="shared" si="29"/>
        <v>57.476801652888</v>
      </c>
      <c r="J249" s="2">
        <f t="shared" si="30"/>
        <v>20.733864551618471</v>
      </c>
      <c r="K249" s="2">
        <f t="shared" si="31"/>
        <v>2.772121979951943</v>
      </c>
      <c r="L249" s="2">
        <f t="shared" si="32"/>
        <v>73.489722619925985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2023-09-14T12:44:18Z</dcterms:modified>
</cp:coreProperties>
</file>